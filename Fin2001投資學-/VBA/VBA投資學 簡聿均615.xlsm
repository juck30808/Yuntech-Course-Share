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5330" windowHeight="4590" tabRatio="748" activeTab="8"/>
  </bookViews>
  <sheets>
    <sheet name="小考 " sheetId="2" r:id="rId1"/>
    <sheet name="期中" sheetId="11" r:id="rId2"/>
    <sheet name="平時練習" sheetId="3" r:id="rId3"/>
    <sheet name="效率前緣" sheetId="8" r:id="rId4"/>
    <sheet name="CAPM" sheetId="4" r:id="rId5"/>
    <sheet name="SML" sheetId="6" r:id="rId6"/>
    <sheet name="敏感性分析" sheetId="5" r:id="rId7"/>
    <sheet name="回歸分析" sheetId="7" r:id="rId8"/>
    <sheet name="CAR" sheetId="12" r:id="rId9"/>
  </sheets>
  <functionGroups builtInGroupCount="17"/>
  <externalReferences>
    <externalReference r:id="rId10"/>
  </externalReferences>
  <calcPr calcId="145621"/>
</workbook>
</file>

<file path=xl/calcChain.xml><?xml version="1.0" encoding="utf-8"?>
<calcChain xmlns="http://schemas.openxmlformats.org/spreadsheetml/2006/main">
  <c r="B4" i="6" l="1"/>
  <c r="B3" i="6"/>
  <c r="B2" i="6"/>
  <c r="E745" i="12" l="1"/>
  <c r="E744" i="12"/>
  <c r="E743" i="12"/>
  <c r="E742" i="12"/>
  <c r="E741" i="12"/>
  <c r="E740" i="12"/>
  <c r="E739" i="12"/>
  <c r="E738" i="12"/>
  <c r="E737" i="12"/>
  <c r="E736" i="12"/>
  <c r="E735" i="12"/>
  <c r="E734" i="12"/>
  <c r="E733" i="12"/>
  <c r="E732" i="12"/>
  <c r="E731" i="12"/>
  <c r="E730" i="12"/>
  <c r="E729" i="12"/>
  <c r="E728" i="12"/>
  <c r="E727" i="12"/>
  <c r="E726" i="12"/>
  <c r="E725" i="12"/>
  <c r="E724" i="12"/>
  <c r="E723" i="12"/>
  <c r="E722" i="12"/>
  <c r="E721" i="12"/>
  <c r="E720" i="12"/>
  <c r="E719" i="12"/>
  <c r="E718" i="12"/>
  <c r="E717" i="12"/>
  <c r="E716" i="12"/>
  <c r="E715" i="12"/>
  <c r="E714" i="12"/>
  <c r="E713" i="12"/>
  <c r="E712" i="12"/>
  <c r="E711" i="12"/>
  <c r="E710" i="12"/>
  <c r="E709" i="12"/>
  <c r="E708" i="12"/>
  <c r="E707" i="12"/>
  <c r="E706" i="12"/>
  <c r="E705" i="12"/>
  <c r="E704" i="12"/>
  <c r="E703" i="12"/>
  <c r="E702" i="12"/>
  <c r="E701" i="12"/>
  <c r="E700" i="12"/>
  <c r="E699" i="12"/>
  <c r="E698" i="12"/>
  <c r="E697" i="12"/>
  <c r="E696" i="12"/>
  <c r="E695" i="12"/>
  <c r="E694" i="12"/>
  <c r="E693" i="12"/>
  <c r="E692" i="12"/>
  <c r="E691" i="12"/>
  <c r="E690" i="12"/>
  <c r="E689" i="12"/>
  <c r="E688" i="12"/>
  <c r="E687" i="12"/>
  <c r="E686" i="12"/>
  <c r="E685" i="12"/>
  <c r="E684" i="12"/>
  <c r="E683" i="12"/>
  <c r="E682" i="12"/>
  <c r="E681" i="12"/>
  <c r="E680" i="12"/>
  <c r="E679" i="12"/>
  <c r="E678" i="12"/>
  <c r="E677" i="12"/>
  <c r="E676" i="12"/>
  <c r="E675" i="12"/>
  <c r="E674" i="12"/>
  <c r="E673" i="12"/>
  <c r="E672" i="12"/>
  <c r="E671" i="12"/>
  <c r="E670" i="12"/>
  <c r="E669" i="12"/>
  <c r="E668" i="12"/>
  <c r="E667" i="12"/>
  <c r="E666" i="12"/>
  <c r="E665" i="12"/>
  <c r="E664" i="12"/>
  <c r="E663" i="12"/>
  <c r="E662" i="12"/>
  <c r="E661" i="12"/>
  <c r="E660" i="12"/>
  <c r="E659" i="12"/>
  <c r="E658" i="12"/>
  <c r="E657" i="12"/>
  <c r="E656" i="12"/>
  <c r="E655" i="12"/>
  <c r="E654" i="12"/>
  <c r="E653" i="12"/>
  <c r="E652" i="12"/>
  <c r="E651" i="12"/>
  <c r="E650" i="12"/>
  <c r="E649" i="12"/>
  <c r="E648" i="12"/>
  <c r="E647" i="12"/>
  <c r="E646" i="12"/>
  <c r="E645" i="12"/>
  <c r="E644" i="12"/>
  <c r="E643" i="12"/>
  <c r="E642" i="12"/>
  <c r="E641" i="12"/>
  <c r="E640" i="12"/>
  <c r="E639" i="12"/>
  <c r="E638" i="12"/>
  <c r="E637" i="12"/>
  <c r="E636" i="12"/>
  <c r="E635" i="12"/>
  <c r="E634" i="12"/>
  <c r="E633" i="12"/>
  <c r="E632" i="12"/>
  <c r="E631" i="12"/>
  <c r="E630" i="12"/>
  <c r="E629" i="12"/>
  <c r="E628" i="12"/>
  <c r="E627" i="12"/>
  <c r="E626" i="12"/>
  <c r="E625" i="12"/>
  <c r="E624" i="12"/>
  <c r="E623" i="12"/>
  <c r="E622" i="12"/>
  <c r="E621" i="12"/>
  <c r="E620" i="12"/>
  <c r="E619" i="12"/>
  <c r="E618" i="12"/>
  <c r="E617" i="12"/>
  <c r="E616" i="12"/>
  <c r="E615" i="12"/>
  <c r="E614" i="12"/>
  <c r="E613" i="12"/>
  <c r="E612" i="12"/>
  <c r="E611" i="12"/>
  <c r="E610" i="12"/>
  <c r="E609" i="12"/>
  <c r="E608" i="12"/>
  <c r="E607" i="12"/>
  <c r="E606" i="12"/>
  <c r="E605" i="12"/>
  <c r="E604" i="12"/>
  <c r="E603" i="12"/>
  <c r="E602" i="12"/>
  <c r="E601" i="12"/>
  <c r="E600" i="12"/>
  <c r="E599" i="12"/>
  <c r="E598" i="12"/>
  <c r="E597" i="12"/>
  <c r="E596" i="12"/>
  <c r="E595" i="12"/>
  <c r="E594" i="12"/>
  <c r="E593" i="12"/>
  <c r="E592" i="12"/>
  <c r="E591" i="12"/>
  <c r="E590" i="12"/>
  <c r="E589" i="12"/>
  <c r="E588" i="12"/>
  <c r="E587" i="12"/>
  <c r="E586" i="12"/>
  <c r="E585" i="12"/>
  <c r="E584" i="12"/>
  <c r="E583" i="12"/>
  <c r="E582" i="12"/>
  <c r="E581" i="12"/>
  <c r="E580" i="12"/>
  <c r="E579" i="12"/>
  <c r="E578" i="12"/>
  <c r="E577" i="12"/>
  <c r="E576" i="12"/>
  <c r="E575" i="12"/>
  <c r="E574" i="12"/>
  <c r="E573" i="12"/>
  <c r="E572" i="12"/>
  <c r="E571" i="12"/>
  <c r="E570" i="12"/>
  <c r="E569" i="12"/>
  <c r="E568" i="12"/>
  <c r="E567" i="12"/>
  <c r="E566" i="12"/>
  <c r="E565" i="12"/>
  <c r="E564" i="12"/>
  <c r="E563" i="12"/>
  <c r="E562" i="12"/>
  <c r="E561" i="12"/>
  <c r="E560" i="12"/>
  <c r="E559" i="12"/>
  <c r="E558" i="12"/>
  <c r="E557" i="12"/>
  <c r="E556" i="12"/>
  <c r="E555" i="12"/>
  <c r="E554" i="12"/>
  <c r="E553" i="12"/>
  <c r="E552" i="12"/>
  <c r="E551" i="12"/>
  <c r="E550" i="12"/>
  <c r="E549" i="12"/>
  <c r="E548" i="12"/>
  <c r="E547" i="12"/>
  <c r="E546" i="12"/>
  <c r="E545" i="12"/>
  <c r="E544" i="12"/>
  <c r="E543" i="12"/>
  <c r="E542" i="12"/>
  <c r="E541" i="12"/>
  <c r="E540" i="12"/>
  <c r="E539" i="12"/>
  <c r="E538" i="12"/>
  <c r="E537" i="12"/>
  <c r="E536" i="12"/>
  <c r="E535" i="12"/>
  <c r="E534" i="12"/>
  <c r="E533" i="12"/>
  <c r="E532" i="12"/>
  <c r="E531" i="12"/>
  <c r="E530" i="12"/>
  <c r="E529" i="12"/>
  <c r="E528" i="12"/>
  <c r="E527" i="12"/>
  <c r="E526" i="12"/>
  <c r="E525" i="12"/>
  <c r="E524" i="12"/>
  <c r="E523" i="12"/>
  <c r="E522" i="12"/>
  <c r="E521" i="12"/>
  <c r="E520" i="12"/>
  <c r="E519" i="12"/>
  <c r="E518" i="12"/>
  <c r="E517" i="12"/>
  <c r="E516" i="12"/>
  <c r="E515" i="12"/>
  <c r="E514" i="12"/>
  <c r="E513" i="12"/>
  <c r="E512" i="12"/>
  <c r="E511" i="12"/>
  <c r="E510" i="12"/>
  <c r="E509" i="12"/>
  <c r="E508" i="12"/>
  <c r="E507" i="12"/>
  <c r="E506" i="12"/>
  <c r="E505" i="12"/>
  <c r="E504" i="12"/>
  <c r="E503" i="12"/>
  <c r="E502" i="12"/>
  <c r="E501" i="12"/>
  <c r="E500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9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M4" i="12"/>
  <c r="E4" i="12"/>
  <c r="M3" i="12"/>
  <c r="E3" i="12"/>
  <c r="M2" i="12"/>
  <c r="F744" i="12" s="1"/>
  <c r="E2" i="12"/>
  <c r="I744" i="12" l="1"/>
  <c r="G744" i="12"/>
  <c r="F725" i="12"/>
  <c r="F729" i="12"/>
  <c r="F733" i="12"/>
  <c r="F737" i="12"/>
  <c r="F741" i="12"/>
  <c r="F745" i="12"/>
  <c r="F726" i="12"/>
  <c r="F730" i="12"/>
  <c r="F734" i="12"/>
  <c r="F738" i="12"/>
  <c r="F742" i="12"/>
  <c r="F727" i="12"/>
  <c r="F731" i="12"/>
  <c r="F735" i="12"/>
  <c r="F739" i="12"/>
  <c r="F743" i="12"/>
  <c r="F728" i="12"/>
  <c r="F732" i="12"/>
  <c r="F736" i="12"/>
  <c r="F740" i="12"/>
  <c r="G739" i="12" l="1"/>
  <c r="I739" i="12"/>
  <c r="G742" i="12"/>
  <c r="I742" i="12"/>
  <c r="I732" i="12"/>
  <c r="G732" i="12"/>
  <c r="G735" i="12"/>
  <c r="I735" i="12"/>
  <c r="G738" i="12"/>
  <c r="I738" i="12"/>
  <c r="I745" i="12"/>
  <c r="G745" i="12"/>
  <c r="I729" i="12"/>
  <c r="G729" i="12"/>
  <c r="G726" i="12"/>
  <c r="I726" i="12"/>
  <c r="I728" i="12"/>
  <c r="G728" i="12"/>
  <c r="G731" i="12"/>
  <c r="I731" i="12"/>
  <c r="G734" i="12"/>
  <c r="I734" i="12"/>
  <c r="I741" i="12"/>
  <c r="G741" i="12"/>
  <c r="I725" i="12"/>
  <c r="G725" i="12"/>
  <c r="H725" i="12" s="1"/>
  <c r="I736" i="12"/>
  <c r="G736" i="12"/>
  <c r="I733" i="12"/>
  <c r="G733" i="12"/>
  <c r="I740" i="12"/>
  <c r="G740" i="12"/>
  <c r="G743" i="12"/>
  <c r="I743" i="12"/>
  <c r="G727" i="12"/>
  <c r="I727" i="12"/>
  <c r="G730" i="12"/>
  <c r="I730" i="12"/>
  <c r="I737" i="12"/>
  <c r="G737" i="12"/>
  <c r="H726" i="12" l="1"/>
  <c r="H727" i="12" s="1"/>
  <c r="H728" i="12" s="1"/>
  <c r="H729" i="12" s="1"/>
  <c r="H730" i="12" s="1"/>
  <c r="H731" i="12" s="1"/>
  <c r="H732" i="12" s="1"/>
  <c r="H733" i="12" s="1"/>
  <c r="H734" i="12" s="1"/>
  <c r="H735" i="12" s="1"/>
  <c r="H736" i="12" s="1"/>
  <c r="H737" i="12" s="1"/>
  <c r="H738" i="12" s="1"/>
  <c r="H739" i="12" s="1"/>
  <c r="H740" i="12" s="1"/>
  <c r="H741" i="12" s="1"/>
  <c r="H742" i="12" s="1"/>
  <c r="H743" i="12" s="1"/>
  <c r="H744" i="12" s="1"/>
  <c r="H745" i="12" s="1"/>
  <c r="H312" i="11" l="1"/>
  <c r="G312" i="11"/>
  <c r="H311" i="11"/>
  <c r="G311" i="11"/>
  <c r="H310" i="11"/>
  <c r="G310" i="11"/>
  <c r="H309" i="11"/>
  <c r="G309" i="11"/>
  <c r="H308" i="11"/>
  <c r="G308" i="11"/>
  <c r="H307" i="11"/>
  <c r="G307" i="11"/>
  <c r="H306" i="11"/>
  <c r="G306" i="11"/>
  <c r="H305" i="11"/>
  <c r="G305" i="11"/>
  <c r="H304" i="11"/>
  <c r="G304" i="11"/>
  <c r="H303" i="11"/>
  <c r="G303" i="11"/>
  <c r="H302" i="11"/>
  <c r="G302" i="11"/>
  <c r="H301" i="11"/>
  <c r="G301" i="11"/>
  <c r="H300" i="11"/>
  <c r="G300" i="11"/>
  <c r="H299" i="11"/>
  <c r="G299" i="11"/>
  <c r="H298" i="11"/>
  <c r="G298" i="11"/>
  <c r="H297" i="11"/>
  <c r="G297" i="11"/>
  <c r="H296" i="11"/>
  <c r="G296" i="11"/>
  <c r="H295" i="11"/>
  <c r="G295" i="11"/>
  <c r="H294" i="11"/>
  <c r="G294" i="11"/>
  <c r="H293" i="11"/>
  <c r="G293" i="11"/>
  <c r="H292" i="11"/>
  <c r="G292" i="11"/>
  <c r="H291" i="11"/>
  <c r="G291" i="11"/>
  <c r="H290" i="11"/>
  <c r="G290" i="11"/>
  <c r="H289" i="11"/>
  <c r="G289" i="11"/>
  <c r="H288" i="11"/>
  <c r="G288" i="11"/>
  <c r="H287" i="11"/>
  <c r="G287" i="11"/>
  <c r="H286" i="11"/>
  <c r="G286" i="11"/>
  <c r="H285" i="11"/>
  <c r="G285" i="11"/>
  <c r="H284" i="11"/>
  <c r="G284" i="11"/>
  <c r="H283" i="11"/>
  <c r="G283" i="11"/>
  <c r="H282" i="11"/>
  <c r="G282" i="11"/>
  <c r="H281" i="11"/>
  <c r="G281" i="11"/>
  <c r="H280" i="11"/>
  <c r="G280" i="11"/>
  <c r="H279" i="11"/>
  <c r="G279" i="11"/>
  <c r="H278" i="11"/>
  <c r="G278" i="11"/>
  <c r="H277" i="11"/>
  <c r="G277" i="11"/>
  <c r="H276" i="11"/>
  <c r="G276" i="11"/>
  <c r="H275" i="11"/>
  <c r="G275" i="11"/>
  <c r="H274" i="11"/>
  <c r="G274" i="11"/>
  <c r="H273" i="11"/>
  <c r="G273" i="11"/>
  <c r="H272" i="11"/>
  <c r="G272" i="11"/>
  <c r="H271" i="11"/>
  <c r="G271" i="11"/>
  <c r="H270" i="11"/>
  <c r="G270" i="11"/>
  <c r="H269" i="11"/>
  <c r="G269" i="11"/>
  <c r="H268" i="11"/>
  <c r="G268" i="11"/>
  <c r="H267" i="11"/>
  <c r="G267" i="11"/>
  <c r="H266" i="11"/>
  <c r="G266" i="11"/>
  <c r="H265" i="11"/>
  <c r="G265" i="11"/>
  <c r="H264" i="11"/>
  <c r="G264" i="11"/>
  <c r="H263" i="11"/>
  <c r="G263" i="11"/>
  <c r="H262" i="11"/>
  <c r="G262" i="11"/>
  <c r="H261" i="11"/>
  <c r="G261" i="11"/>
  <c r="H260" i="11"/>
  <c r="G260" i="11"/>
  <c r="H259" i="11"/>
  <c r="G259" i="11"/>
  <c r="H258" i="11"/>
  <c r="G258" i="11"/>
  <c r="H257" i="11"/>
  <c r="G257" i="11"/>
  <c r="H256" i="11"/>
  <c r="G256" i="11"/>
  <c r="H255" i="11"/>
  <c r="G255" i="11"/>
  <c r="H254" i="11"/>
  <c r="G254" i="11"/>
  <c r="H253" i="11"/>
  <c r="G253" i="11"/>
  <c r="H252" i="11"/>
  <c r="G252" i="11"/>
  <c r="H251" i="11"/>
  <c r="G251" i="11"/>
  <c r="H250" i="11"/>
  <c r="G250" i="11"/>
  <c r="H249" i="11"/>
  <c r="G249" i="11"/>
  <c r="H248" i="11"/>
  <c r="G248" i="11"/>
  <c r="H247" i="11"/>
  <c r="G247" i="11"/>
  <c r="H246" i="11"/>
  <c r="G246" i="11"/>
  <c r="H245" i="11"/>
  <c r="G245" i="11"/>
  <c r="H244" i="11"/>
  <c r="G244" i="11"/>
  <c r="H243" i="11"/>
  <c r="G243" i="11"/>
  <c r="H242" i="11"/>
  <c r="G242" i="11"/>
  <c r="H241" i="11"/>
  <c r="G241" i="11"/>
  <c r="H240" i="11"/>
  <c r="G240" i="11"/>
  <c r="H239" i="11"/>
  <c r="G239" i="11"/>
  <c r="H238" i="11"/>
  <c r="G238" i="11"/>
  <c r="H237" i="11"/>
  <c r="G237" i="11"/>
  <c r="H236" i="11"/>
  <c r="G236" i="11"/>
  <c r="H235" i="11"/>
  <c r="G235" i="11"/>
  <c r="H234" i="11"/>
  <c r="G234" i="11"/>
  <c r="H233" i="11"/>
  <c r="G233" i="11"/>
  <c r="H232" i="11"/>
  <c r="G232" i="11"/>
  <c r="H231" i="11"/>
  <c r="G231" i="11"/>
  <c r="H230" i="11"/>
  <c r="G230" i="11"/>
  <c r="H229" i="11"/>
  <c r="G229" i="11"/>
  <c r="H228" i="11"/>
  <c r="G228" i="11"/>
  <c r="H227" i="11"/>
  <c r="G227" i="11"/>
  <c r="H226" i="11"/>
  <c r="G226" i="11"/>
  <c r="H225" i="11"/>
  <c r="G225" i="11"/>
  <c r="H224" i="11"/>
  <c r="G224" i="11"/>
  <c r="H223" i="11"/>
  <c r="G223" i="11"/>
  <c r="H222" i="11"/>
  <c r="G222" i="11"/>
  <c r="H221" i="11"/>
  <c r="G221" i="11"/>
  <c r="H220" i="11"/>
  <c r="G220" i="11"/>
  <c r="H219" i="11"/>
  <c r="G219" i="11"/>
  <c r="H218" i="11"/>
  <c r="G218" i="11"/>
  <c r="H217" i="11"/>
  <c r="G217" i="11"/>
  <c r="H216" i="11"/>
  <c r="G216" i="11"/>
  <c r="H215" i="11"/>
  <c r="G215" i="11"/>
  <c r="H214" i="11"/>
  <c r="G214" i="11"/>
  <c r="H213" i="11"/>
  <c r="G213" i="11"/>
  <c r="H212" i="11"/>
  <c r="G212" i="11"/>
  <c r="H211" i="11"/>
  <c r="G211" i="11"/>
  <c r="H210" i="11"/>
  <c r="G210" i="11"/>
  <c r="H209" i="11"/>
  <c r="G209" i="11"/>
  <c r="H208" i="11"/>
  <c r="G208" i="11"/>
  <c r="H207" i="11"/>
  <c r="G207" i="11"/>
  <c r="H206" i="11"/>
  <c r="G206" i="11"/>
  <c r="H205" i="11"/>
  <c r="G205" i="11"/>
  <c r="H204" i="11"/>
  <c r="G204" i="11"/>
  <c r="H203" i="11"/>
  <c r="G203" i="11"/>
  <c r="H202" i="11"/>
  <c r="G202" i="11"/>
  <c r="H201" i="11"/>
  <c r="G201" i="11"/>
  <c r="H200" i="11"/>
  <c r="G200" i="11"/>
  <c r="H199" i="11"/>
  <c r="G199" i="11"/>
  <c r="H198" i="11"/>
  <c r="G198" i="11"/>
  <c r="H197" i="11"/>
  <c r="G197" i="11"/>
  <c r="H196" i="11"/>
  <c r="G196" i="11"/>
  <c r="H195" i="11"/>
  <c r="G195" i="11"/>
  <c r="H194" i="11"/>
  <c r="G194" i="11"/>
  <c r="H193" i="11"/>
  <c r="G193" i="11"/>
  <c r="H192" i="11"/>
  <c r="G192" i="11"/>
  <c r="H191" i="11"/>
  <c r="G191" i="11"/>
  <c r="H190" i="11"/>
  <c r="G190" i="11"/>
  <c r="H189" i="11"/>
  <c r="G189" i="11"/>
  <c r="H188" i="11"/>
  <c r="G188" i="11"/>
  <c r="H187" i="11"/>
  <c r="G187" i="11"/>
  <c r="H186" i="11"/>
  <c r="G186" i="11"/>
  <c r="H185" i="11"/>
  <c r="G185" i="11"/>
  <c r="H184" i="11"/>
  <c r="G184" i="11"/>
  <c r="H183" i="11"/>
  <c r="G183" i="11"/>
  <c r="H182" i="11"/>
  <c r="G182" i="11"/>
  <c r="H181" i="11"/>
  <c r="G181" i="11"/>
  <c r="H180" i="11"/>
  <c r="G180" i="11"/>
  <c r="H179" i="11"/>
  <c r="G179" i="11"/>
  <c r="H178" i="11"/>
  <c r="G178" i="11"/>
  <c r="H177" i="11"/>
  <c r="G177" i="11"/>
  <c r="H176" i="11"/>
  <c r="G176" i="11"/>
  <c r="H175" i="11"/>
  <c r="G175" i="11"/>
  <c r="H174" i="11"/>
  <c r="G174" i="11"/>
  <c r="H173" i="11"/>
  <c r="G173" i="11"/>
  <c r="H172" i="11"/>
  <c r="G172" i="11"/>
  <c r="H171" i="11"/>
  <c r="G171" i="11"/>
  <c r="H170" i="11"/>
  <c r="G170" i="11"/>
  <c r="H169" i="11"/>
  <c r="G169" i="11"/>
  <c r="H168" i="11"/>
  <c r="G168" i="11"/>
  <c r="H167" i="11"/>
  <c r="G167" i="11"/>
  <c r="H166" i="11"/>
  <c r="G166" i="11"/>
  <c r="H165" i="11"/>
  <c r="G165" i="11"/>
  <c r="H164" i="11"/>
  <c r="G164" i="11"/>
  <c r="H163" i="11"/>
  <c r="G163" i="11"/>
  <c r="H162" i="11"/>
  <c r="G162" i="11"/>
  <c r="H161" i="11"/>
  <c r="G161" i="11"/>
  <c r="H160" i="11"/>
  <c r="G160" i="11"/>
  <c r="H159" i="11"/>
  <c r="G159" i="11"/>
  <c r="H158" i="11"/>
  <c r="G158" i="11"/>
  <c r="H157" i="11"/>
  <c r="G157" i="11"/>
  <c r="H156" i="11"/>
  <c r="G156" i="11"/>
  <c r="H155" i="11"/>
  <c r="G155" i="11"/>
  <c r="H154" i="11"/>
  <c r="G154" i="11"/>
  <c r="H153" i="11"/>
  <c r="G153" i="11"/>
  <c r="H152" i="11"/>
  <c r="G152" i="11"/>
  <c r="H151" i="11"/>
  <c r="G151" i="11"/>
  <c r="H150" i="11"/>
  <c r="G150" i="11"/>
  <c r="H149" i="11"/>
  <c r="G149" i="11"/>
  <c r="H148" i="11"/>
  <c r="G148" i="11"/>
  <c r="H147" i="11"/>
  <c r="G147" i="11"/>
  <c r="H146" i="11"/>
  <c r="G146" i="11"/>
  <c r="H145" i="11"/>
  <c r="G145" i="11"/>
  <c r="H144" i="11"/>
  <c r="G144" i="11"/>
  <c r="H143" i="11"/>
  <c r="G143" i="11"/>
  <c r="H142" i="11"/>
  <c r="G142" i="11"/>
  <c r="H141" i="11"/>
  <c r="G141" i="11"/>
  <c r="H140" i="11"/>
  <c r="G140" i="11"/>
  <c r="H139" i="11"/>
  <c r="G139" i="11"/>
  <c r="H138" i="11"/>
  <c r="G138" i="11"/>
  <c r="H137" i="11"/>
  <c r="G137" i="11"/>
  <c r="H136" i="11"/>
  <c r="G136" i="11"/>
  <c r="H135" i="11"/>
  <c r="G135" i="11"/>
  <c r="H134" i="11"/>
  <c r="G134" i="11"/>
  <c r="H133" i="11"/>
  <c r="G133" i="11"/>
  <c r="H132" i="11"/>
  <c r="G132" i="11"/>
  <c r="H131" i="11"/>
  <c r="G131" i="11"/>
  <c r="H130" i="11"/>
  <c r="G130" i="11"/>
  <c r="H129" i="11"/>
  <c r="G129" i="11"/>
  <c r="H128" i="11"/>
  <c r="G128" i="11"/>
  <c r="H127" i="11"/>
  <c r="G127" i="11"/>
  <c r="H126" i="11"/>
  <c r="G126" i="11"/>
  <c r="H125" i="11"/>
  <c r="G125" i="11"/>
  <c r="H124" i="11"/>
  <c r="G124" i="11"/>
  <c r="H123" i="11"/>
  <c r="G123" i="11"/>
  <c r="H122" i="11"/>
  <c r="G122" i="11"/>
  <c r="H121" i="11"/>
  <c r="G121" i="11"/>
  <c r="H120" i="11"/>
  <c r="G120" i="11"/>
  <c r="H119" i="11"/>
  <c r="G119" i="11"/>
  <c r="H118" i="11"/>
  <c r="G118" i="11"/>
  <c r="H117" i="11"/>
  <c r="G117" i="11"/>
  <c r="H116" i="11"/>
  <c r="G116" i="11"/>
  <c r="H115" i="11"/>
  <c r="G115" i="11"/>
  <c r="H114" i="11"/>
  <c r="G114" i="11"/>
  <c r="H113" i="11"/>
  <c r="G113" i="11"/>
  <c r="H112" i="11"/>
  <c r="G112" i="11"/>
  <c r="H111" i="11"/>
  <c r="G111" i="11"/>
  <c r="H110" i="11"/>
  <c r="G110" i="11"/>
  <c r="H109" i="11"/>
  <c r="G109" i="11"/>
  <c r="H108" i="11"/>
  <c r="G108" i="11"/>
  <c r="H107" i="11"/>
  <c r="G107" i="11"/>
  <c r="H106" i="11"/>
  <c r="G106" i="11"/>
  <c r="H105" i="11"/>
  <c r="G105" i="11"/>
  <c r="H104" i="11"/>
  <c r="G104" i="11"/>
  <c r="H103" i="11"/>
  <c r="G103" i="11"/>
  <c r="H102" i="11"/>
  <c r="G102" i="11"/>
  <c r="H101" i="11"/>
  <c r="G101" i="11"/>
  <c r="H100" i="11"/>
  <c r="G100" i="11"/>
  <c r="H99" i="11"/>
  <c r="G99" i="11"/>
  <c r="H98" i="11"/>
  <c r="G98" i="11"/>
  <c r="H97" i="11"/>
  <c r="G97" i="11"/>
  <c r="H96" i="11"/>
  <c r="G96" i="11"/>
  <c r="H95" i="11"/>
  <c r="G95" i="11"/>
  <c r="H94" i="11"/>
  <c r="G94" i="11"/>
  <c r="H93" i="11"/>
  <c r="G93" i="11"/>
  <c r="H92" i="11"/>
  <c r="G92" i="11"/>
  <c r="H91" i="11"/>
  <c r="G91" i="11"/>
  <c r="H90" i="11"/>
  <c r="G90" i="11"/>
  <c r="H89" i="11"/>
  <c r="G89" i="11"/>
  <c r="H88" i="11"/>
  <c r="G88" i="11"/>
  <c r="H87" i="11"/>
  <c r="G87" i="11"/>
  <c r="H86" i="11"/>
  <c r="G86" i="11"/>
  <c r="H85" i="11"/>
  <c r="G85" i="11"/>
  <c r="H84" i="11"/>
  <c r="G84" i="11"/>
  <c r="H83" i="11"/>
  <c r="G83" i="11"/>
  <c r="H82" i="11"/>
  <c r="G82" i="11"/>
  <c r="H81" i="11"/>
  <c r="G81" i="11"/>
  <c r="H80" i="11"/>
  <c r="G80" i="11"/>
  <c r="H79" i="11"/>
  <c r="G79" i="11"/>
  <c r="H78" i="11"/>
  <c r="G78" i="11"/>
  <c r="H77" i="11"/>
  <c r="G77" i="11"/>
  <c r="H76" i="11"/>
  <c r="G76" i="11"/>
  <c r="H75" i="11"/>
  <c r="G75" i="11"/>
  <c r="H74" i="11"/>
  <c r="G74" i="11"/>
  <c r="H73" i="11"/>
  <c r="G73" i="11"/>
  <c r="H72" i="11"/>
  <c r="G72" i="11"/>
  <c r="H71" i="11"/>
  <c r="G71" i="11"/>
  <c r="H70" i="11"/>
  <c r="G70" i="11"/>
  <c r="H69" i="11"/>
  <c r="G69" i="11"/>
  <c r="H68" i="11"/>
  <c r="G68" i="11"/>
  <c r="H67" i="11"/>
  <c r="G67" i="11"/>
  <c r="H66" i="11"/>
  <c r="G66" i="11"/>
  <c r="H65" i="11"/>
  <c r="G65" i="11"/>
  <c r="H64" i="11"/>
  <c r="G64" i="11"/>
  <c r="H63" i="11"/>
  <c r="G63" i="11"/>
  <c r="H62" i="11"/>
  <c r="G62" i="11"/>
  <c r="H61" i="11"/>
  <c r="G61" i="11"/>
  <c r="H60" i="11"/>
  <c r="G60" i="11"/>
  <c r="H59" i="11"/>
  <c r="G59" i="11"/>
  <c r="H58" i="11"/>
  <c r="G58" i="11"/>
  <c r="H57" i="11"/>
  <c r="G57" i="11"/>
  <c r="H56" i="11"/>
  <c r="G56" i="11"/>
  <c r="H55" i="11"/>
  <c r="G55" i="11"/>
  <c r="H54" i="11"/>
  <c r="G54" i="11"/>
  <c r="H53" i="11"/>
  <c r="G53" i="11"/>
  <c r="H52" i="11"/>
  <c r="G52" i="11"/>
  <c r="H51" i="11"/>
  <c r="G51" i="11"/>
  <c r="H50" i="11"/>
  <c r="G50" i="11"/>
  <c r="H49" i="11"/>
  <c r="G49" i="11"/>
  <c r="H48" i="11"/>
  <c r="G48" i="11"/>
  <c r="H47" i="11"/>
  <c r="G47" i="11"/>
  <c r="H46" i="11"/>
  <c r="G46" i="11"/>
  <c r="H45" i="11"/>
  <c r="G45" i="11"/>
  <c r="H44" i="11"/>
  <c r="G44" i="11"/>
  <c r="H43" i="11"/>
  <c r="G43" i="11"/>
  <c r="H42" i="11"/>
  <c r="G42" i="11"/>
  <c r="H41" i="11"/>
  <c r="G41" i="11"/>
  <c r="H40" i="11"/>
  <c r="G40" i="11"/>
  <c r="H39" i="11"/>
  <c r="G39" i="11"/>
  <c r="H38" i="11"/>
  <c r="G38" i="11"/>
  <c r="H37" i="11"/>
  <c r="G37" i="11"/>
  <c r="H36" i="11"/>
  <c r="G36" i="11"/>
  <c r="H35" i="11"/>
  <c r="G35" i="11"/>
  <c r="H34" i="11"/>
  <c r="G34" i="11"/>
  <c r="H33" i="11"/>
  <c r="G33" i="11"/>
  <c r="H32" i="11"/>
  <c r="G32" i="11"/>
  <c r="H31" i="11"/>
  <c r="G31" i="11"/>
  <c r="H30" i="11"/>
  <c r="G30" i="11"/>
  <c r="H29" i="11"/>
  <c r="G29" i="11"/>
  <c r="H28" i="11"/>
  <c r="G28" i="11"/>
  <c r="H27" i="11"/>
  <c r="G27" i="11"/>
  <c r="H26" i="11"/>
  <c r="G26" i="11"/>
  <c r="H25" i="11"/>
  <c r="G25" i="11"/>
  <c r="H24" i="11"/>
  <c r="G24" i="11"/>
  <c r="H23" i="11"/>
  <c r="G23" i="11"/>
  <c r="H22" i="11"/>
  <c r="G22" i="11"/>
  <c r="H21" i="11"/>
  <c r="G21" i="11"/>
  <c r="H20" i="11"/>
  <c r="G20" i="11"/>
  <c r="H19" i="11"/>
  <c r="G19" i="11"/>
  <c r="H18" i="11"/>
  <c r="G18" i="11"/>
  <c r="H17" i="11"/>
  <c r="G17" i="11"/>
  <c r="H16" i="11"/>
  <c r="G16" i="11"/>
  <c r="H15" i="11"/>
  <c r="G15" i="11"/>
  <c r="H14" i="11"/>
  <c r="G14" i="11"/>
  <c r="H13" i="11"/>
  <c r="G13" i="11"/>
  <c r="H12" i="11"/>
  <c r="G12" i="11"/>
  <c r="H11" i="11"/>
  <c r="G11" i="11"/>
  <c r="H10" i="11"/>
  <c r="G10" i="11"/>
  <c r="H9" i="11"/>
  <c r="G9" i="11"/>
  <c r="H8" i="11"/>
  <c r="G8" i="11"/>
  <c r="H7" i="11"/>
  <c r="G7" i="11"/>
  <c r="H6" i="11"/>
  <c r="G6" i="11"/>
  <c r="H5" i="11"/>
  <c r="G5" i="11"/>
  <c r="H4" i="11"/>
  <c r="G4" i="11"/>
  <c r="H3" i="11"/>
  <c r="G3" i="11"/>
  <c r="H2" i="11"/>
  <c r="G2" i="11"/>
  <c r="J4" i="3"/>
  <c r="H11" i="8" l="1"/>
  <c r="G11" i="8"/>
  <c r="H10" i="8"/>
  <c r="G10" i="8"/>
  <c r="N8" i="8"/>
  <c r="M8" i="8" s="1"/>
  <c r="N7" i="8"/>
  <c r="M7" i="8"/>
  <c r="H4" i="8"/>
  <c r="L6" i="8" s="1"/>
  <c r="G4" i="8"/>
  <c r="L11" i="8" s="1"/>
  <c r="H3" i="8"/>
  <c r="G3" i="8"/>
  <c r="N12" i="8" s="1"/>
  <c r="M12" i="8" s="1"/>
  <c r="N2" i="8"/>
  <c r="M2" i="8"/>
  <c r="I90" i="11"/>
  <c r="I6" i="11"/>
  <c r="I243" i="11"/>
  <c r="I292" i="11"/>
  <c r="I242" i="11"/>
  <c r="I141" i="11"/>
  <c r="I67" i="11"/>
  <c r="I163" i="11"/>
  <c r="I212" i="11"/>
  <c r="I304" i="11"/>
  <c r="I190" i="11"/>
  <c r="I73" i="11"/>
  <c r="I31" i="11"/>
  <c r="I116" i="11"/>
  <c r="I267" i="11"/>
  <c r="I149" i="11"/>
  <c r="I202" i="11"/>
  <c r="I101" i="11"/>
  <c r="I43" i="11"/>
  <c r="I62" i="11"/>
  <c r="I135" i="11"/>
  <c r="I199" i="11"/>
  <c r="I264" i="11"/>
  <c r="I150" i="11"/>
  <c r="I49" i="11"/>
  <c r="I55" i="11"/>
  <c r="I124" i="11"/>
  <c r="I184" i="11"/>
  <c r="I237" i="11"/>
  <c r="I162" i="11"/>
  <c r="I61" i="11"/>
  <c r="I134" i="11"/>
  <c r="I88" i="11"/>
  <c r="I303" i="11"/>
  <c r="I288" i="11"/>
  <c r="I174" i="11"/>
  <c r="I57" i="11"/>
  <c r="I15" i="11"/>
  <c r="I272" i="11"/>
  <c r="I158" i="11"/>
  <c r="I41" i="11"/>
  <c r="I14" i="11"/>
  <c r="I84" i="11"/>
  <c r="I192" i="11"/>
  <c r="I245" i="11"/>
  <c r="I298" i="11"/>
  <c r="I66" i="11"/>
  <c r="I139" i="11"/>
  <c r="I96" i="11"/>
  <c r="I295" i="11"/>
  <c r="I193" i="11"/>
  <c r="I246" i="11"/>
  <c r="I10" i="11"/>
  <c r="I23" i="11"/>
  <c r="I92" i="11"/>
  <c r="I152" i="11"/>
  <c r="I205" i="11"/>
  <c r="I208" i="11"/>
  <c r="I261" i="11"/>
  <c r="I2" i="11"/>
  <c r="I82" i="11"/>
  <c r="I20" i="11"/>
  <c r="I299" i="11"/>
  <c r="I181" i="11"/>
  <c r="I234" i="11"/>
  <c r="I133" i="11"/>
  <c r="I75" i="11"/>
  <c r="I32" i="11"/>
  <c r="I231" i="11"/>
  <c r="I296" i="11"/>
  <c r="I182" i="11"/>
  <c r="I81" i="11"/>
  <c r="I106" i="11"/>
  <c r="I28" i="11"/>
  <c r="I259" i="11"/>
  <c r="I308" i="11"/>
  <c r="I17" i="11"/>
  <c r="I137" i="11"/>
  <c r="I213" i="11"/>
  <c r="I266" i="11"/>
  <c r="I16" i="11"/>
  <c r="I102" i="11"/>
  <c r="I270" i="11"/>
  <c r="I111" i="11"/>
  <c r="I218" i="11"/>
  <c r="I230" i="11"/>
  <c r="I233" i="11"/>
  <c r="I286" i="11"/>
  <c r="I38" i="11"/>
  <c r="I127" i="11"/>
  <c r="I207" i="11"/>
  <c r="I153" i="11"/>
  <c r="I206" i="11"/>
  <c r="I89" i="11"/>
  <c r="I47" i="11"/>
  <c r="I132" i="11"/>
  <c r="I219" i="11"/>
  <c r="I268" i="11"/>
  <c r="I154" i="11"/>
  <c r="I53" i="11"/>
  <c r="I142" i="11"/>
  <c r="I12" i="11"/>
  <c r="I215" i="11"/>
  <c r="I280" i="11"/>
  <c r="I166" i="11"/>
  <c r="I65" i="11"/>
  <c r="I258" i="11"/>
  <c r="I26" i="11"/>
  <c r="I83" i="11"/>
  <c r="I179" i="11"/>
  <c r="I228" i="11"/>
  <c r="I178" i="11"/>
  <c r="I77" i="11"/>
  <c r="I3" i="11"/>
  <c r="I104" i="11"/>
  <c r="I148" i="11"/>
  <c r="I240" i="11"/>
  <c r="I293" i="11"/>
  <c r="I9" i="11"/>
  <c r="I114" i="11"/>
  <c r="I52" i="11"/>
  <c r="I203" i="11"/>
  <c r="I252" i="11"/>
  <c r="I305" i="11"/>
  <c r="I37" i="11"/>
  <c r="I187" i="11"/>
  <c r="I236" i="11"/>
  <c r="I289" i="11"/>
  <c r="I21" i="11"/>
  <c r="I110" i="11"/>
  <c r="I112" i="11"/>
  <c r="I156" i="11"/>
  <c r="I209" i="11"/>
  <c r="I262" i="11"/>
  <c r="I33" i="11"/>
  <c r="I122" i="11"/>
  <c r="I44" i="11"/>
  <c r="I275" i="11"/>
  <c r="I157" i="11"/>
  <c r="I146" i="11"/>
  <c r="I45" i="11"/>
  <c r="I118" i="11"/>
  <c r="I72" i="11"/>
  <c r="I287" i="11"/>
  <c r="I128" i="11"/>
  <c r="I172" i="11"/>
  <c r="I225" i="11"/>
  <c r="I278" i="11"/>
  <c r="I46" i="11"/>
  <c r="I48" i="11"/>
  <c r="I247" i="11"/>
  <c r="I312" i="11"/>
  <c r="I198" i="11"/>
  <c r="I290" i="11"/>
  <c r="I58" i="11"/>
  <c r="I115" i="11"/>
  <c r="I211" i="11"/>
  <c r="I260" i="11"/>
  <c r="I249" i="11"/>
  <c r="I302" i="11"/>
  <c r="I54" i="11"/>
  <c r="I144" i="11"/>
  <c r="I223" i="11"/>
  <c r="I180" i="11"/>
  <c r="I95" i="11"/>
  <c r="I160" i="11"/>
  <c r="I34" i="11"/>
  <c r="I297" i="11"/>
  <c r="I217" i="11"/>
  <c r="I191" i="11"/>
  <c r="I117" i="11"/>
  <c r="I177" i="11"/>
  <c r="I311" i="11"/>
  <c r="I197" i="11"/>
  <c r="I250" i="11"/>
  <c r="I18" i="11"/>
  <c r="I91" i="11"/>
  <c r="I235" i="11"/>
  <c r="I284" i="11"/>
  <c r="I170" i="11"/>
  <c r="I69" i="11"/>
  <c r="I11" i="11"/>
  <c r="I103" i="11"/>
  <c r="I167" i="11"/>
  <c r="I232" i="11"/>
  <c r="I285" i="11"/>
  <c r="I274" i="11"/>
  <c r="I42" i="11"/>
  <c r="I99" i="11"/>
  <c r="I195" i="11"/>
  <c r="I244" i="11"/>
  <c r="I269" i="11"/>
  <c r="I169" i="11"/>
  <c r="I222" i="11"/>
  <c r="I105" i="11"/>
  <c r="I63" i="11"/>
  <c r="I143" i="11"/>
  <c r="I256" i="11"/>
  <c r="I309" i="11"/>
  <c r="I25" i="11"/>
  <c r="I130" i="11"/>
  <c r="I68" i="11"/>
  <c r="I155" i="11"/>
  <c r="I204" i="11"/>
  <c r="I257" i="11"/>
  <c r="I310" i="11"/>
  <c r="I78" i="11"/>
  <c r="I87" i="11"/>
  <c r="I151" i="11"/>
  <c r="I216" i="11"/>
  <c r="I100" i="11"/>
  <c r="I71" i="11"/>
  <c r="I140" i="11"/>
  <c r="I200" i="11"/>
  <c r="I253" i="11"/>
  <c r="I30" i="11"/>
  <c r="I138" i="11"/>
  <c r="I60" i="11"/>
  <c r="I291" i="11"/>
  <c r="I173" i="11"/>
  <c r="I265" i="11"/>
  <c r="I8" i="11"/>
  <c r="I70" i="11"/>
  <c r="I24" i="11"/>
  <c r="I239" i="11"/>
  <c r="I224" i="11"/>
  <c r="I277" i="11"/>
  <c r="I4" i="11"/>
  <c r="I98" i="11"/>
  <c r="I97" i="11"/>
  <c r="I7" i="11"/>
  <c r="I76" i="11"/>
  <c r="I307" i="11"/>
  <c r="I189" i="11"/>
  <c r="I306" i="11"/>
  <c r="I74" i="11"/>
  <c r="I131" i="11"/>
  <c r="I227" i="11"/>
  <c r="I276" i="11"/>
  <c r="I201" i="11"/>
  <c r="I254" i="11"/>
  <c r="I175" i="11"/>
  <c r="I107" i="11"/>
  <c r="I271" i="11"/>
  <c r="I283" i="11"/>
  <c r="I80" i="11"/>
  <c r="I129" i="11"/>
  <c r="I64" i="11"/>
  <c r="I263" i="11"/>
  <c r="I161" i="11"/>
  <c r="I214" i="11"/>
  <c r="I113" i="11"/>
  <c r="I119" i="11"/>
  <c r="I183" i="11"/>
  <c r="I248" i="11"/>
  <c r="I301" i="11"/>
  <c r="I226" i="11"/>
  <c r="I125" i="11"/>
  <c r="I51" i="11"/>
  <c r="I147" i="11"/>
  <c r="I196" i="11"/>
  <c r="I185" i="11"/>
  <c r="I238" i="11"/>
  <c r="I121" i="11"/>
  <c r="I79" i="11"/>
  <c r="I159" i="11"/>
  <c r="I126" i="11"/>
  <c r="I251" i="11"/>
  <c r="I300" i="11"/>
  <c r="I186" i="11"/>
  <c r="I85" i="11"/>
  <c r="I27" i="11"/>
  <c r="I171" i="11"/>
  <c r="I220" i="11"/>
  <c r="I273" i="11"/>
  <c r="I5" i="11"/>
  <c r="I94" i="11"/>
  <c r="I39" i="11"/>
  <c r="I108" i="11"/>
  <c r="I168" i="11"/>
  <c r="I221" i="11"/>
  <c r="I210" i="11"/>
  <c r="I109" i="11"/>
  <c r="I35" i="11"/>
  <c r="I136" i="11"/>
  <c r="I194" i="11"/>
  <c r="I93" i="11"/>
  <c r="I19" i="11"/>
  <c r="I120" i="11"/>
  <c r="I164" i="11"/>
  <c r="I281" i="11"/>
  <c r="I13" i="11"/>
  <c r="I86" i="11"/>
  <c r="I40" i="11"/>
  <c r="I255" i="11"/>
  <c r="I176" i="11"/>
  <c r="I229" i="11"/>
  <c r="I282" i="11"/>
  <c r="I50" i="11"/>
  <c r="I123" i="11"/>
  <c r="I145" i="11"/>
  <c r="I188" i="11"/>
  <c r="I241" i="11"/>
  <c r="I294" i="11"/>
  <c r="I29" i="11"/>
  <c r="I56" i="11"/>
  <c r="I22" i="11"/>
  <c r="I165" i="11"/>
  <c r="I59" i="11"/>
  <c r="I279" i="11"/>
  <c r="I36" i="11"/>
  <c r="L4" i="8" l="1"/>
  <c r="L5" i="8"/>
  <c r="N11" i="8"/>
  <c r="M11" i="8" s="1"/>
  <c r="L9" i="8"/>
  <c r="L12" i="8"/>
  <c r="N3" i="8"/>
  <c r="M3" i="8" s="1"/>
  <c r="N6" i="8"/>
  <c r="M6" i="8" s="1"/>
  <c r="L8" i="8"/>
  <c r="L10" i="8"/>
  <c r="L2" i="8"/>
  <c r="N4" i="8"/>
  <c r="M4" i="8" s="1"/>
  <c r="N5" i="8"/>
  <c r="M5" i="8" s="1"/>
  <c r="L7" i="8"/>
  <c r="N9" i="8"/>
  <c r="M9" i="8" s="1"/>
  <c r="L3" i="8"/>
  <c r="G5" i="8"/>
  <c r="N10" i="8"/>
  <c r="M10" i="8" s="1"/>
  <c r="J312" i="11"/>
  <c r="B5" i="6" l="1"/>
  <c r="B8" i="6" s="1"/>
  <c r="A15" i="5"/>
  <c r="B8" i="5"/>
  <c r="I2" i="5" s="1"/>
  <c r="L2" i="5"/>
  <c r="F2" i="5"/>
  <c r="E1569" i="4"/>
  <c r="E1568" i="4"/>
  <c r="E1567" i="4"/>
  <c r="E1566" i="4"/>
  <c r="E1565" i="4"/>
  <c r="E1564" i="4"/>
  <c r="E1563" i="4"/>
  <c r="E1562" i="4"/>
  <c r="E1561" i="4"/>
  <c r="E1560" i="4"/>
  <c r="E1559" i="4"/>
  <c r="E1558" i="4"/>
  <c r="E1557" i="4"/>
  <c r="E1556" i="4"/>
  <c r="E1555" i="4"/>
  <c r="E1554" i="4"/>
  <c r="E1553" i="4"/>
  <c r="E1552" i="4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18" i="4"/>
  <c r="E1517" i="4"/>
  <c r="E1516" i="4"/>
  <c r="E1515" i="4"/>
  <c r="E1514" i="4"/>
  <c r="E1513" i="4"/>
  <c r="E1512" i="4"/>
  <c r="E1511" i="4"/>
  <c r="E1510" i="4"/>
  <c r="E1509" i="4"/>
  <c r="E1508" i="4"/>
  <c r="E1507" i="4"/>
  <c r="E1506" i="4"/>
  <c r="E1505" i="4"/>
  <c r="E1504" i="4"/>
  <c r="E1503" i="4"/>
  <c r="E1502" i="4"/>
  <c r="E1501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E1458" i="4"/>
  <c r="E1457" i="4"/>
  <c r="E1456" i="4"/>
  <c r="E1455" i="4"/>
  <c r="E1454" i="4"/>
  <c r="E1453" i="4"/>
  <c r="E1452" i="4"/>
  <c r="E1451" i="4"/>
  <c r="E1450" i="4"/>
  <c r="E1449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9" i="4"/>
  <c r="E1348" i="4"/>
  <c r="E1347" i="4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13" i="4"/>
  <c r="E1312" i="4"/>
  <c r="E1311" i="4"/>
  <c r="E1310" i="4"/>
  <c r="E1309" i="4"/>
  <c r="E1308" i="4"/>
  <c r="E1307" i="4"/>
  <c r="E1306" i="4"/>
  <c r="E1305" i="4"/>
  <c r="E1304" i="4"/>
  <c r="E1303" i="4"/>
  <c r="E1302" i="4"/>
  <c r="E1301" i="4"/>
  <c r="E1300" i="4"/>
  <c r="E1299" i="4"/>
  <c r="E1298" i="4"/>
  <c r="E1297" i="4"/>
  <c r="E1296" i="4"/>
  <c r="E1295" i="4"/>
  <c r="E1294" i="4"/>
  <c r="E1293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2" i="4"/>
  <c r="E1241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6" i="4"/>
  <c r="E1195" i="4"/>
  <c r="E1194" i="4"/>
  <c r="E1193" i="4"/>
  <c r="E1192" i="4"/>
  <c r="E1191" i="4"/>
  <c r="E1190" i="4"/>
  <c r="E1189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8" i="4"/>
  <c r="E1137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9" i="4"/>
  <c r="E1048" i="4"/>
  <c r="E1047" i="4"/>
  <c r="E1046" i="4"/>
  <c r="E1045" i="4"/>
  <c r="E1044" i="4"/>
  <c r="E1043" i="4"/>
  <c r="E1042" i="4"/>
  <c r="E1041" i="4"/>
  <c r="E1040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K3" i="4"/>
  <c r="E3" i="4"/>
  <c r="K2" i="4"/>
  <c r="F252" i="4" s="1"/>
  <c r="G252" i="4" s="1"/>
  <c r="E2" i="4"/>
  <c r="J311" i="11"/>
  <c r="J310" i="11" s="1"/>
  <c r="J309" i="11"/>
  <c r="K312" i="11"/>
  <c r="K311" i="11"/>
  <c r="F6" i="4" l="1"/>
  <c r="G6" i="4" s="1"/>
  <c r="F10" i="4"/>
  <c r="G10" i="4" s="1"/>
  <c r="F14" i="4"/>
  <c r="G14" i="4" s="1"/>
  <c r="F18" i="4"/>
  <c r="G18" i="4" s="1"/>
  <c r="F22" i="4"/>
  <c r="G22" i="4" s="1"/>
  <c r="F26" i="4"/>
  <c r="G26" i="4" s="1"/>
  <c r="F30" i="4"/>
  <c r="G30" i="4" s="1"/>
  <c r="F38" i="4"/>
  <c r="G38" i="4" s="1"/>
  <c r="F42" i="4"/>
  <c r="G42" i="4" s="1"/>
  <c r="F46" i="4"/>
  <c r="G46" i="4" s="1"/>
  <c r="F50" i="4"/>
  <c r="G50" i="4" s="1"/>
  <c r="F54" i="4"/>
  <c r="G54" i="4" s="1"/>
  <c r="F58" i="4"/>
  <c r="G58" i="4" s="1"/>
  <c r="F62" i="4"/>
  <c r="G62" i="4" s="1"/>
  <c r="F66" i="4"/>
  <c r="G66" i="4" s="1"/>
  <c r="F74" i="4"/>
  <c r="G74" i="4" s="1"/>
  <c r="F78" i="4"/>
  <c r="G78" i="4" s="1"/>
  <c r="F82" i="4"/>
  <c r="G82" i="4" s="1"/>
  <c r="F90" i="4"/>
  <c r="G90" i="4" s="1"/>
  <c r="F5" i="4"/>
  <c r="G5" i="4" s="1"/>
  <c r="F9" i="4"/>
  <c r="G9" i="4" s="1"/>
  <c r="F13" i="4"/>
  <c r="G13" i="4" s="1"/>
  <c r="F17" i="4"/>
  <c r="G17" i="4" s="1"/>
  <c r="F21" i="4"/>
  <c r="G21" i="4" s="1"/>
  <c r="F25" i="4"/>
  <c r="G25" i="4" s="1"/>
  <c r="F29" i="4"/>
  <c r="G29" i="4" s="1"/>
  <c r="F33" i="4"/>
  <c r="G33" i="4" s="1"/>
  <c r="F37" i="4"/>
  <c r="G37" i="4" s="1"/>
  <c r="F41" i="4"/>
  <c r="G41" i="4" s="1"/>
  <c r="F45" i="4"/>
  <c r="G45" i="4" s="1"/>
  <c r="F49" i="4"/>
  <c r="G49" i="4" s="1"/>
  <c r="F53" i="4"/>
  <c r="G53" i="4" s="1"/>
  <c r="F57" i="4"/>
  <c r="G57" i="4" s="1"/>
  <c r="F61" i="4"/>
  <c r="G61" i="4" s="1"/>
  <c r="F65" i="4"/>
  <c r="G65" i="4" s="1"/>
  <c r="F69" i="4"/>
  <c r="G69" i="4" s="1"/>
  <c r="F73" i="4"/>
  <c r="G73" i="4" s="1"/>
  <c r="F77" i="4"/>
  <c r="G77" i="4" s="1"/>
  <c r="F81" i="4"/>
  <c r="G81" i="4" s="1"/>
  <c r="F85" i="4"/>
  <c r="G85" i="4" s="1"/>
  <c r="F89" i="4"/>
  <c r="G89" i="4" s="1"/>
  <c r="F93" i="4"/>
  <c r="G93" i="4" s="1"/>
  <c r="F97" i="4"/>
  <c r="G97" i="4" s="1"/>
  <c r="F101" i="4"/>
  <c r="G101" i="4" s="1"/>
  <c r="F105" i="4"/>
  <c r="G105" i="4" s="1"/>
  <c r="F109" i="4"/>
  <c r="G109" i="4" s="1"/>
  <c r="F113" i="4"/>
  <c r="G113" i="4" s="1"/>
  <c r="F117" i="4"/>
  <c r="G117" i="4" s="1"/>
  <c r="F121" i="4"/>
  <c r="G121" i="4" s="1"/>
  <c r="F124" i="4"/>
  <c r="G124" i="4" s="1"/>
  <c r="F129" i="4"/>
  <c r="G129" i="4" s="1"/>
  <c r="F132" i="4"/>
  <c r="G132" i="4" s="1"/>
  <c r="F137" i="4"/>
  <c r="G137" i="4" s="1"/>
  <c r="F140" i="4"/>
  <c r="G140" i="4" s="1"/>
  <c r="F145" i="4"/>
  <c r="G145" i="4" s="1"/>
  <c r="F148" i="4"/>
  <c r="G148" i="4" s="1"/>
  <c r="F153" i="4"/>
  <c r="G153" i="4" s="1"/>
  <c r="F156" i="4"/>
  <c r="G156" i="4" s="1"/>
  <c r="F161" i="4"/>
  <c r="G161" i="4" s="1"/>
  <c r="F164" i="4"/>
  <c r="G164" i="4" s="1"/>
  <c r="F169" i="4"/>
  <c r="G169" i="4" s="1"/>
  <c r="F172" i="4"/>
  <c r="G172" i="4" s="1"/>
  <c r="F177" i="4"/>
  <c r="G177" i="4" s="1"/>
  <c r="F180" i="4"/>
  <c r="G180" i="4" s="1"/>
  <c r="F185" i="4"/>
  <c r="G185" i="4" s="1"/>
  <c r="F188" i="4"/>
  <c r="G188" i="4" s="1"/>
  <c r="F193" i="4"/>
  <c r="G193" i="4" s="1"/>
  <c r="F196" i="4"/>
  <c r="G196" i="4" s="1"/>
  <c r="F201" i="4"/>
  <c r="G201" i="4" s="1"/>
  <c r="F204" i="4"/>
  <c r="G204" i="4" s="1"/>
  <c r="F209" i="4"/>
  <c r="G209" i="4" s="1"/>
  <c r="F212" i="4"/>
  <c r="G212" i="4" s="1"/>
  <c r="F2" i="4"/>
  <c r="G2" i="4" s="1"/>
  <c r="F3" i="4"/>
  <c r="G3" i="4" s="1"/>
  <c r="F8" i="4"/>
  <c r="G8" i="4" s="1"/>
  <c r="F24" i="4"/>
  <c r="G24" i="4" s="1"/>
  <c r="F36" i="4"/>
  <c r="G36" i="4" s="1"/>
  <c r="F48" i="4"/>
  <c r="G48" i="4" s="1"/>
  <c r="F56" i="4"/>
  <c r="G56" i="4" s="1"/>
  <c r="F60" i="4"/>
  <c r="G60" i="4" s="1"/>
  <c r="F64" i="4"/>
  <c r="G64" i="4" s="1"/>
  <c r="F68" i="4"/>
  <c r="G68" i="4" s="1"/>
  <c r="F72" i="4"/>
  <c r="G72" i="4" s="1"/>
  <c r="F76" i="4"/>
  <c r="G76" i="4" s="1"/>
  <c r="F80" i="4"/>
  <c r="G80" i="4" s="1"/>
  <c r="F84" i="4"/>
  <c r="G84" i="4" s="1"/>
  <c r="F88" i="4"/>
  <c r="G88" i="4" s="1"/>
  <c r="F92" i="4"/>
  <c r="G92" i="4" s="1"/>
  <c r="F96" i="4"/>
  <c r="G96" i="4" s="1"/>
  <c r="F100" i="4"/>
  <c r="G100" i="4" s="1"/>
  <c r="F104" i="4"/>
  <c r="G104" i="4" s="1"/>
  <c r="F108" i="4"/>
  <c r="G108" i="4" s="1"/>
  <c r="F112" i="4"/>
  <c r="G112" i="4" s="1"/>
  <c r="F116" i="4"/>
  <c r="G116" i="4" s="1"/>
  <c r="F120" i="4"/>
  <c r="G120" i="4" s="1"/>
  <c r="F126" i="4"/>
  <c r="G126" i="4" s="1"/>
  <c r="F134" i="4"/>
  <c r="G134" i="4" s="1"/>
  <c r="F142" i="4"/>
  <c r="G142" i="4" s="1"/>
  <c r="F150" i="4"/>
  <c r="G150" i="4" s="1"/>
  <c r="F158" i="4"/>
  <c r="G158" i="4" s="1"/>
  <c r="F166" i="4"/>
  <c r="G166" i="4" s="1"/>
  <c r="F174" i="4"/>
  <c r="G174" i="4" s="1"/>
  <c r="F182" i="4"/>
  <c r="G182" i="4" s="1"/>
  <c r="F190" i="4"/>
  <c r="G190" i="4" s="1"/>
  <c r="F198" i="4"/>
  <c r="G198" i="4" s="1"/>
  <c r="F206" i="4"/>
  <c r="G206" i="4" s="1"/>
  <c r="F214" i="4"/>
  <c r="G214" i="4" s="1"/>
  <c r="F4" i="4"/>
  <c r="G4" i="4" s="1"/>
  <c r="F12" i="4"/>
  <c r="G12" i="4" s="1"/>
  <c r="F16" i="4"/>
  <c r="G16" i="4" s="1"/>
  <c r="F20" i="4"/>
  <c r="G20" i="4" s="1"/>
  <c r="F28" i="4"/>
  <c r="G28" i="4" s="1"/>
  <c r="F32" i="4"/>
  <c r="G32" i="4" s="1"/>
  <c r="F40" i="4"/>
  <c r="G40" i="4" s="1"/>
  <c r="F44" i="4"/>
  <c r="G44" i="4" s="1"/>
  <c r="F52" i="4"/>
  <c r="G52" i="4" s="1"/>
  <c r="F7" i="4"/>
  <c r="G7" i="4" s="1"/>
  <c r="F11" i="4"/>
  <c r="G11" i="4" s="1"/>
  <c r="F15" i="4"/>
  <c r="G15" i="4" s="1"/>
  <c r="F19" i="4"/>
  <c r="G19" i="4" s="1"/>
  <c r="F23" i="4"/>
  <c r="G23" i="4" s="1"/>
  <c r="F27" i="4"/>
  <c r="G27" i="4" s="1"/>
  <c r="F31" i="4"/>
  <c r="G31" i="4" s="1"/>
  <c r="F35" i="4"/>
  <c r="G35" i="4" s="1"/>
  <c r="F39" i="4"/>
  <c r="G39" i="4" s="1"/>
  <c r="F43" i="4"/>
  <c r="G43" i="4" s="1"/>
  <c r="F47" i="4"/>
  <c r="G47" i="4" s="1"/>
  <c r="F51" i="4"/>
  <c r="G51" i="4" s="1"/>
  <c r="F55" i="4"/>
  <c r="G55" i="4" s="1"/>
  <c r="F59" i="4"/>
  <c r="G59" i="4" s="1"/>
  <c r="F63" i="4"/>
  <c r="G63" i="4" s="1"/>
  <c r="F67" i="4"/>
  <c r="G67" i="4" s="1"/>
  <c r="F71" i="4"/>
  <c r="G71" i="4" s="1"/>
  <c r="F75" i="4"/>
  <c r="G75" i="4" s="1"/>
  <c r="F79" i="4"/>
  <c r="G79" i="4" s="1"/>
  <c r="F83" i="4"/>
  <c r="G83" i="4" s="1"/>
  <c r="F87" i="4"/>
  <c r="G87" i="4" s="1"/>
  <c r="F91" i="4"/>
  <c r="G91" i="4" s="1"/>
  <c r="F95" i="4"/>
  <c r="G95" i="4" s="1"/>
  <c r="F99" i="4"/>
  <c r="G99" i="4" s="1"/>
  <c r="F103" i="4"/>
  <c r="G103" i="4" s="1"/>
  <c r="F107" i="4"/>
  <c r="G107" i="4" s="1"/>
  <c r="F111" i="4"/>
  <c r="G111" i="4" s="1"/>
  <c r="F115" i="4"/>
  <c r="G115" i="4" s="1"/>
  <c r="F119" i="4"/>
  <c r="G119" i="4" s="1"/>
  <c r="F125" i="4"/>
  <c r="G125" i="4" s="1"/>
  <c r="F128" i="4"/>
  <c r="G128" i="4" s="1"/>
  <c r="F133" i="4"/>
  <c r="G133" i="4" s="1"/>
  <c r="F136" i="4"/>
  <c r="G136" i="4" s="1"/>
  <c r="F141" i="4"/>
  <c r="G141" i="4" s="1"/>
  <c r="F144" i="4"/>
  <c r="G144" i="4" s="1"/>
  <c r="F149" i="4"/>
  <c r="G149" i="4" s="1"/>
  <c r="F152" i="4"/>
  <c r="G152" i="4" s="1"/>
  <c r="F157" i="4"/>
  <c r="G157" i="4" s="1"/>
  <c r="F160" i="4"/>
  <c r="G160" i="4" s="1"/>
  <c r="F165" i="4"/>
  <c r="G165" i="4" s="1"/>
  <c r="F168" i="4"/>
  <c r="G168" i="4" s="1"/>
  <c r="F173" i="4"/>
  <c r="G173" i="4" s="1"/>
  <c r="F176" i="4"/>
  <c r="G176" i="4" s="1"/>
  <c r="F181" i="4"/>
  <c r="G181" i="4" s="1"/>
  <c r="F184" i="4"/>
  <c r="G184" i="4" s="1"/>
  <c r="F189" i="4"/>
  <c r="G189" i="4" s="1"/>
  <c r="F192" i="4"/>
  <c r="G192" i="4" s="1"/>
  <c r="F197" i="4"/>
  <c r="G197" i="4" s="1"/>
  <c r="F200" i="4"/>
  <c r="G200" i="4" s="1"/>
  <c r="F205" i="4"/>
  <c r="G205" i="4" s="1"/>
  <c r="F208" i="4"/>
  <c r="G208" i="4" s="1"/>
  <c r="F213" i="4"/>
  <c r="G213" i="4" s="1"/>
  <c r="F216" i="4"/>
  <c r="G216" i="4" s="1"/>
  <c r="F218" i="4"/>
  <c r="G218" i="4" s="1"/>
  <c r="F220" i="4"/>
  <c r="G220" i="4" s="1"/>
  <c r="F222" i="4"/>
  <c r="G222" i="4" s="1"/>
  <c r="F224" i="4"/>
  <c r="G224" i="4" s="1"/>
  <c r="F226" i="4"/>
  <c r="G226" i="4" s="1"/>
  <c r="F228" i="4"/>
  <c r="G228" i="4" s="1"/>
  <c r="F230" i="4"/>
  <c r="G230" i="4" s="1"/>
  <c r="F232" i="4"/>
  <c r="G232" i="4" s="1"/>
  <c r="F234" i="4"/>
  <c r="G234" i="4" s="1"/>
  <c r="F236" i="4"/>
  <c r="G236" i="4" s="1"/>
  <c r="F238" i="4"/>
  <c r="G238" i="4" s="1"/>
  <c r="F240" i="4"/>
  <c r="G240" i="4" s="1"/>
  <c r="F242" i="4"/>
  <c r="G242" i="4" s="1"/>
  <c r="F244" i="4"/>
  <c r="G244" i="4" s="1"/>
  <c r="F246" i="4"/>
  <c r="G246" i="4" s="1"/>
  <c r="F248" i="4"/>
  <c r="G248" i="4" s="1"/>
  <c r="F250" i="4"/>
  <c r="G250" i="4" s="1"/>
  <c r="F1568" i="4"/>
  <c r="G1568" i="4" s="1"/>
  <c r="F1564" i="4"/>
  <c r="G1564" i="4" s="1"/>
  <c r="F1560" i="4"/>
  <c r="G1560" i="4" s="1"/>
  <c r="F1556" i="4"/>
  <c r="G1556" i="4" s="1"/>
  <c r="F1552" i="4"/>
  <c r="G1552" i="4" s="1"/>
  <c r="F1548" i="4"/>
  <c r="G1548" i="4" s="1"/>
  <c r="F1544" i="4"/>
  <c r="G1544" i="4" s="1"/>
  <c r="F1540" i="4"/>
  <c r="G1540" i="4" s="1"/>
  <c r="F1536" i="4"/>
  <c r="G1536" i="4" s="1"/>
  <c r="F1532" i="4"/>
  <c r="G1532" i="4" s="1"/>
  <c r="F1528" i="4"/>
  <c r="G1528" i="4" s="1"/>
  <c r="F1524" i="4"/>
  <c r="G1524" i="4" s="1"/>
  <c r="F1520" i="4"/>
  <c r="G1520" i="4" s="1"/>
  <c r="F1516" i="4"/>
  <c r="G1516" i="4" s="1"/>
  <c r="F1512" i="4"/>
  <c r="G1512" i="4" s="1"/>
  <c r="F1508" i="4"/>
  <c r="G1508" i="4" s="1"/>
  <c r="F1504" i="4"/>
  <c r="G1504" i="4" s="1"/>
  <c r="F1500" i="4"/>
  <c r="G1500" i="4" s="1"/>
  <c r="F1496" i="4"/>
  <c r="G1496" i="4" s="1"/>
  <c r="F1492" i="4"/>
  <c r="G1492" i="4" s="1"/>
  <c r="F1488" i="4"/>
  <c r="G1488" i="4" s="1"/>
  <c r="F1484" i="4"/>
  <c r="G1484" i="4" s="1"/>
  <c r="F1480" i="4"/>
  <c r="G1480" i="4" s="1"/>
  <c r="F1476" i="4"/>
  <c r="G1476" i="4" s="1"/>
  <c r="F1472" i="4"/>
  <c r="G1472" i="4" s="1"/>
  <c r="F1468" i="4"/>
  <c r="G1468" i="4" s="1"/>
  <c r="F1464" i="4"/>
  <c r="G1464" i="4" s="1"/>
  <c r="F1460" i="4"/>
  <c r="G1460" i="4" s="1"/>
  <c r="F1456" i="4"/>
  <c r="G1456" i="4" s="1"/>
  <c r="F1452" i="4"/>
  <c r="G1452" i="4" s="1"/>
  <c r="F1448" i="4"/>
  <c r="G1448" i="4" s="1"/>
  <c r="F1444" i="4"/>
  <c r="G1444" i="4" s="1"/>
  <c r="F1440" i="4"/>
  <c r="G1440" i="4" s="1"/>
  <c r="F1569" i="4"/>
  <c r="G1569" i="4" s="1"/>
  <c r="F1565" i="4"/>
  <c r="G1565" i="4" s="1"/>
  <c r="F1561" i="4"/>
  <c r="G1561" i="4" s="1"/>
  <c r="F1557" i="4"/>
  <c r="G1557" i="4" s="1"/>
  <c r="F1553" i="4"/>
  <c r="G1553" i="4" s="1"/>
  <c r="F1549" i="4"/>
  <c r="G1549" i="4" s="1"/>
  <c r="F1545" i="4"/>
  <c r="G1545" i="4" s="1"/>
  <c r="F1541" i="4"/>
  <c r="G1541" i="4" s="1"/>
  <c r="F1537" i="4"/>
  <c r="G1537" i="4" s="1"/>
  <c r="F1533" i="4"/>
  <c r="G1533" i="4" s="1"/>
  <c r="F1529" i="4"/>
  <c r="G1529" i="4" s="1"/>
  <c r="F1525" i="4"/>
  <c r="G1525" i="4" s="1"/>
  <c r="F1521" i="4"/>
  <c r="G1521" i="4" s="1"/>
  <c r="F1517" i="4"/>
  <c r="G1517" i="4" s="1"/>
  <c r="F1513" i="4"/>
  <c r="G1513" i="4" s="1"/>
  <c r="F1509" i="4"/>
  <c r="G1509" i="4" s="1"/>
  <c r="F1505" i="4"/>
  <c r="G1505" i="4" s="1"/>
  <c r="F1501" i="4"/>
  <c r="G1501" i="4" s="1"/>
  <c r="F1497" i="4"/>
  <c r="G1497" i="4" s="1"/>
  <c r="F1493" i="4"/>
  <c r="G1493" i="4" s="1"/>
  <c r="F1489" i="4"/>
  <c r="G1489" i="4" s="1"/>
  <c r="F1485" i="4"/>
  <c r="G1485" i="4" s="1"/>
  <c r="F1481" i="4"/>
  <c r="G1481" i="4" s="1"/>
  <c r="F1477" i="4"/>
  <c r="G1477" i="4" s="1"/>
  <c r="F1473" i="4"/>
  <c r="G1473" i="4" s="1"/>
  <c r="F1469" i="4"/>
  <c r="G1469" i="4" s="1"/>
  <c r="F1465" i="4"/>
  <c r="G1465" i="4" s="1"/>
  <c r="F1461" i="4"/>
  <c r="G1461" i="4" s="1"/>
  <c r="F1457" i="4"/>
  <c r="G1457" i="4" s="1"/>
  <c r="F1453" i="4"/>
  <c r="G1453" i="4" s="1"/>
  <c r="F1449" i="4"/>
  <c r="G1449" i="4" s="1"/>
  <c r="F1445" i="4"/>
  <c r="G1445" i="4" s="1"/>
  <c r="F1441" i="4"/>
  <c r="G1441" i="4" s="1"/>
  <c r="F1437" i="4"/>
  <c r="G1437" i="4" s="1"/>
  <c r="F1433" i="4"/>
  <c r="G1433" i="4" s="1"/>
  <c r="F1429" i="4"/>
  <c r="G1429" i="4" s="1"/>
  <c r="F1425" i="4"/>
  <c r="G1425" i="4" s="1"/>
  <c r="F1566" i="4"/>
  <c r="G1566" i="4" s="1"/>
  <c r="F1562" i="4"/>
  <c r="G1562" i="4" s="1"/>
  <c r="F1558" i="4"/>
  <c r="G1558" i="4" s="1"/>
  <c r="F1554" i="4"/>
  <c r="G1554" i="4" s="1"/>
  <c r="F1550" i="4"/>
  <c r="G1550" i="4" s="1"/>
  <c r="F1546" i="4"/>
  <c r="G1546" i="4" s="1"/>
  <c r="F1542" i="4"/>
  <c r="G1542" i="4" s="1"/>
  <c r="F1538" i="4"/>
  <c r="G1538" i="4" s="1"/>
  <c r="F1534" i="4"/>
  <c r="G1534" i="4" s="1"/>
  <c r="F1530" i="4"/>
  <c r="G1530" i="4" s="1"/>
  <c r="F1526" i="4"/>
  <c r="G1526" i="4" s="1"/>
  <c r="F1522" i="4"/>
  <c r="G1522" i="4" s="1"/>
  <c r="F1518" i="4"/>
  <c r="G1518" i="4" s="1"/>
  <c r="F1514" i="4"/>
  <c r="G1514" i="4" s="1"/>
  <c r="F1510" i="4"/>
  <c r="G1510" i="4" s="1"/>
  <c r="F1506" i="4"/>
  <c r="G1506" i="4" s="1"/>
  <c r="F1502" i="4"/>
  <c r="G1502" i="4" s="1"/>
  <c r="F1498" i="4"/>
  <c r="G1498" i="4" s="1"/>
  <c r="F1494" i="4"/>
  <c r="G1494" i="4" s="1"/>
  <c r="F1490" i="4"/>
  <c r="G1490" i="4" s="1"/>
  <c r="F1486" i="4"/>
  <c r="G1486" i="4" s="1"/>
  <c r="F1482" i="4"/>
  <c r="G1482" i="4" s="1"/>
  <c r="F1478" i="4"/>
  <c r="G1478" i="4" s="1"/>
  <c r="F1474" i="4"/>
  <c r="G1474" i="4" s="1"/>
  <c r="F1470" i="4"/>
  <c r="G1470" i="4" s="1"/>
  <c r="F1466" i="4"/>
  <c r="G1466" i="4" s="1"/>
  <c r="F1462" i="4"/>
  <c r="G1462" i="4" s="1"/>
  <c r="F1458" i="4"/>
  <c r="G1458" i="4" s="1"/>
  <c r="F1454" i="4"/>
  <c r="G1454" i="4" s="1"/>
  <c r="F1450" i="4"/>
  <c r="G1450" i="4" s="1"/>
  <c r="F1446" i="4"/>
  <c r="G1446" i="4" s="1"/>
  <c r="F1442" i="4"/>
  <c r="G1442" i="4" s="1"/>
  <c r="F1567" i="4"/>
  <c r="G1567" i="4" s="1"/>
  <c r="F1563" i="4"/>
  <c r="G1563" i="4" s="1"/>
  <c r="F1559" i="4"/>
  <c r="G1559" i="4" s="1"/>
  <c r="F1555" i="4"/>
  <c r="G1555" i="4" s="1"/>
  <c r="F1551" i="4"/>
  <c r="G1551" i="4" s="1"/>
  <c r="F1547" i="4"/>
  <c r="G1547" i="4" s="1"/>
  <c r="F1543" i="4"/>
  <c r="G1543" i="4" s="1"/>
  <c r="F1539" i="4"/>
  <c r="G1539" i="4" s="1"/>
  <c r="F1535" i="4"/>
  <c r="G1535" i="4" s="1"/>
  <c r="F1531" i="4"/>
  <c r="G1531" i="4" s="1"/>
  <c r="F1527" i="4"/>
  <c r="G1527" i="4" s="1"/>
  <c r="F1523" i="4"/>
  <c r="G1523" i="4" s="1"/>
  <c r="F1519" i="4"/>
  <c r="G1519" i="4" s="1"/>
  <c r="F1515" i="4"/>
  <c r="G1515" i="4" s="1"/>
  <c r="F1511" i="4"/>
  <c r="G1511" i="4" s="1"/>
  <c r="F1507" i="4"/>
  <c r="G1507" i="4" s="1"/>
  <c r="F1503" i="4"/>
  <c r="G1503" i="4" s="1"/>
  <c r="F1499" i="4"/>
  <c r="G1499" i="4" s="1"/>
  <c r="F1495" i="4"/>
  <c r="G1495" i="4" s="1"/>
  <c r="F1491" i="4"/>
  <c r="G1491" i="4" s="1"/>
  <c r="F1487" i="4"/>
  <c r="G1487" i="4" s="1"/>
  <c r="F1483" i="4"/>
  <c r="G1483" i="4" s="1"/>
  <c r="F1479" i="4"/>
  <c r="G1479" i="4" s="1"/>
  <c r="F1475" i="4"/>
  <c r="G1475" i="4" s="1"/>
  <c r="F1471" i="4"/>
  <c r="G1471" i="4" s="1"/>
  <c r="F1467" i="4"/>
  <c r="G1467" i="4" s="1"/>
  <c r="F1463" i="4"/>
  <c r="G1463" i="4" s="1"/>
  <c r="F1459" i="4"/>
  <c r="G1459" i="4" s="1"/>
  <c r="F1455" i="4"/>
  <c r="G1455" i="4" s="1"/>
  <c r="F1451" i="4"/>
  <c r="G1451" i="4" s="1"/>
  <c r="F1447" i="4"/>
  <c r="G1447" i="4" s="1"/>
  <c r="F1443" i="4"/>
  <c r="G1443" i="4" s="1"/>
  <c r="F1439" i="4"/>
  <c r="G1439" i="4" s="1"/>
  <c r="F1435" i="4"/>
  <c r="G1435" i="4" s="1"/>
  <c r="F1431" i="4"/>
  <c r="G1431" i="4" s="1"/>
  <c r="F1427" i="4"/>
  <c r="G1427" i="4" s="1"/>
  <c r="F1423" i="4"/>
  <c r="G1423" i="4" s="1"/>
  <c r="F1419" i="4"/>
  <c r="G1419" i="4" s="1"/>
  <c r="F1415" i="4"/>
  <c r="G1415" i="4" s="1"/>
  <c r="F1411" i="4"/>
  <c r="G1411" i="4" s="1"/>
  <c r="F1407" i="4"/>
  <c r="G1407" i="4" s="1"/>
  <c r="F1403" i="4"/>
  <c r="G1403" i="4" s="1"/>
  <c r="F1438" i="4"/>
  <c r="G1438" i="4" s="1"/>
  <c r="F1436" i="4"/>
  <c r="G1436" i="4" s="1"/>
  <c r="F1434" i="4"/>
  <c r="G1434" i="4" s="1"/>
  <c r="F1432" i="4"/>
  <c r="G1432" i="4" s="1"/>
  <c r="F1430" i="4"/>
  <c r="G1430" i="4" s="1"/>
  <c r="F1428" i="4"/>
  <c r="G1428" i="4" s="1"/>
  <c r="F1426" i="4"/>
  <c r="G1426" i="4" s="1"/>
  <c r="F1424" i="4"/>
  <c r="G1424" i="4" s="1"/>
  <c r="F1421" i="4"/>
  <c r="G1421" i="4" s="1"/>
  <c r="F1416" i="4"/>
  <c r="G1416" i="4" s="1"/>
  <c r="F1413" i="4"/>
  <c r="G1413" i="4" s="1"/>
  <c r="F1408" i="4"/>
  <c r="G1408" i="4" s="1"/>
  <c r="F1405" i="4"/>
  <c r="G1405" i="4" s="1"/>
  <c r="F1400" i="4"/>
  <c r="G1400" i="4" s="1"/>
  <c r="F1396" i="4"/>
  <c r="G1396" i="4" s="1"/>
  <c r="F1392" i="4"/>
  <c r="G1392" i="4" s="1"/>
  <c r="F1388" i="4"/>
  <c r="G1388" i="4" s="1"/>
  <c r="F1384" i="4"/>
  <c r="G1384" i="4" s="1"/>
  <c r="F1380" i="4"/>
  <c r="G1380" i="4" s="1"/>
  <c r="F1376" i="4"/>
  <c r="G1376" i="4" s="1"/>
  <c r="F1372" i="4"/>
  <c r="G1372" i="4" s="1"/>
  <c r="F1368" i="4"/>
  <c r="G1368" i="4" s="1"/>
  <c r="F1364" i="4"/>
  <c r="G1364" i="4" s="1"/>
  <c r="F1360" i="4"/>
  <c r="G1360" i="4" s="1"/>
  <c r="F1356" i="4"/>
  <c r="G1356" i="4" s="1"/>
  <c r="F1352" i="4"/>
  <c r="G1352" i="4" s="1"/>
  <c r="F1348" i="4"/>
  <c r="G1348" i="4" s="1"/>
  <c r="F1344" i="4"/>
  <c r="G1344" i="4" s="1"/>
  <c r="F1340" i="4"/>
  <c r="G1340" i="4" s="1"/>
  <c r="F1336" i="4"/>
  <c r="G1336" i="4" s="1"/>
  <c r="F1332" i="4"/>
  <c r="G1332" i="4" s="1"/>
  <c r="F1328" i="4"/>
  <c r="G1328" i="4" s="1"/>
  <c r="F1324" i="4"/>
  <c r="G1324" i="4" s="1"/>
  <c r="F1320" i="4"/>
  <c r="G1320" i="4" s="1"/>
  <c r="F1316" i="4"/>
  <c r="G1316" i="4" s="1"/>
  <c r="F1312" i="4"/>
  <c r="G1312" i="4" s="1"/>
  <c r="F1308" i="4"/>
  <c r="G1308" i="4" s="1"/>
  <c r="F1304" i="4"/>
  <c r="G1304" i="4" s="1"/>
  <c r="F1300" i="4"/>
  <c r="G1300" i="4" s="1"/>
  <c r="F1296" i="4"/>
  <c r="G1296" i="4" s="1"/>
  <c r="F1292" i="4"/>
  <c r="G1292" i="4" s="1"/>
  <c r="F1288" i="4"/>
  <c r="G1288" i="4" s="1"/>
  <c r="F1284" i="4"/>
  <c r="G1284" i="4" s="1"/>
  <c r="F1280" i="4"/>
  <c r="G1280" i="4" s="1"/>
  <c r="F1276" i="4"/>
  <c r="G1276" i="4" s="1"/>
  <c r="F1422" i="4"/>
  <c r="G1422" i="4" s="1"/>
  <c r="F1414" i="4"/>
  <c r="G1414" i="4" s="1"/>
  <c r="F1406" i="4"/>
  <c r="G1406" i="4" s="1"/>
  <c r="F1397" i="4"/>
  <c r="G1397" i="4" s="1"/>
  <c r="F1393" i="4"/>
  <c r="G1393" i="4" s="1"/>
  <c r="F1389" i="4"/>
  <c r="G1389" i="4" s="1"/>
  <c r="F1385" i="4"/>
  <c r="G1385" i="4" s="1"/>
  <c r="F1381" i="4"/>
  <c r="G1381" i="4" s="1"/>
  <c r="F1377" i="4"/>
  <c r="G1377" i="4" s="1"/>
  <c r="F1373" i="4"/>
  <c r="G1373" i="4" s="1"/>
  <c r="F1369" i="4"/>
  <c r="G1369" i="4" s="1"/>
  <c r="F1365" i="4"/>
  <c r="G1365" i="4" s="1"/>
  <c r="F1361" i="4"/>
  <c r="G1361" i="4" s="1"/>
  <c r="F1357" i="4"/>
  <c r="G1357" i="4" s="1"/>
  <c r="F1353" i="4"/>
  <c r="G1353" i="4" s="1"/>
  <c r="F1349" i="4"/>
  <c r="G1349" i="4" s="1"/>
  <c r="F1345" i="4"/>
  <c r="G1345" i="4" s="1"/>
  <c r="F1341" i="4"/>
  <c r="G1341" i="4" s="1"/>
  <c r="F1337" i="4"/>
  <c r="G1337" i="4" s="1"/>
  <c r="F1333" i="4"/>
  <c r="G1333" i="4" s="1"/>
  <c r="F1329" i="4"/>
  <c r="G1329" i="4" s="1"/>
  <c r="F1325" i="4"/>
  <c r="G1325" i="4" s="1"/>
  <c r="F1321" i="4"/>
  <c r="G1321" i="4" s="1"/>
  <c r="F1317" i="4"/>
  <c r="G1317" i="4" s="1"/>
  <c r="F1313" i="4"/>
  <c r="G1313" i="4" s="1"/>
  <c r="F1309" i="4"/>
  <c r="G1309" i="4" s="1"/>
  <c r="F1305" i="4"/>
  <c r="G1305" i="4" s="1"/>
  <c r="F1301" i="4"/>
  <c r="G1301" i="4" s="1"/>
  <c r="F1297" i="4"/>
  <c r="G1297" i="4" s="1"/>
  <c r="F1293" i="4"/>
  <c r="G1293" i="4" s="1"/>
  <c r="F1289" i="4"/>
  <c r="G1289" i="4" s="1"/>
  <c r="F1285" i="4"/>
  <c r="G1285" i="4" s="1"/>
  <c r="F1281" i="4"/>
  <c r="G1281" i="4" s="1"/>
  <c r="F1277" i="4"/>
  <c r="G1277" i="4" s="1"/>
  <c r="F1273" i="4"/>
  <c r="G1273" i="4" s="1"/>
  <c r="F1269" i="4"/>
  <c r="G1269" i="4" s="1"/>
  <c r="F1265" i="4"/>
  <c r="G1265" i="4" s="1"/>
  <c r="F1261" i="4"/>
  <c r="G1261" i="4" s="1"/>
  <c r="F1257" i="4"/>
  <c r="G1257" i="4" s="1"/>
  <c r="F1253" i="4"/>
  <c r="G1253" i="4" s="1"/>
  <c r="F1249" i="4"/>
  <c r="G1249" i="4" s="1"/>
  <c r="F1245" i="4"/>
  <c r="G1245" i="4" s="1"/>
  <c r="F1420" i="4"/>
  <c r="G1420" i="4" s="1"/>
  <c r="F1417" i="4"/>
  <c r="G1417" i="4" s="1"/>
  <c r="F1412" i="4"/>
  <c r="G1412" i="4" s="1"/>
  <c r="F1409" i="4"/>
  <c r="G1409" i="4" s="1"/>
  <c r="F1404" i="4"/>
  <c r="G1404" i="4" s="1"/>
  <c r="F1401" i="4"/>
  <c r="G1401" i="4" s="1"/>
  <c r="F1398" i="4"/>
  <c r="G1398" i="4" s="1"/>
  <c r="F1394" i="4"/>
  <c r="G1394" i="4" s="1"/>
  <c r="F1390" i="4"/>
  <c r="G1390" i="4" s="1"/>
  <c r="F1386" i="4"/>
  <c r="G1386" i="4" s="1"/>
  <c r="F1382" i="4"/>
  <c r="G1382" i="4" s="1"/>
  <c r="F1378" i="4"/>
  <c r="G1378" i="4" s="1"/>
  <c r="F1374" i="4"/>
  <c r="G1374" i="4" s="1"/>
  <c r="F1370" i="4"/>
  <c r="G1370" i="4" s="1"/>
  <c r="F1366" i="4"/>
  <c r="G1366" i="4" s="1"/>
  <c r="F1362" i="4"/>
  <c r="G1362" i="4" s="1"/>
  <c r="F1358" i="4"/>
  <c r="G1358" i="4" s="1"/>
  <c r="F1354" i="4"/>
  <c r="G1354" i="4" s="1"/>
  <c r="F1350" i="4"/>
  <c r="G1350" i="4" s="1"/>
  <c r="F1346" i="4"/>
  <c r="G1346" i="4" s="1"/>
  <c r="F1342" i="4"/>
  <c r="G1342" i="4" s="1"/>
  <c r="F1338" i="4"/>
  <c r="G1338" i="4" s="1"/>
  <c r="F1334" i="4"/>
  <c r="G1334" i="4" s="1"/>
  <c r="F1330" i="4"/>
  <c r="G1330" i="4" s="1"/>
  <c r="F1326" i="4"/>
  <c r="G1326" i="4" s="1"/>
  <c r="F1322" i="4"/>
  <c r="G1322" i="4" s="1"/>
  <c r="F1318" i="4"/>
  <c r="G1318" i="4" s="1"/>
  <c r="F1314" i="4"/>
  <c r="G1314" i="4" s="1"/>
  <c r="F1310" i="4"/>
  <c r="G1310" i="4" s="1"/>
  <c r="F1306" i="4"/>
  <c r="G1306" i="4" s="1"/>
  <c r="F1302" i="4"/>
  <c r="G1302" i="4" s="1"/>
  <c r="F1298" i="4"/>
  <c r="G1298" i="4" s="1"/>
  <c r="F1294" i="4"/>
  <c r="G1294" i="4" s="1"/>
  <c r="F1290" i="4"/>
  <c r="G1290" i="4" s="1"/>
  <c r="F1286" i="4"/>
  <c r="G1286" i="4" s="1"/>
  <c r="F1282" i="4"/>
  <c r="G1282" i="4" s="1"/>
  <c r="F1278" i="4"/>
  <c r="G1278" i="4" s="1"/>
  <c r="F1418" i="4"/>
  <c r="G1418" i="4" s="1"/>
  <c r="F1410" i="4"/>
  <c r="G1410" i="4" s="1"/>
  <c r="F1402" i="4"/>
  <c r="G1402" i="4" s="1"/>
  <c r="F1399" i="4"/>
  <c r="G1399" i="4" s="1"/>
  <c r="F1395" i="4"/>
  <c r="G1395" i="4" s="1"/>
  <c r="F1391" i="4"/>
  <c r="G1391" i="4" s="1"/>
  <c r="F1387" i="4"/>
  <c r="G1387" i="4" s="1"/>
  <c r="F1383" i="4"/>
  <c r="G1383" i="4" s="1"/>
  <c r="F1379" i="4"/>
  <c r="G1379" i="4" s="1"/>
  <c r="F1375" i="4"/>
  <c r="G1375" i="4" s="1"/>
  <c r="F1371" i="4"/>
  <c r="G1371" i="4" s="1"/>
  <c r="F1367" i="4"/>
  <c r="G1367" i="4" s="1"/>
  <c r="F1363" i="4"/>
  <c r="G1363" i="4" s="1"/>
  <c r="F1359" i="4"/>
  <c r="G1359" i="4" s="1"/>
  <c r="F1355" i="4"/>
  <c r="G1355" i="4" s="1"/>
  <c r="F1351" i="4"/>
  <c r="G1351" i="4" s="1"/>
  <c r="F1347" i="4"/>
  <c r="G1347" i="4" s="1"/>
  <c r="F1343" i="4"/>
  <c r="G1343" i="4" s="1"/>
  <c r="F1339" i="4"/>
  <c r="G1339" i="4" s="1"/>
  <c r="F1335" i="4"/>
  <c r="G1335" i="4" s="1"/>
  <c r="F1331" i="4"/>
  <c r="G1331" i="4" s="1"/>
  <c r="F1327" i="4"/>
  <c r="G1327" i="4" s="1"/>
  <c r="F1323" i="4"/>
  <c r="G1323" i="4" s="1"/>
  <c r="F1319" i="4"/>
  <c r="G1319" i="4" s="1"/>
  <c r="F1315" i="4"/>
  <c r="G1315" i="4" s="1"/>
  <c r="F1311" i="4"/>
  <c r="G1311" i="4" s="1"/>
  <c r="F1307" i="4"/>
  <c r="G1307" i="4" s="1"/>
  <c r="F1303" i="4"/>
  <c r="G1303" i="4" s="1"/>
  <c r="F1299" i="4"/>
  <c r="G1299" i="4" s="1"/>
  <c r="F1295" i="4"/>
  <c r="G1295" i="4" s="1"/>
  <c r="F1291" i="4"/>
  <c r="G1291" i="4" s="1"/>
  <c r="F1287" i="4"/>
  <c r="G1287" i="4" s="1"/>
  <c r="F1283" i="4"/>
  <c r="G1283" i="4" s="1"/>
  <c r="F1279" i="4"/>
  <c r="G1279" i="4" s="1"/>
  <c r="F1275" i="4"/>
  <c r="G1275" i="4" s="1"/>
  <c r="F1271" i="4"/>
  <c r="G1271" i="4" s="1"/>
  <c r="F1267" i="4"/>
  <c r="G1267" i="4" s="1"/>
  <c r="F1263" i="4"/>
  <c r="G1263" i="4" s="1"/>
  <c r="F1259" i="4"/>
  <c r="G1259" i="4" s="1"/>
  <c r="F1255" i="4"/>
  <c r="G1255" i="4" s="1"/>
  <c r="F1251" i="4"/>
  <c r="G1251" i="4" s="1"/>
  <c r="F1247" i="4"/>
  <c r="G1247" i="4" s="1"/>
  <c r="F1243" i="4"/>
  <c r="G1243" i="4" s="1"/>
  <c r="F1239" i="4"/>
  <c r="G1239" i="4" s="1"/>
  <c r="F1235" i="4"/>
  <c r="G1235" i="4" s="1"/>
  <c r="F1231" i="4"/>
  <c r="G1231" i="4" s="1"/>
  <c r="F1227" i="4"/>
  <c r="G1227" i="4" s="1"/>
  <c r="F1238" i="4"/>
  <c r="G1238" i="4" s="1"/>
  <c r="F1230" i="4"/>
  <c r="G1230" i="4" s="1"/>
  <c r="F1224" i="4"/>
  <c r="G1224" i="4" s="1"/>
  <c r="F1220" i="4"/>
  <c r="G1220" i="4" s="1"/>
  <c r="F1216" i="4"/>
  <c r="G1216" i="4" s="1"/>
  <c r="F1212" i="4"/>
  <c r="G1212" i="4" s="1"/>
  <c r="F1208" i="4"/>
  <c r="G1208" i="4" s="1"/>
  <c r="F1204" i="4"/>
  <c r="G1204" i="4" s="1"/>
  <c r="F1200" i="4"/>
  <c r="G1200" i="4" s="1"/>
  <c r="F1196" i="4"/>
  <c r="G1196" i="4" s="1"/>
  <c r="F1192" i="4"/>
  <c r="G1192" i="4" s="1"/>
  <c r="F1188" i="4"/>
  <c r="G1188" i="4" s="1"/>
  <c r="F1184" i="4"/>
  <c r="G1184" i="4" s="1"/>
  <c r="F1180" i="4"/>
  <c r="G1180" i="4" s="1"/>
  <c r="F1176" i="4"/>
  <c r="G1176" i="4" s="1"/>
  <c r="F1172" i="4"/>
  <c r="G1172" i="4" s="1"/>
  <c r="F1168" i="4"/>
  <c r="G1168" i="4" s="1"/>
  <c r="F1164" i="4"/>
  <c r="G1164" i="4" s="1"/>
  <c r="F1160" i="4"/>
  <c r="G1160" i="4" s="1"/>
  <c r="F1156" i="4"/>
  <c r="G1156" i="4" s="1"/>
  <c r="F1152" i="4"/>
  <c r="G1152" i="4" s="1"/>
  <c r="F1148" i="4"/>
  <c r="G1148" i="4" s="1"/>
  <c r="F1144" i="4"/>
  <c r="G1144" i="4" s="1"/>
  <c r="F1140" i="4"/>
  <c r="G1140" i="4" s="1"/>
  <c r="F1136" i="4"/>
  <c r="G1136" i="4" s="1"/>
  <c r="F1132" i="4"/>
  <c r="G1132" i="4" s="1"/>
  <c r="F1128" i="4"/>
  <c r="G1128" i="4" s="1"/>
  <c r="F1124" i="4"/>
  <c r="G1124" i="4" s="1"/>
  <c r="F1120" i="4"/>
  <c r="G1120" i="4" s="1"/>
  <c r="F1116" i="4"/>
  <c r="G1116" i="4" s="1"/>
  <c r="F1112" i="4"/>
  <c r="G1112" i="4" s="1"/>
  <c r="F1108" i="4"/>
  <c r="G1108" i="4" s="1"/>
  <c r="F1104" i="4"/>
  <c r="G1104" i="4" s="1"/>
  <c r="F1100" i="4"/>
  <c r="G1100" i="4" s="1"/>
  <c r="F1096" i="4"/>
  <c r="G1096" i="4" s="1"/>
  <c r="F1241" i="4"/>
  <c r="G1241" i="4" s="1"/>
  <c r="F1236" i="4"/>
  <c r="G1236" i="4" s="1"/>
  <c r="F1233" i="4"/>
  <c r="G1233" i="4" s="1"/>
  <c r="F1228" i="4"/>
  <c r="G1228" i="4" s="1"/>
  <c r="F1225" i="4"/>
  <c r="G1225" i="4" s="1"/>
  <c r="F1221" i="4"/>
  <c r="G1221" i="4" s="1"/>
  <c r="F1217" i="4"/>
  <c r="G1217" i="4" s="1"/>
  <c r="F1213" i="4"/>
  <c r="G1213" i="4" s="1"/>
  <c r="F1209" i="4"/>
  <c r="G1209" i="4" s="1"/>
  <c r="F1205" i="4"/>
  <c r="G1205" i="4" s="1"/>
  <c r="F1201" i="4"/>
  <c r="G1201" i="4" s="1"/>
  <c r="F1197" i="4"/>
  <c r="G1197" i="4" s="1"/>
  <c r="F1193" i="4"/>
  <c r="G1193" i="4" s="1"/>
  <c r="F1189" i="4"/>
  <c r="G1189" i="4" s="1"/>
  <c r="F1185" i="4"/>
  <c r="G1185" i="4" s="1"/>
  <c r="F1181" i="4"/>
  <c r="G1181" i="4" s="1"/>
  <c r="F1177" i="4"/>
  <c r="G1177" i="4" s="1"/>
  <c r="F1173" i="4"/>
  <c r="G1173" i="4" s="1"/>
  <c r="F1169" i="4"/>
  <c r="G1169" i="4" s="1"/>
  <c r="F1165" i="4"/>
  <c r="G1165" i="4" s="1"/>
  <c r="F1161" i="4"/>
  <c r="G1161" i="4" s="1"/>
  <c r="F1157" i="4"/>
  <c r="G1157" i="4" s="1"/>
  <c r="F1153" i="4"/>
  <c r="G1153" i="4" s="1"/>
  <c r="F1149" i="4"/>
  <c r="G1149" i="4" s="1"/>
  <c r="F1145" i="4"/>
  <c r="G1145" i="4" s="1"/>
  <c r="F1141" i="4"/>
  <c r="G1141" i="4" s="1"/>
  <c r="F1137" i="4"/>
  <c r="G1137" i="4" s="1"/>
  <c r="F1133" i="4"/>
  <c r="G1133" i="4" s="1"/>
  <c r="F1129" i="4"/>
  <c r="G1129" i="4" s="1"/>
  <c r="F1125" i="4"/>
  <c r="G1125" i="4" s="1"/>
  <c r="F1121" i="4"/>
  <c r="G1121" i="4" s="1"/>
  <c r="F1117" i="4"/>
  <c r="G1117" i="4" s="1"/>
  <c r="F1113" i="4"/>
  <c r="G1113" i="4" s="1"/>
  <c r="F1109" i="4"/>
  <c r="G1109" i="4" s="1"/>
  <c r="F1105" i="4"/>
  <c r="G1105" i="4" s="1"/>
  <c r="F1101" i="4"/>
  <c r="G1101" i="4" s="1"/>
  <c r="F1097" i="4"/>
  <c r="G1097" i="4" s="1"/>
  <c r="F1093" i="4"/>
  <c r="G1093" i="4" s="1"/>
  <c r="F1089" i="4"/>
  <c r="G1089" i="4" s="1"/>
  <c r="F1085" i="4"/>
  <c r="G1085" i="4" s="1"/>
  <c r="F1081" i="4"/>
  <c r="G1081" i="4" s="1"/>
  <c r="F1077" i="4"/>
  <c r="G1077" i="4" s="1"/>
  <c r="F1073" i="4"/>
  <c r="G1073" i="4" s="1"/>
  <c r="F1069" i="4"/>
  <c r="G1069" i="4" s="1"/>
  <c r="F1065" i="4"/>
  <c r="G1065" i="4" s="1"/>
  <c r="F1272" i="4"/>
  <c r="G1272" i="4" s="1"/>
  <c r="F1270" i="4"/>
  <c r="G1270" i="4" s="1"/>
  <c r="F1268" i="4"/>
  <c r="G1268" i="4" s="1"/>
  <c r="F1266" i="4"/>
  <c r="G1266" i="4" s="1"/>
  <c r="F1264" i="4"/>
  <c r="G1264" i="4" s="1"/>
  <c r="F1262" i="4"/>
  <c r="G1262" i="4" s="1"/>
  <c r="F1260" i="4"/>
  <c r="G1260" i="4" s="1"/>
  <c r="F1258" i="4"/>
  <c r="G1258" i="4" s="1"/>
  <c r="F1256" i="4"/>
  <c r="G1256" i="4" s="1"/>
  <c r="F1254" i="4"/>
  <c r="G1254" i="4" s="1"/>
  <c r="F1252" i="4"/>
  <c r="G1252" i="4" s="1"/>
  <c r="F1250" i="4"/>
  <c r="G1250" i="4" s="1"/>
  <c r="F1248" i="4"/>
  <c r="G1248" i="4" s="1"/>
  <c r="F1246" i="4"/>
  <c r="G1246" i="4" s="1"/>
  <c r="F1244" i="4"/>
  <c r="G1244" i="4" s="1"/>
  <c r="F1242" i="4"/>
  <c r="G1242" i="4" s="1"/>
  <c r="F1234" i="4"/>
  <c r="G1234" i="4" s="1"/>
  <c r="F1226" i="4"/>
  <c r="G1226" i="4" s="1"/>
  <c r="F1222" i="4"/>
  <c r="G1222" i="4" s="1"/>
  <c r="F1218" i="4"/>
  <c r="G1218" i="4" s="1"/>
  <c r="F1214" i="4"/>
  <c r="G1214" i="4" s="1"/>
  <c r="F1210" i="4"/>
  <c r="G1210" i="4" s="1"/>
  <c r="F1206" i="4"/>
  <c r="G1206" i="4" s="1"/>
  <c r="F1202" i="4"/>
  <c r="G1202" i="4" s="1"/>
  <c r="F1198" i="4"/>
  <c r="G1198" i="4" s="1"/>
  <c r="F1194" i="4"/>
  <c r="G1194" i="4" s="1"/>
  <c r="F1190" i="4"/>
  <c r="G1190" i="4" s="1"/>
  <c r="F1186" i="4"/>
  <c r="G1186" i="4" s="1"/>
  <c r="F1182" i="4"/>
  <c r="G1182" i="4" s="1"/>
  <c r="F1178" i="4"/>
  <c r="G1178" i="4" s="1"/>
  <c r="F1174" i="4"/>
  <c r="G1174" i="4" s="1"/>
  <c r="F1170" i="4"/>
  <c r="G1170" i="4" s="1"/>
  <c r="F1166" i="4"/>
  <c r="G1166" i="4" s="1"/>
  <c r="F1162" i="4"/>
  <c r="G1162" i="4" s="1"/>
  <c r="F1158" i="4"/>
  <c r="G1158" i="4" s="1"/>
  <c r="F1154" i="4"/>
  <c r="G1154" i="4" s="1"/>
  <c r="F1150" i="4"/>
  <c r="G1150" i="4" s="1"/>
  <c r="F1146" i="4"/>
  <c r="G1146" i="4" s="1"/>
  <c r="F1142" i="4"/>
  <c r="G1142" i="4" s="1"/>
  <c r="F1138" i="4"/>
  <c r="G1138" i="4" s="1"/>
  <c r="F1134" i="4"/>
  <c r="G1134" i="4" s="1"/>
  <c r="F1130" i="4"/>
  <c r="G1130" i="4" s="1"/>
  <c r="F1126" i="4"/>
  <c r="G1126" i="4" s="1"/>
  <c r="F1122" i="4"/>
  <c r="G1122" i="4" s="1"/>
  <c r="F1118" i="4"/>
  <c r="G1118" i="4" s="1"/>
  <c r="F1114" i="4"/>
  <c r="G1114" i="4" s="1"/>
  <c r="F1110" i="4"/>
  <c r="G1110" i="4" s="1"/>
  <c r="F1106" i="4"/>
  <c r="G1106" i="4" s="1"/>
  <c r="F1102" i="4"/>
  <c r="G1102" i="4" s="1"/>
  <c r="F1098" i="4"/>
  <c r="G1098" i="4" s="1"/>
  <c r="F1274" i="4"/>
  <c r="G1274" i="4" s="1"/>
  <c r="F1240" i="4"/>
  <c r="G1240" i="4" s="1"/>
  <c r="F1237" i="4"/>
  <c r="G1237" i="4" s="1"/>
  <c r="F1232" i="4"/>
  <c r="G1232" i="4" s="1"/>
  <c r="F1229" i="4"/>
  <c r="G1229" i="4" s="1"/>
  <c r="F1223" i="4"/>
  <c r="G1223" i="4" s="1"/>
  <c r="F1219" i="4"/>
  <c r="G1219" i="4" s="1"/>
  <c r="F1215" i="4"/>
  <c r="G1215" i="4" s="1"/>
  <c r="F1211" i="4"/>
  <c r="G1211" i="4" s="1"/>
  <c r="F1207" i="4"/>
  <c r="G1207" i="4" s="1"/>
  <c r="F1203" i="4"/>
  <c r="G1203" i="4" s="1"/>
  <c r="F1199" i="4"/>
  <c r="G1199" i="4" s="1"/>
  <c r="F1195" i="4"/>
  <c r="G1195" i="4" s="1"/>
  <c r="F1191" i="4"/>
  <c r="G1191" i="4" s="1"/>
  <c r="F1187" i="4"/>
  <c r="G1187" i="4" s="1"/>
  <c r="F1183" i="4"/>
  <c r="G1183" i="4" s="1"/>
  <c r="F1179" i="4"/>
  <c r="G1179" i="4" s="1"/>
  <c r="F1175" i="4"/>
  <c r="G1175" i="4" s="1"/>
  <c r="F1171" i="4"/>
  <c r="G1171" i="4" s="1"/>
  <c r="F1167" i="4"/>
  <c r="G1167" i="4" s="1"/>
  <c r="F1163" i="4"/>
  <c r="G1163" i="4" s="1"/>
  <c r="F1159" i="4"/>
  <c r="G1159" i="4" s="1"/>
  <c r="F1155" i="4"/>
  <c r="G1155" i="4" s="1"/>
  <c r="F1151" i="4"/>
  <c r="G1151" i="4" s="1"/>
  <c r="F1147" i="4"/>
  <c r="G1147" i="4" s="1"/>
  <c r="F1143" i="4"/>
  <c r="G1143" i="4" s="1"/>
  <c r="F1139" i="4"/>
  <c r="G1139" i="4" s="1"/>
  <c r="F1135" i="4"/>
  <c r="G1135" i="4" s="1"/>
  <c r="F1131" i="4"/>
  <c r="G1131" i="4" s="1"/>
  <c r="F1127" i="4"/>
  <c r="G1127" i="4" s="1"/>
  <c r="F1123" i="4"/>
  <c r="G1123" i="4" s="1"/>
  <c r="F1119" i="4"/>
  <c r="G1119" i="4" s="1"/>
  <c r="F1115" i="4"/>
  <c r="G1115" i="4" s="1"/>
  <c r="F1111" i="4"/>
  <c r="G1111" i="4" s="1"/>
  <c r="F1107" i="4"/>
  <c r="G1107" i="4" s="1"/>
  <c r="F1103" i="4"/>
  <c r="G1103" i="4" s="1"/>
  <c r="F1099" i="4"/>
  <c r="G1099" i="4" s="1"/>
  <c r="F1095" i="4"/>
  <c r="G1095" i="4" s="1"/>
  <c r="F1091" i="4"/>
  <c r="G1091" i="4" s="1"/>
  <c r="F1087" i="4"/>
  <c r="G1087" i="4" s="1"/>
  <c r="F1083" i="4"/>
  <c r="G1083" i="4" s="1"/>
  <c r="F1079" i="4"/>
  <c r="G1079" i="4" s="1"/>
  <c r="F1075" i="4"/>
  <c r="G1075" i="4" s="1"/>
  <c r="F1071" i="4"/>
  <c r="G1071" i="4" s="1"/>
  <c r="F1067" i="4"/>
  <c r="G1067" i="4" s="1"/>
  <c r="F1063" i="4"/>
  <c r="G1063" i="4" s="1"/>
  <c r="F1059" i="4"/>
  <c r="G1059" i="4" s="1"/>
  <c r="F1055" i="4"/>
  <c r="G1055" i="4" s="1"/>
  <c r="F1051" i="4"/>
  <c r="G1051" i="4" s="1"/>
  <c r="F1047" i="4"/>
  <c r="G1047" i="4" s="1"/>
  <c r="F1043" i="4"/>
  <c r="G1043" i="4" s="1"/>
  <c r="F1039" i="4"/>
  <c r="G1039" i="4" s="1"/>
  <c r="F1035" i="4"/>
  <c r="G1035" i="4" s="1"/>
  <c r="F1031" i="4"/>
  <c r="G1031" i="4" s="1"/>
  <c r="F1027" i="4"/>
  <c r="G1027" i="4" s="1"/>
  <c r="F1023" i="4"/>
  <c r="G1023" i="4" s="1"/>
  <c r="F1019" i="4"/>
  <c r="G1019" i="4" s="1"/>
  <c r="F1015" i="4"/>
  <c r="G1015" i="4" s="1"/>
  <c r="F1011" i="4"/>
  <c r="G1011" i="4" s="1"/>
  <c r="F1007" i="4"/>
  <c r="G1007" i="4" s="1"/>
  <c r="F1003" i="4"/>
  <c r="G1003" i="4" s="1"/>
  <c r="F999" i="4"/>
  <c r="G999" i="4" s="1"/>
  <c r="F995" i="4"/>
  <c r="G995" i="4" s="1"/>
  <c r="F1062" i="4"/>
  <c r="G1062" i="4" s="1"/>
  <c r="F1054" i="4"/>
  <c r="G1054" i="4" s="1"/>
  <c r="F1046" i="4"/>
  <c r="G1046" i="4" s="1"/>
  <c r="F1038" i="4"/>
  <c r="G1038" i="4" s="1"/>
  <c r="F1030" i="4"/>
  <c r="G1030" i="4" s="1"/>
  <c r="F1022" i="4"/>
  <c r="G1022" i="4" s="1"/>
  <c r="F1014" i="4"/>
  <c r="G1014" i="4" s="1"/>
  <c r="F1006" i="4"/>
  <c r="G1006" i="4" s="1"/>
  <c r="F998" i="4"/>
  <c r="G998" i="4" s="1"/>
  <c r="F989" i="4"/>
  <c r="G989" i="4" s="1"/>
  <c r="F985" i="4"/>
  <c r="G985" i="4" s="1"/>
  <c r="F981" i="4"/>
  <c r="G981" i="4" s="1"/>
  <c r="F977" i="4"/>
  <c r="G977" i="4" s="1"/>
  <c r="F973" i="4"/>
  <c r="G973" i="4" s="1"/>
  <c r="F969" i="4"/>
  <c r="G969" i="4" s="1"/>
  <c r="F965" i="4"/>
  <c r="G965" i="4" s="1"/>
  <c r="F961" i="4"/>
  <c r="G961" i="4" s="1"/>
  <c r="F957" i="4"/>
  <c r="G957" i="4" s="1"/>
  <c r="F953" i="4"/>
  <c r="G953" i="4" s="1"/>
  <c r="F949" i="4"/>
  <c r="G949" i="4" s="1"/>
  <c r="F945" i="4"/>
  <c r="G945" i="4" s="1"/>
  <c r="F941" i="4"/>
  <c r="G941" i="4" s="1"/>
  <c r="F937" i="4"/>
  <c r="G937" i="4" s="1"/>
  <c r="F933" i="4"/>
  <c r="G933" i="4" s="1"/>
  <c r="F929" i="4"/>
  <c r="G929" i="4" s="1"/>
  <c r="F925" i="4"/>
  <c r="G925" i="4" s="1"/>
  <c r="F921" i="4"/>
  <c r="G921" i="4" s="1"/>
  <c r="F917" i="4"/>
  <c r="G917" i="4" s="1"/>
  <c r="F913" i="4"/>
  <c r="G913" i="4" s="1"/>
  <c r="F909" i="4"/>
  <c r="G909" i="4" s="1"/>
  <c r="F905" i="4"/>
  <c r="G905" i="4" s="1"/>
  <c r="F901" i="4"/>
  <c r="G901" i="4" s="1"/>
  <c r="F897" i="4"/>
  <c r="G897" i="4" s="1"/>
  <c r="F893" i="4"/>
  <c r="G893" i="4" s="1"/>
  <c r="F889" i="4"/>
  <c r="G889" i="4" s="1"/>
  <c r="F885" i="4"/>
  <c r="G885" i="4" s="1"/>
  <c r="F881" i="4"/>
  <c r="G881" i="4" s="1"/>
  <c r="F877" i="4"/>
  <c r="G877" i="4" s="1"/>
  <c r="F873" i="4"/>
  <c r="G873" i="4" s="1"/>
  <c r="F869" i="4"/>
  <c r="G869" i="4" s="1"/>
  <c r="F865" i="4"/>
  <c r="G865" i="4" s="1"/>
  <c r="F861" i="4"/>
  <c r="G861" i="4" s="1"/>
  <c r="F857" i="4"/>
  <c r="G857" i="4" s="1"/>
  <c r="F853" i="4"/>
  <c r="G853" i="4" s="1"/>
  <c r="F1060" i="4"/>
  <c r="G1060" i="4" s="1"/>
  <c r="F1057" i="4"/>
  <c r="G1057" i="4" s="1"/>
  <c r="F1052" i="4"/>
  <c r="G1052" i="4" s="1"/>
  <c r="F1049" i="4"/>
  <c r="G1049" i="4" s="1"/>
  <c r="F1044" i="4"/>
  <c r="G1044" i="4" s="1"/>
  <c r="F1041" i="4"/>
  <c r="G1041" i="4" s="1"/>
  <c r="F1036" i="4"/>
  <c r="G1036" i="4" s="1"/>
  <c r="F1033" i="4"/>
  <c r="G1033" i="4" s="1"/>
  <c r="F1028" i="4"/>
  <c r="G1028" i="4" s="1"/>
  <c r="F1025" i="4"/>
  <c r="G1025" i="4" s="1"/>
  <c r="F1020" i="4"/>
  <c r="G1020" i="4" s="1"/>
  <c r="F1017" i="4"/>
  <c r="G1017" i="4" s="1"/>
  <c r="F1012" i="4"/>
  <c r="G1012" i="4" s="1"/>
  <c r="F1009" i="4"/>
  <c r="G1009" i="4" s="1"/>
  <c r="F1004" i="4"/>
  <c r="G1004" i="4" s="1"/>
  <c r="F1001" i="4"/>
  <c r="G1001" i="4" s="1"/>
  <c r="F996" i="4"/>
  <c r="G996" i="4" s="1"/>
  <c r="F993" i="4"/>
  <c r="G993" i="4" s="1"/>
  <c r="F990" i="4"/>
  <c r="G990" i="4" s="1"/>
  <c r="F986" i="4"/>
  <c r="G986" i="4" s="1"/>
  <c r="F982" i="4"/>
  <c r="G982" i="4" s="1"/>
  <c r="F978" i="4"/>
  <c r="G978" i="4" s="1"/>
  <c r="F974" i="4"/>
  <c r="G974" i="4" s="1"/>
  <c r="F970" i="4"/>
  <c r="G970" i="4" s="1"/>
  <c r="F966" i="4"/>
  <c r="G966" i="4" s="1"/>
  <c r="F962" i="4"/>
  <c r="G962" i="4" s="1"/>
  <c r="F958" i="4"/>
  <c r="G958" i="4" s="1"/>
  <c r="F954" i="4"/>
  <c r="G954" i="4" s="1"/>
  <c r="F950" i="4"/>
  <c r="G950" i="4" s="1"/>
  <c r="F946" i="4"/>
  <c r="G946" i="4" s="1"/>
  <c r="F942" i="4"/>
  <c r="G942" i="4" s="1"/>
  <c r="F938" i="4"/>
  <c r="G938" i="4" s="1"/>
  <c r="F934" i="4"/>
  <c r="G934" i="4" s="1"/>
  <c r="F930" i="4"/>
  <c r="G930" i="4" s="1"/>
  <c r="F926" i="4"/>
  <c r="G926" i="4" s="1"/>
  <c r="F922" i="4"/>
  <c r="G922" i="4" s="1"/>
  <c r="F918" i="4"/>
  <c r="G918" i="4" s="1"/>
  <c r="F914" i="4"/>
  <c r="G914" i="4" s="1"/>
  <c r="F910" i="4"/>
  <c r="G910" i="4" s="1"/>
  <c r="F906" i="4"/>
  <c r="G906" i="4" s="1"/>
  <c r="F902" i="4"/>
  <c r="G902" i="4" s="1"/>
  <c r="F898" i="4"/>
  <c r="G898" i="4" s="1"/>
  <c r="F894" i="4"/>
  <c r="G894" i="4" s="1"/>
  <c r="F890" i="4"/>
  <c r="G890" i="4" s="1"/>
  <c r="F886" i="4"/>
  <c r="G886" i="4" s="1"/>
  <c r="F882" i="4"/>
  <c r="G882" i="4" s="1"/>
  <c r="F878" i="4"/>
  <c r="G878" i="4" s="1"/>
  <c r="F874" i="4"/>
  <c r="G874" i="4" s="1"/>
  <c r="F870" i="4"/>
  <c r="G870" i="4" s="1"/>
  <c r="F866" i="4"/>
  <c r="G866" i="4" s="1"/>
  <c r="F862" i="4"/>
  <c r="G862" i="4" s="1"/>
  <c r="F858" i="4"/>
  <c r="G858" i="4" s="1"/>
  <c r="F854" i="4"/>
  <c r="G854" i="4" s="1"/>
  <c r="F850" i="4"/>
  <c r="G850" i="4" s="1"/>
  <c r="F846" i="4"/>
  <c r="G846" i="4" s="1"/>
  <c r="F842" i="4"/>
  <c r="G842" i="4" s="1"/>
  <c r="F838" i="4"/>
  <c r="G838" i="4" s="1"/>
  <c r="F834" i="4"/>
  <c r="G834" i="4" s="1"/>
  <c r="F830" i="4"/>
  <c r="G830" i="4" s="1"/>
  <c r="F826" i="4"/>
  <c r="G826" i="4" s="1"/>
  <c r="F822" i="4"/>
  <c r="G822" i="4" s="1"/>
  <c r="F818" i="4"/>
  <c r="G818" i="4" s="1"/>
  <c r="F814" i="4"/>
  <c r="G814" i="4" s="1"/>
  <c r="F810" i="4"/>
  <c r="G810" i="4" s="1"/>
  <c r="F806" i="4"/>
  <c r="G806" i="4" s="1"/>
  <c r="F802" i="4"/>
  <c r="G802" i="4" s="1"/>
  <c r="F1058" i="4"/>
  <c r="G1058" i="4" s="1"/>
  <c r="F1050" i="4"/>
  <c r="G1050" i="4" s="1"/>
  <c r="F1042" i="4"/>
  <c r="G1042" i="4" s="1"/>
  <c r="F1034" i="4"/>
  <c r="G1034" i="4" s="1"/>
  <c r="F1026" i="4"/>
  <c r="G1026" i="4" s="1"/>
  <c r="F1018" i="4"/>
  <c r="G1018" i="4" s="1"/>
  <c r="F1010" i="4"/>
  <c r="G1010" i="4" s="1"/>
  <c r="F1002" i="4"/>
  <c r="G1002" i="4" s="1"/>
  <c r="F994" i="4"/>
  <c r="G994" i="4" s="1"/>
  <c r="F991" i="4"/>
  <c r="G991" i="4" s="1"/>
  <c r="F987" i="4"/>
  <c r="G987" i="4" s="1"/>
  <c r="F983" i="4"/>
  <c r="G983" i="4" s="1"/>
  <c r="F979" i="4"/>
  <c r="G979" i="4" s="1"/>
  <c r="F975" i="4"/>
  <c r="G975" i="4" s="1"/>
  <c r="F971" i="4"/>
  <c r="G971" i="4" s="1"/>
  <c r="F967" i="4"/>
  <c r="G967" i="4" s="1"/>
  <c r="F963" i="4"/>
  <c r="G963" i="4" s="1"/>
  <c r="F959" i="4"/>
  <c r="G959" i="4" s="1"/>
  <c r="F955" i="4"/>
  <c r="G955" i="4" s="1"/>
  <c r="F951" i="4"/>
  <c r="G951" i="4" s="1"/>
  <c r="F947" i="4"/>
  <c r="G947" i="4" s="1"/>
  <c r="F943" i="4"/>
  <c r="G943" i="4" s="1"/>
  <c r="F939" i="4"/>
  <c r="G939" i="4" s="1"/>
  <c r="F935" i="4"/>
  <c r="G935" i="4" s="1"/>
  <c r="F931" i="4"/>
  <c r="G931" i="4" s="1"/>
  <c r="F927" i="4"/>
  <c r="G927" i="4" s="1"/>
  <c r="F923" i="4"/>
  <c r="G923" i="4" s="1"/>
  <c r="F919" i="4"/>
  <c r="G919" i="4" s="1"/>
  <c r="F915" i="4"/>
  <c r="G915" i="4" s="1"/>
  <c r="F911" i="4"/>
  <c r="G911" i="4" s="1"/>
  <c r="F907" i="4"/>
  <c r="G907" i="4" s="1"/>
  <c r="F903" i="4"/>
  <c r="G903" i="4" s="1"/>
  <c r="F899" i="4"/>
  <c r="G899" i="4" s="1"/>
  <c r="F895" i="4"/>
  <c r="G895" i="4" s="1"/>
  <c r="F891" i="4"/>
  <c r="G891" i="4" s="1"/>
  <c r="F887" i="4"/>
  <c r="G887" i="4" s="1"/>
  <c r="F883" i="4"/>
  <c r="G883" i="4" s="1"/>
  <c r="F879" i="4"/>
  <c r="G879" i="4" s="1"/>
  <c r="F875" i="4"/>
  <c r="G875" i="4" s="1"/>
  <c r="F871" i="4"/>
  <c r="G871" i="4" s="1"/>
  <c r="F1094" i="4"/>
  <c r="G1094" i="4" s="1"/>
  <c r="F1092" i="4"/>
  <c r="G1092" i="4" s="1"/>
  <c r="F1090" i="4"/>
  <c r="G1090" i="4" s="1"/>
  <c r="F1088" i="4"/>
  <c r="G1088" i="4" s="1"/>
  <c r="F1086" i="4"/>
  <c r="G1086" i="4" s="1"/>
  <c r="F1084" i="4"/>
  <c r="G1084" i="4" s="1"/>
  <c r="F1082" i="4"/>
  <c r="G1082" i="4" s="1"/>
  <c r="F1080" i="4"/>
  <c r="G1080" i="4" s="1"/>
  <c r="F1078" i="4"/>
  <c r="G1078" i="4" s="1"/>
  <c r="F1076" i="4"/>
  <c r="G1076" i="4" s="1"/>
  <c r="F1074" i="4"/>
  <c r="G1074" i="4" s="1"/>
  <c r="F1072" i="4"/>
  <c r="G1072" i="4" s="1"/>
  <c r="F1070" i="4"/>
  <c r="G1070" i="4" s="1"/>
  <c r="F1068" i="4"/>
  <c r="G1068" i="4" s="1"/>
  <c r="F1066" i="4"/>
  <c r="G1066" i="4" s="1"/>
  <c r="F1064" i="4"/>
  <c r="G1064" i="4" s="1"/>
  <c r="F1061" i="4"/>
  <c r="G1061" i="4" s="1"/>
  <c r="F1056" i="4"/>
  <c r="G1056" i="4" s="1"/>
  <c r="F1053" i="4"/>
  <c r="G1053" i="4" s="1"/>
  <c r="F1048" i="4"/>
  <c r="G1048" i="4" s="1"/>
  <c r="F1045" i="4"/>
  <c r="G1045" i="4" s="1"/>
  <c r="F1040" i="4"/>
  <c r="G1040" i="4" s="1"/>
  <c r="F1037" i="4"/>
  <c r="G1037" i="4" s="1"/>
  <c r="F1032" i="4"/>
  <c r="G1032" i="4" s="1"/>
  <c r="F1029" i="4"/>
  <c r="G1029" i="4" s="1"/>
  <c r="F1024" i="4"/>
  <c r="G1024" i="4" s="1"/>
  <c r="F1021" i="4"/>
  <c r="G1021" i="4" s="1"/>
  <c r="F1016" i="4"/>
  <c r="G1016" i="4" s="1"/>
  <c r="F1013" i="4"/>
  <c r="G1013" i="4" s="1"/>
  <c r="F1008" i="4"/>
  <c r="G1008" i="4" s="1"/>
  <c r="F1005" i="4"/>
  <c r="G1005" i="4" s="1"/>
  <c r="F1000" i="4"/>
  <c r="G1000" i="4" s="1"/>
  <c r="F997" i="4"/>
  <c r="G997" i="4" s="1"/>
  <c r="F992" i="4"/>
  <c r="G992" i="4" s="1"/>
  <c r="F988" i="4"/>
  <c r="G988" i="4" s="1"/>
  <c r="F984" i="4"/>
  <c r="G984" i="4" s="1"/>
  <c r="F980" i="4"/>
  <c r="G980" i="4" s="1"/>
  <c r="F976" i="4"/>
  <c r="G976" i="4" s="1"/>
  <c r="F972" i="4"/>
  <c r="G972" i="4" s="1"/>
  <c r="F968" i="4"/>
  <c r="G968" i="4" s="1"/>
  <c r="F964" i="4"/>
  <c r="G964" i="4" s="1"/>
  <c r="F960" i="4"/>
  <c r="G960" i="4" s="1"/>
  <c r="F956" i="4"/>
  <c r="G956" i="4" s="1"/>
  <c r="F952" i="4"/>
  <c r="G952" i="4" s="1"/>
  <c r="F948" i="4"/>
  <c r="G948" i="4" s="1"/>
  <c r="F944" i="4"/>
  <c r="G944" i="4" s="1"/>
  <c r="F940" i="4"/>
  <c r="G940" i="4" s="1"/>
  <c r="F936" i="4"/>
  <c r="G936" i="4" s="1"/>
  <c r="F932" i="4"/>
  <c r="G932" i="4" s="1"/>
  <c r="F928" i="4"/>
  <c r="G928" i="4" s="1"/>
  <c r="F924" i="4"/>
  <c r="G924" i="4" s="1"/>
  <c r="F920" i="4"/>
  <c r="G920" i="4" s="1"/>
  <c r="F916" i="4"/>
  <c r="G916" i="4" s="1"/>
  <c r="F912" i="4"/>
  <c r="G912" i="4" s="1"/>
  <c r="F908" i="4"/>
  <c r="G908" i="4" s="1"/>
  <c r="F904" i="4"/>
  <c r="G904" i="4" s="1"/>
  <c r="F900" i="4"/>
  <c r="G900" i="4" s="1"/>
  <c r="F896" i="4"/>
  <c r="G896" i="4" s="1"/>
  <c r="F892" i="4"/>
  <c r="G892" i="4" s="1"/>
  <c r="F888" i="4"/>
  <c r="G888" i="4" s="1"/>
  <c r="F884" i="4"/>
  <c r="G884" i="4" s="1"/>
  <c r="F880" i="4"/>
  <c r="G880" i="4" s="1"/>
  <c r="F876" i="4"/>
  <c r="G876" i="4" s="1"/>
  <c r="F872" i="4"/>
  <c r="G872" i="4" s="1"/>
  <c r="F868" i="4"/>
  <c r="G868" i="4" s="1"/>
  <c r="F864" i="4"/>
  <c r="G864" i="4" s="1"/>
  <c r="F860" i="4"/>
  <c r="G860" i="4" s="1"/>
  <c r="F856" i="4"/>
  <c r="G856" i="4" s="1"/>
  <c r="F852" i="4"/>
  <c r="G852" i="4" s="1"/>
  <c r="F848" i="4"/>
  <c r="G848" i="4" s="1"/>
  <c r="F844" i="4"/>
  <c r="G844" i="4" s="1"/>
  <c r="F840" i="4"/>
  <c r="G840" i="4" s="1"/>
  <c r="F836" i="4"/>
  <c r="G836" i="4" s="1"/>
  <c r="F832" i="4"/>
  <c r="G832" i="4" s="1"/>
  <c r="F828" i="4"/>
  <c r="G828" i="4" s="1"/>
  <c r="F824" i="4"/>
  <c r="G824" i="4" s="1"/>
  <c r="F820" i="4"/>
  <c r="G820" i="4" s="1"/>
  <c r="F816" i="4"/>
  <c r="G816" i="4" s="1"/>
  <c r="F812" i="4"/>
  <c r="G812" i="4" s="1"/>
  <c r="F808" i="4"/>
  <c r="G808" i="4" s="1"/>
  <c r="F804" i="4"/>
  <c r="G804" i="4" s="1"/>
  <c r="F800" i="4"/>
  <c r="G800" i="4" s="1"/>
  <c r="F796" i="4"/>
  <c r="G796" i="4" s="1"/>
  <c r="F792" i="4"/>
  <c r="G792" i="4" s="1"/>
  <c r="F788" i="4"/>
  <c r="G788" i="4" s="1"/>
  <c r="F784" i="4"/>
  <c r="G784" i="4" s="1"/>
  <c r="F780" i="4"/>
  <c r="G780" i="4" s="1"/>
  <c r="F776" i="4"/>
  <c r="G776" i="4" s="1"/>
  <c r="F772" i="4"/>
  <c r="G772" i="4" s="1"/>
  <c r="F768" i="4"/>
  <c r="G768" i="4" s="1"/>
  <c r="F764" i="4"/>
  <c r="G764" i="4" s="1"/>
  <c r="F760" i="4"/>
  <c r="G760" i="4" s="1"/>
  <c r="F756" i="4"/>
  <c r="G756" i="4" s="1"/>
  <c r="F799" i="4"/>
  <c r="G799" i="4" s="1"/>
  <c r="F791" i="4"/>
  <c r="G791" i="4" s="1"/>
  <c r="F783" i="4"/>
  <c r="G783" i="4" s="1"/>
  <c r="F775" i="4"/>
  <c r="G775" i="4" s="1"/>
  <c r="F767" i="4"/>
  <c r="G767" i="4" s="1"/>
  <c r="F759" i="4"/>
  <c r="G759" i="4" s="1"/>
  <c r="F753" i="4"/>
  <c r="G753" i="4" s="1"/>
  <c r="F749" i="4"/>
  <c r="G749" i="4" s="1"/>
  <c r="F745" i="4"/>
  <c r="G745" i="4" s="1"/>
  <c r="F741" i="4"/>
  <c r="G741" i="4" s="1"/>
  <c r="F737" i="4"/>
  <c r="G737" i="4" s="1"/>
  <c r="F733" i="4"/>
  <c r="G733" i="4" s="1"/>
  <c r="F729" i="4"/>
  <c r="G729" i="4" s="1"/>
  <c r="F725" i="4"/>
  <c r="G725" i="4" s="1"/>
  <c r="F721" i="4"/>
  <c r="G721" i="4" s="1"/>
  <c r="F717" i="4"/>
  <c r="G717" i="4" s="1"/>
  <c r="F713" i="4"/>
  <c r="G713" i="4" s="1"/>
  <c r="F709" i="4"/>
  <c r="G709" i="4" s="1"/>
  <c r="F705" i="4"/>
  <c r="G705" i="4" s="1"/>
  <c r="F701" i="4"/>
  <c r="G701" i="4" s="1"/>
  <c r="F697" i="4"/>
  <c r="G697" i="4" s="1"/>
  <c r="F693" i="4"/>
  <c r="G693" i="4" s="1"/>
  <c r="F689" i="4"/>
  <c r="G689" i="4" s="1"/>
  <c r="F685" i="4"/>
  <c r="G685" i="4" s="1"/>
  <c r="F681" i="4"/>
  <c r="G681" i="4" s="1"/>
  <c r="F677" i="4"/>
  <c r="G677" i="4" s="1"/>
  <c r="F673" i="4"/>
  <c r="G673" i="4" s="1"/>
  <c r="F669" i="4"/>
  <c r="G669" i="4" s="1"/>
  <c r="F665" i="4"/>
  <c r="G665" i="4" s="1"/>
  <c r="F661" i="4"/>
  <c r="G661" i="4" s="1"/>
  <c r="F657" i="4"/>
  <c r="G657" i="4" s="1"/>
  <c r="F653" i="4"/>
  <c r="G653" i="4" s="1"/>
  <c r="F649" i="4"/>
  <c r="G649" i="4" s="1"/>
  <c r="F645" i="4"/>
  <c r="G645" i="4" s="1"/>
  <c r="F641" i="4"/>
  <c r="G641" i="4" s="1"/>
  <c r="F637" i="4"/>
  <c r="G637" i="4" s="1"/>
  <c r="F633" i="4"/>
  <c r="G633" i="4" s="1"/>
  <c r="F629" i="4"/>
  <c r="G629" i="4" s="1"/>
  <c r="F625" i="4"/>
  <c r="G625" i="4" s="1"/>
  <c r="F621" i="4"/>
  <c r="G621" i="4" s="1"/>
  <c r="F617" i="4"/>
  <c r="G617" i="4" s="1"/>
  <c r="F613" i="4"/>
  <c r="G613" i="4" s="1"/>
  <c r="F609" i="4"/>
  <c r="G609" i="4" s="1"/>
  <c r="F605" i="4"/>
  <c r="G605" i="4" s="1"/>
  <c r="F601" i="4"/>
  <c r="G601" i="4" s="1"/>
  <c r="F597" i="4"/>
  <c r="G597" i="4" s="1"/>
  <c r="F593" i="4"/>
  <c r="G593" i="4" s="1"/>
  <c r="F589" i="4"/>
  <c r="G589" i="4" s="1"/>
  <c r="F585" i="4"/>
  <c r="G585" i="4" s="1"/>
  <c r="F581" i="4"/>
  <c r="G581" i="4" s="1"/>
  <c r="F577" i="4"/>
  <c r="G577" i="4" s="1"/>
  <c r="F863" i="4"/>
  <c r="G863" i="4" s="1"/>
  <c r="F855" i="4"/>
  <c r="G855" i="4" s="1"/>
  <c r="F797" i="4"/>
  <c r="G797" i="4" s="1"/>
  <c r="F794" i="4"/>
  <c r="G794" i="4" s="1"/>
  <c r="F789" i="4"/>
  <c r="G789" i="4" s="1"/>
  <c r="F786" i="4"/>
  <c r="G786" i="4" s="1"/>
  <c r="F781" i="4"/>
  <c r="G781" i="4" s="1"/>
  <c r="F778" i="4"/>
  <c r="G778" i="4" s="1"/>
  <c r="F773" i="4"/>
  <c r="G773" i="4" s="1"/>
  <c r="F770" i="4"/>
  <c r="G770" i="4" s="1"/>
  <c r="F765" i="4"/>
  <c r="G765" i="4" s="1"/>
  <c r="F762" i="4"/>
  <c r="G762" i="4" s="1"/>
  <c r="F757" i="4"/>
  <c r="G757" i="4" s="1"/>
  <c r="F754" i="4"/>
  <c r="G754" i="4" s="1"/>
  <c r="F750" i="4"/>
  <c r="G750" i="4" s="1"/>
  <c r="F746" i="4"/>
  <c r="G746" i="4" s="1"/>
  <c r="F742" i="4"/>
  <c r="G742" i="4" s="1"/>
  <c r="F738" i="4"/>
  <c r="G738" i="4" s="1"/>
  <c r="F734" i="4"/>
  <c r="G734" i="4" s="1"/>
  <c r="F730" i="4"/>
  <c r="G730" i="4" s="1"/>
  <c r="F726" i="4"/>
  <c r="G726" i="4" s="1"/>
  <c r="F722" i="4"/>
  <c r="G722" i="4" s="1"/>
  <c r="F718" i="4"/>
  <c r="G718" i="4" s="1"/>
  <c r="F714" i="4"/>
  <c r="G714" i="4" s="1"/>
  <c r="F710" i="4"/>
  <c r="G710" i="4" s="1"/>
  <c r="F706" i="4"/>
  <c r="G706" i="4" s="1"/>
  <c r="F702" i="4"/>
  <c r="G702" i="4" s="1"/>
  <c r="F698" i="4"/>
  <c r="G698" i="4" s="1"/>
  <c r="F694" i="4"/>
  <c r="G694" i="4" s="1"/>
  <c r="F690" i="4"/>
  <c r="G690" i="4" s="1"/>
  <c r="F686" i="4"/>
  <c r="G686" i="4" s="1"/>
  <c r="F682" i="4"/>
  <c r="G682" i="4" s="1"/>
  <c r="F678" i="4"/>
  <c r="G678" i="4" s="1"/>
  <c r="F674" i="4"/>
  <c r="G674" i="4" s="1"/>
  <c r="F670" i="4"/>
  <c r="G670" i="4" s="1"/>
  <c r="F666" i="4"/>
  <c r="G666" i="4" s="1"/>
  <c r="F662" i="4"/>
  <c r="G662" i="4" s="1"/>
  <c r="F658" i="4"/>
  <c r="G658" i="4" s="1"/>
  <c r="F654" i="4"/>
  <c r="G654" i="4" s="1"/>
  <c r="F650" i="4"/>
  <c r="G650" i="4" s="1"/>
  <c r="F646" i="4"/>
  <c r="G646" i="4" s="1"/>
  <c r="F642" i="4"/>
  <c r="G642" i="4" s="1"/>
  <c r="F638" i="4"/>
  <c r="G638" i="4" s="1"/>
  <c r="F634" i="4"/>
  <c r="G634" i="4" s="1"/>
  <c r="F630" i="4"/>
  <c r="G630" i="4" s="1"/>
  <c r="F626" i="4"/>
  <c r="G626" i="4" s="1"/>
  <c r="F622" i="4"/>
  <c r="G622" i="4" s="1"/>
  <c r="F618" i="4"/>
  <c r="G618" i="4" s="1"/>
  <c r="F614" i="4"/>
  <c r="G614" i="4" s="1"/>
  <c r="F610" i="4"/>
  <c r="G610" i="4" s="1"/>
  <c r="F606" i="4"/>
  <c r="G606" i="4" s="1"/>
  <c r="F602" i="4"/>
  <c r="G602" i="4" s="1"/>
  <c r="F598" i="4"/>
  <c r="G598" i="4" s="1"/>
  <c r="F594" i="4"/>
  <c r="G594" i="4" s="1"/>
  <c r="F590" i="4"/>
  <c r="G590" i="4" s="1"/>
  <c r="F586" i="4"/>
  <c r="G586" i="4" s="1"/>
  <c r="F582" i="4"/>
  <c r="G582" i="4" s="1"/>
  <c r="F578" i="4"/>
  <c r="G578" i="4" s="1"/>
  <c r="F574" i="4"/>
  <c r="G574" i="4" s="1"/>
  <c r="F570" i="4"/>
  <c r="G570" i="4" s="1"/>
  <c r="F566" i="4"/>
  <c r="G566" i="4" s="1"/>
  <c r="F562" i="4"/>
  <c r="G562" i="4" s="1"/>
  <c r="F558" i="4"/>
  <c r="G558" i="4" s="1"/>
  <c r="F554" i="4"/>
  <c r="G554" i="4" s="1"/>
  <c r="F550" i="4"/>
  <c r="G550" i="4" s="1"/>
  <c r="F546" i="4"/>
  <c r="G546" i="4" s="1"/>
  <c r="F795" i="4"/>
  <c r="G795" i="4" s="1"/>
  <c r="F787" i="4"/>
  <c r="G787" i="4" s="1"/>
  <c r="F779" i="4"/>
  <c r="G779" i="4" s="1"/>
  <c r="F771" i="4"/>
  <c r="G771" i="4" s="1"/>
  <c r="F763" i="4"/>
  <c r="G763" i="4" s="1"/>
  <c r="F755" i="4"/>
  <c r="G755" i="4" s="1"/>
  <c r="F751" i="4"/>
  <c r="G751" i="4" s="1"/>
  <c r="F747" i="4"/>
  <c r="G747" i="4" s="1"/>
  <c r="F743" i="4"/>
  <c r="G743" i="4" s="1"/>
  <c r="F739" i="4"/>
  <c r="G739" i="4" s="1"/>
  <c r="F735" i="4"/>
  <c r="G735" i="4" s="1"/>
  <c r="F731" i="4"/>
  <c r="G731" i="4" s="1"/>
  <c r="F727" i="4"/>
  <c r="G727" i="4" s="1"/>
  <c r="F723" i="4"/>
  <c r="G723" i="4" s="1"/>
  <c r="F719" i="4"/>
  <c r="G719" i="4" s="1"/>
  <c r="F715" i="4"/>
  <c r="G715" i="4" s="1"/>
  <c r="F711" i="4"/>
  <c r="G711" i="4" s="1"/>
  <c r="F707" i="4"/>
  <c r="G707" i="4" s="1"/>
  <c r="F703" i="4"/>
  <c r="G703" i="4" s="1"/>
  <c r="F699" i="4"/>
  <c r="G699" i="4" s="1"/>
  <c r="F695" i="4"/>
  <c r="G695" i="4" s="1"/>
  <c r="F691" i="4"/>
  <c r="G691" i="4" s="1"/>
  <c r="F687" i="4"/>
  <c r="G687" i="4" s="1"/>
  <c r="F683" i="4"/>
  <c r="G683" i="4" s="1"/>
  <c r="F679" i="4"/>
  <c r="G679" i="4" s="1"/>
  <c r="F675" i="4"/>
  <c r="G675" i="4" s="1"/>
  <c r="F671" i="4"/>
  <c r="G671" i="4" s="1"/>
  <c r="F667" i="4"/>
  <c r="G667" i="4" s="1"/>
  <c r="F663" i="4"/>
  <c r="G663" i="4" s="1"/>
  <c r="F659" i="4"/>
  <c r="G659" i="4" s="1"/>
  <c r="F655" i="4"/>
  <c r="G655" i="4" s="1"/>
  <c r="F651" i="4"/>
  <c r="G651" i="4" s="1"/>
  <c r="F647" i="4"/>
  <c r="G647" i="4" s="1"/>
  <c r="F643" i="4"/>
  <c r="G643" i="4" s="1"/>
  <c r="F639" i="4"/>
  <c r="G639" i="4" s="1"/>
  <c r="F635" i="4"/>
  <c r="G635" i="4" s="1"/>
  <c r="F631" i="4"/>
  <c r="G631" i="4" s="1"/>
  <c r="F627" i="4"/>
  <c r="G627" i="4" s="1"/>
  <c r="F623" i="4"/>
  <c r="G623" i="4" s="1"/>
  <c r="F619" i="4"/>
  <c r="G619" i="4" s="1"/>
  <c r="F615" i="4"/>
  <c r="G615" i="4" s="1"/>
  <c r="F611" i="4"/>
  <c r="G611" i="4" s="1"/>
  <c r="F867" i="4"/>
  <c r="G867" i="4" s="1"/>
  <c r="F859" i="4"/>
  <c r="G859" i="4" s="1"/>
  <c r="F851" i="4"/>
  <c r="G851" i="4" s="1"/>
  <c r="F849" i="4"/>
  <c r="G849" i="4" s="1"/>
  <c r="F847" i="4"/>
  <c r="G847" i="4" s="1"/>
  <c r="F845" i="4"/>
  <c r="G845" i="4" s="1"/>
  <c r="F843" i="4"/>
  <c r="G843" i="4" s="1"/>
  <c r="F841" i="4"/>
  <c r="G841" i="4" s="1"/>
  <c r="F839" i="4"/>
  <c r="G839" i="4" s="1"/>
  <c r="F837" i="4"/>
  <c r="G837" i="4" s="1"/>
  <c r="F835" i="4"/>
  <c r="G835" i="4" s="1"/>
  <c r="F833" i="4"/>
  <c r="G833" i="4" s="1"/>
  <c r="F831" i="4"/>
  <c r="G831" i="4" s="1"/>
  <c r="F829" i="4"/>
  <c r="G829" i="4" s="1"/>
  <c r="F827" i="4"/>
  <c r="G827" i="4" s="1"/>
  <c r="F825" i="4"/>
  <c r="G825" i="4" s="1"/>
  <c r="F823" i="4"/>
  <c r="G823" i="4" s="1"/>
  <c r="F821" i="4"/>
  <c r="G821" i="4" s="1"/>
  <c r="F819" i="4"/>
  <c r="G819" i="4" s="1"/>
  <c r="F817" i="4"/>
  <c r="G817" i="4" s="1"/>
  <c r="F815" i="4"/>
  <c r="G815" i="4" s="1"/>
  <c r="F813" i="4"/>
  <c r="G813" i="4" s="1"/>
  <c r="F811" i="4"/>
  <c r="G811" i="4" s="1"/>
  <c r="F809" i="4"/>
  <c r="G809" i="4" s="1"/>
  <c r="F807" i="4"/>
  <c r="G807" i="4" s="1"/>
  <c r="F805" i="4"/>
  <c r="G805" i="4" s="1"/>
  <c r="F803" i="4"/>
  <c r="G803" i="4" s="1"/>
  <c r="F801" i="4"/>
  <c r="G801" i="4" s="1"/>
  <c r="F798" i="4"/>
  <c r="G798" i="4" s="1"/>
  <c r="F793" i="4"/>
  <c r="G793" i="4" s="1"/>
  <c r="F790" i="4"/>
  <c r="G790" i="4" s="1"/>
  <c r="F785" i="4"/>
  <c r="G785" i="4" s="1"/>
  <c r="F782" i="4"/>
  <c r="G782" i="4" s="1"/>
  <c r="F777" i="4"/>
  <c r="G777" i="4" s="1"/>
  <c r="F774" i="4"/>
  <c r="G774" i="4" s="1"/>
  <c r="F769" i="4"/>
  <c r="G769" i="4" s="1"/>
  <c r="F766" i="4"/>
  <c r="G766" i="4" s="1"/>
  <c r="F761" i="4"/>
  <c r="G761" i="4" s="1"/>
  <c r="F758" i="4"/>
  <c r="G758" i="4" s="1"/>
  <c r="F752" i="4"/>
  <c r="G752" i="4" s="1"/>
  <c r="F748" i="4"/>
  <c r="G748" i="4" s="1"/>
  <c r="F744" i="4"/>
  <c r="G744" i="4" s="1"/>
  <c r="F740" i="4"/>
  <c r="G740" i="4" s="1"/>
  <c r="F736" i="4"/>
  <c r="G736" i="4" s="1"/>
  <c r="F732" i="4"/>
  <c r="G732" i="4" s="1"/>
  <c r="F728" i="4"/>
  <c r="G728" i="4" s="1"/>
  <c r="F724" i="4"/>
  <c r="G724" i="4" s="1"/>
  <c r="F720" i="4"/>
  <c r="G720" i="4" s="1"/>
  <c r="F716" i="4"/>
  <c r="G716" i="4" s="1"/>
  <c r="F712" i="4"/>
  <c r="G712" i="4" s="1"/>
  <c r="F708" i="4"/>
  <c r="G708" i="4" s="1"/>
  <c r="F704" i="4"/>
  <c r="G704" i="4" s="1"/>
  <c r="F700" i="4"/>
  <c r="G700" i="4" s="1"/>
  <c r="F696" i="4"/>
  <c r="G696" i="4" s="1"/>
  <c r="F692" i="4"/>
  <c r="G692" i="4" s="1"/>
  <c r="F688" i="4"/>
  <c r="G688" i="4" s="1"/>
  <c r="F684" i="4"/>
  <c r="G684" i="4" s="1"/>
  <c r="F680" i="4"/>
  <c r="G680" i="4" s="1"/>
  <c r="F676" i="4"/>
  <c r="G676" i="4" s="1"/>
  <c r="F672" i="4"/>
  <c r="G672" i="4" s="1"/>
  <c r="F668" i="4"/>
  <c r="G668" i="4" s="1"/>
  <c r="F664" i="4"/>
  <c r="G664" i="4" s="1"/>
  <c r="F660" i="4"/>
  <c r="G660" i="4" s="1"/>
  <c r="F656" i="4"/>
  <c r="G656" i="4" s="1"/>
  <c r="F652" i="4"/>
  <c r="G652" i="4" s="1"/>
  <c r="F648" i="4"/>
  <c r="G648" i="4" s="1"/>
  <c r="F644" i="4"/>
  <c r="G644" i="4" s="1"/>
  <c r="F640" i="4"/>
  <c r="G640" i="4" s="1"/>
  <c r="F636" i="4"/>
  <c r="G636" i="4" s="1"/>
  <c r="F632" i="4"/>
  <c r="G632" i="4" s="1"/>
  <c r="F628" i="4"/>
  <c r="G628" i="4" s="1"/>
  <c r="F624" i="4"/>
  <c r="G624" i="4" s="1"/>
  <c r="F620" i="4"/>
  <c r="G620" i="4" s="1"/>
  <c r="F616" i="4"/>
  <c r="G616" i="4" s="1"/>
  <c r="F612" i="4"/>
  <c r="G612" i="4" s="1"/>
  <c r="F608" i="4"/>
  <c r="G608" i="4" s="1"/>
  <c r="F604" i="4"/>
  <c r="G604" i="4" s="1"/>
  <c r="F600" i="4"/>
  <c r="G600" i="4" s="1"/>
  <c r="F596" i="4"/>
  <c r="G596" i="4" s="1"/>
  <c r="F592" i="4"/>
  <c r="G592" i="4" s="1"/>
  <c r="F588" i="4"/>
  <c r="G588" i="4" s="1"/>
  <c r="F584" i="4"/>
  <c r="G584" i="4" s="1"/>
  <c r="F580" i="4"/>
  <c r="G580" i="4" s="1"/>
  <c r="F576" i="4"/>
  <c r="G576" i="4" s="1"/>
  <c r="F572" i="4"/>
  <c r="G572" i="4" s="1"/>
  <c r="F568" i="4"/>
  <c r="G568" i="4" s="1"/>
  <c r="F564" i="4"/>
  <c r="G564" i="4" s="1"/>
  <c r="F560" i="4"/>
  <c r="G560" i="4" s="1"/>
  <c r="F556" i="4"/>
  <c r="G556" i="4" s="1"/>
  <c r="F552" i="4"/>
  <c r="G552" i="4" s="1"/>
  <c r="F548" i="4"/>
  <c r="G548" i="4" s="1"/>
  <c r="F544" i="4"/>
  <c r="G544" i="4" s="1"/>
  <c r="F540" i="4"/>
  <c r="G540" i="4" s="1"/>
  <c r="F536" i="4"/>
  <c r="G536" i="4" s="1"/>
  <c r="F532" i="4"/>
  <c r="G532" i="4" s="1"/>
  <c r="F528" i="4"/>
  <c r="G528" i="4" s="1"/>
  <c r="F524" i="4"/>
  <c r="G524" i="4" s="1"/>
  <c r="F520" i="4"/>
  <c r="G520" i="4" s="1"/>
  <c r="F516" i="4"/>
  <c r="G516" i="4" s="1"/>
  <c r="F512" i="4"/>
  <c r="G512" i="4" s="1"/>
  <c r="F603" i="4"/>
  <c r="G603" i="4" s="1"/>
  <c r="F595" i="4"/>
  <c r="G595" i="4" s="1"/>
  <c r="F587" i="4"/>
  <c r="G587" i="4" s="1"/>
  <c r="F579" i="4"/>
  <c r="G579" i="4" s="1"/>
  <c r="F541" i="4"/>
  <c r="G541" i="4" s="1"/>
  <c r="F538" i="4"/>
  <c r="G538" i="4" s="1"/>
  <c r="F533" i="4"/>
  <c r="G533" i="4" s="1"/>
  <c r="F530" i="4"/>
  <c r="G530" i="4" s="1"/>
  <c r="F525" i="4"/>
  <c r="G525" i="4" s="1"/>
  <c r="F522" i="4"/>
  <c r="G522" i="4" s="1"/>
  <c r="F517" i="4"/>
  <c r="G517" i="4" s="1"/>
  <c r="F514" i="4"/>
  <c r="G514" i="4" s="1"/>
  <c r="F508" i="4"/>
  <c r="G508" i="4" s="1"/>
  <c r="F504" i="4"/>
  <c r="G504" i="4" s="1"/>
  <c r="F500" i="4"/>
  <c r="G500" i="4" s="1"/>
  <c r="F496" i="4"/>
  <c r="G496" i="4" s="1"/>
  <c r="F492" i="4"/>
  <c r="G492" i="4" s="1"/>
  <c r="F488" i="4"/>
  <c r="G488" i="4" s="1"/>
  <c r="F484" i="4"/>
  <c r="G484" i="4" s="1"/>
  <c r="F480" i="4"/>
  <c r="G480" i="4" s="1"/>
  <c r="F476" i="4"/>
  <c r="G476" i="4" s="1"/>
  <c r="F472" i="4"/>
  <c r="G472" i="4" s="1"/>
  <c r="F468" i="4"/>
  <c r="G468" i="4" s="1"/>
  <c r="F464" i="4"/>
  <c r="G464" i="4" s="1"/>
  <c r="F460" i="4"/>
  <c r="G460" i="4" s="1"/>
  <c r="F456" i="4"/>
  <c r="G456" i="4" s="1"/>
  <c r="F452" i="4"/>
  <c r="G452" i="4" s="1"/>
  <c r="F448" i="4"/>
  <c r="G448" i="4" s="1"/>
  <c r="F444" i="4"/>
  <c r="G444" i="4" s="1"/>
  <c r="F440" i="4"/>
  <c r="G440" i="4" s="1"/>
  <c r="F436" i="4"/>
  <c r="G436" i="4" s="1"/>
  <c r="F432" i="4"/>
  <c r="G432" i="4" s="1"/>
  <c r="F428" i="4"/>
  <c r="G428" i="4" s="1"/>
  <c r="F424" i="4"/>
  <c r="G424" i="4" s="1"/>
  <c r="F420" i="4"/>
  <c r="G420" i="4" s="1"/>
  <c r="F416" i="4"/>
  <c r="G416" i="4" s="1"/>
  <c r="F412" i="4"/>
  <c r="G412" i="4" s="1"/>
  <c r="F408" i="4"/>
  <c r="G408" i="4" s="1"/>
  <c r="F404" i="4"/>
  <c r="G404" i="4" s="1"/>
  <c r="F400" i="4"/>
  <c r="G400" i="4" s="1"/>
  <c r="F396" i="4"/>
  <c r="G396" i="4" s="1"/>
  <c r="F392" i="4"/>
  <c r="G392" i="4" s="1"/>
  <c r="F388" i="4"/>
  <c r="G388" i="4" s="1"/>
  <c r="F384" i="4"/>
  <c r="G384" i="4" s="1"/>
  <c r="F380" i="4"/>
  <c r="G380" i="4" s="1"/>
  <c r="F376" i="4"/>
  <c r="G376" i="4" s="1"/>
  <c r="F372" i="4"/>
  <c r="G372" i="4" s="1"/>
  <c r="F368" i="4"/>
  <c r="G368" i="4" s="1"/>
  <c r="F364" i="4"/>
  <c r="G364" i="4" s="1"/>
  <c r="F360" i="4"/>
  <c r="G360" i="4" s="1"/>
  <c r="F356" i="4"/>
  <c r="G356" i="4" s="1"/>
  <c r="F352" i="4"/>
  <c r="G352" i="4" s="1"/>
  <c r="F348" i="4"/>
  <c r="G348" i="4" s="1"/>
  <c r="F344" i="4"/>
  <c r="G344" i="4" s="1"/>
  <c r="F340" i="4"/>
  <c r="G340" i="4" s="1"/>
  <c r="F336" i="4"/>
  <c r="G336" i="4" s="1"/>
  <c r="F332" i="4"/>
  <c r="G332" i="4" s="1"/>
  <c r="F328" i="4"/>
  <c r="G328" i="4" s="1"/>
  <c r="F324" i="4"/>
  <c r="G324" i="4" s="1"/>
  <c r="F320" i="4"/>
  <c r="G320" i="4" s="1"/>
  <c r="F316" i="4"/>
  <c r="G316" i="4" s="1"/>
  <c r="F312" i="4"/>
  <c r="G312" i="4" s="1"/>
  <c r="F308" i="4"/>
  <c r="G308" i="4" s="1"/>
  <c r="F304" i="4"/>
  <c r="G304" i="4" s="1"/>
  <c r="F300" i="4"/>
  <c r="G300" i="4" s="1"/>
  <c r="F296" i="4"/>
  <c r="G296" i="4" s="1"/>
  <c r="F292" i="4"/>
  <c r="G292" i="4" s="1"/>
  <c r="F288" i="4"/>
  <c r="G288" i="4" s="1"/>
  <c r="F284" i="4"/>
  <c r="G284" i="4" s="1"/>
  <c r="F280" i="4"/>
  <c r="G280" i="4" s="1"/>
  <c r="F276" i="4"/>
  <c r="G276" i="4" s="1"/>
  <c r="F272" i="4"/>
  <c r="G272" i="4" s="1"/>
  <c r="F268" i="4"/>
  <c r="G268" i="4" s="1"/>
  <c r="F264" i="4"/>
  <c r="G264" i="4" s="1"/>
  <c r="F260" i="4"/>
  <c r="G260" i="4" s="1"/>
  <c r="F256" i="4"/>
  <c r="G256" i="4" s="1"/>
  <c r="F539" i="4"/>
  <c r="G539" i="4" s="1"/>
  <c r="F531" i="4"/>
  <c r="G531" i="4" s="1"/>
  <c r="F523" i="4"/>
  <c r="G523" i="4" s="1"/>
  <c r="F515" i="4"/>
  <c r="G515" i="4" s="1"/>
  <c r="F509" i="4"/>
  <c r="G509" i="4" s="1"/>
  <c r="F505" i="4"/>
  <c r="G505" i="4" s="1"/>
  <c r="F501" i="4"/>
  <c r="G501" i="4" s="1"/>
  <c r="F497" i="4"/>
  <c r="G497" i="4" s="1"/>
  <c r="F493" i="4"/>
  <c r="G493" i="4" s="1"/>
  <c r="F489" i="4"/>
  <c r="G489" i="4" s="1"/>
  <c r="F485" i="4"/>
  <c r="G485" i="4" s="1"/>
  <c r="F481" i="4"/>
  <c r="G481" i="4" s="1"/>
  <c r="F477" i="4"/>
  <c r="G477" i="4" s="1"/>
  <c r="F473" i="4"/>
  <c r="G473" i="4" s="1"/>
  <c r="F469" i="4"/>
  <c r="G469" i="4" s="1"/>
  <c r="F465" i="4"/>
  <c r="G465" i="4" s="1"/>
  <c r="F461" i="4"/>
  <c r="G461" i="4" s="1"/>
  <c r="F457" i="4"/>
  <c r="G457" i="4" s="1"/>
  <c r="F453" i="4"/>
  <c r="G453" i="4" s="1"/>
  <c r="F449" i="4"/>
  <c r="G449" i="4" s="1"/>
  <c r="F445" i="4"/>
  <c r="G445" i="4" s="1"/>
  <c r="F441" i="4"/>
  <c r="G441" i="4" s="1"/>
  <c r="F437" i="4"/>
  <c r="G437" i="4" s="1"/>
  <c r="F433" i="4"/>
  <c r="G433" i="4" s="1"/>
  <c r="F429" i="4"/>
  <c r="G429" i="4" s="1"/>
  <c r="F425" i="4"/>
  <c r="G425" i="4" s="1"/>
  <c r="F421" i="4"/>
  <c r="G421" i="4" s="1"/>
  <c r="F417" i="4"/>
  <c r="G417" i="4" s="1"/>
  <c r="F413" i="4"/>
  <c r="G413" i="4" s="1"/>
  <c r="F409" i="4"/>
  <c r="G409" i="4" s="1"/>
  <c r="F405" i="4"/>
  <c r="G405" i="4" s="1"/>
  <c r="F401" i="4"/>
  <c r="G401" i="4" s="1"/>
  <c r="F397" i="4"/>
  <c r="G397" i="4" s="1"/>
  <c r="F393" i="4"/>
  <c r="G393" i="4" s="1"/>
  <c r="F389" i="4"/>
  <c r="G389" i="4" s="1"/>
  <c r="F385" i="4"/>
  <c r="G385" i="4" s="1"/>
  <c r="F381" i="4"/>
  <c r="G381" i="4" s="1"/>
  <c r="F377" i="4"/>
  <c r="G377" i="4" s="1"/>
  <c r="F373" i="4"/>
  <c r="G373" i="4" s="1"/>
  <c r="F369" i="4"/>
  <c r="G369" i="4" s="1"/>
  <c r="F365" i="4"/>
  <c r="G365" i="4" s="1"/>
  <c r="F361" i="4"/>
  <c r="G361" i="4" s="1"/>
  <c r="F357" i="4"/>
  <c r="G357" i="4" s="1"/>
  <c r="F353" i="4"/>
  <c r="G353" i="4" s="1"/>
  <c r="F349" i="4"/>
  <c r="G349" i="4" s="1"/>
  <c r="F345" i="4"/>
  <c r="G345" i="4" s="1"/>
  <c r="F341" i="4"/>
  <c r="G341" i="4" s="1"/>
  <c r="F337" i="4"/>
  <c r="G337" i="4" s="1"/>
  <c r="F333" i="4"/>
  <c r="G333" i="4" s="1"/>
  <c r="F329" i="4"/>
  <c r="G329" i="4" s="1"/>
  <c r="F325" i="4"/>
  <c r="G325" i="4" s="1"/>
  <c r="F321" i="4"/>
  <c r="G321" i="4" s="1"/>
  <c r="F317" i="4"/>
  <c r="G317" i="4" s="1"/>
  <c r="F313" i="4"/>
  <c r="G313" i="4" s="1"/>
  <c r="F309" i="4"/>
  <c r="G309" i="4" s="1"/>
  <c r="F305" i="4"/>
  <c r="G305" i="4" s="1"/>
  <c r="F301" i="4"/>
  <c r="G301" i="4" s="1"/>
  <c r="F297" i="4"/>
  <c r="G297" i="4" s="1"/>
  <c r="F293" i="4"/>
  <c r="G293" i="4" s="1"/>
  <c r="F289" i="4"/>
  <c r="G289" i="4" s="1"/>
  <c r="F285" i="4"/>
  <c r="G285" i="4" s="1"/>
  <c r="F281" i="4"/>
  <c r="G281" i="4" s="1"/>
  <c r="F277" i="4"/>
  <c r="G277" i="4" s="1"/>
  <c r="F273" i="4"/>
  <c r="G273" i="4" s="1"/>
  <c r="F269" i="4"/>
  <c r="G269" i="4" s="1"/>
  <c r="F265" i="4"/>
  <c r="G265" i="4" s="1"/>
  <c r="F261" i="4"/>
  <c r="G261" i="4" s="1"/>
  <c r="F257" i="4"/>
  <c r="G257" i="4" s="1"/>
  <c r="F253" i="4"/>
  <c r="G253" i="4" s="1"/>
  <c r="F249" i="4"/>
  <c r="G249" i="4" s="1"/>
  <c r="F245" i="4"/>
  <c r="G245" i="4" s="1"/>
  <c r="F241" i="4"/>
  <c r="G241" i="4" s="1"/>
  <c r="F237" i="4"/>
  <c r="G237" i="4" s="1"/>
  <c r="F233" i="4"/>
  <c r="G233" i="4" s="1"/>
  <c r="F229" i="4"/>
  <c r="G229" i="4" s="1"/>
  <c r="F225" i="4"/>
  <c r="G225" i="4" s="1"/>
  <c r="F221" i="4"/>
  <c r="G221" i="4" s="1"/>
  <c r="F217" i="4"/>
  <c r="G217" i="4" s="1"/>
  <c r="F607" i="4"/>
  <c r="G607" i="4" s="1"/>
  <c r="F599" i="4"/>
  <c r="G599" i="4" s="1"/>
  <c r="F591" i="4"/>
  <c r="G591" i="4" s="1"/>
  <c r="F583" i="4"/>
  <c r="G583" i="4" s="1"/>
  <c r="F575" i="4"/>
  <c r="G575" i="4" s="1"/>
  <c r="F573" i="4"/>
  <c r="G573" i="4" s="1"/>
  <c r="F571" i="4"/>
  <c r="G571" i="4" s="1"/>
  <c r="F569" i="4"/>
  <c r="G569" i="4" s="1"/>
  <c r="F567" i="4"/>
  <c r="G567" i="4" s="1"/>
  <c r="F565" i="4"/>
  <c r="G565" i="4" s="1"/>
  <c r="F563" i="4"/>
  <c r="G563" i="4" s="1"/>
  <c r="F561" i="4"/>
  <c r="G561" i="4" s="1"/>
  <c r="F559" i="4"/>
  <c r="G559" i="4" s="1"/>
  <c r="F557" i="4"/>
  <c r="G557" i="4" s="1"/>
  <c r="F555" i="4"/>
  <c r="G555" i="4" s="1"/>
  <c r="F553" i="4"/>
  <c r="G553" i="4" s="1"/>
  <c r="F551" i="4"/>
  <c r="G551" i="4" s="1"/>
  <c r="F549" i="4"/>
  <c r="G549" i="4" s="1"/>
  <c r="F547" i="4"/>
  <c r="G547" i="4" s="1"/>
  <c r="F545" i="4"/>
  <c r="G545" i="4" s="1"/>
  <c r="F542" i="4"/>
  <c r="G542" i="4" s="1"/>
  <c r="F537" i="4"/>
  <c r="G537" i="4" s="1"/>
  <c r="F534" i="4"/>
  <c r="G534" i="4" s="1"/>
  <c r="F529" i="4"/>
  <c r="G529" i="4" s="1"/>
  <c r="F526" i="4"/>
  <c r="G526" i="4" s="1"/>
  <c r="F521" i="4"/>
  <c r="G521" i="4" s="1"/>
  <c r="F518" i="4"/>
  <c r="G518" i="4" s="1"/>
  <c r="F513" i="4"/>
  <c r="G513" i="4" s="1"/>
  <c r="F510" i="4"/>
  <c r="G510" i="4" s="1"/>
  <c r="F506" i="4"/>
  <c r="G506" i="4" s="1"/>
  <c r="F502" i="4"/>
  <c r="G502" i="4" s="1"/>
  <c r="F498" i="4"/>
  <c r="G498" i="4" s="1"/>
  <c r="F494" i="4"/>
  <c r="G494" i="4" s="1"/>
  <c r="F490" i="4"/>
  <c r="G490" i="4" s="1"/>
  <c r="F486" i="4"/>
  <c r="G486" i="4" s="1"/>
  <c r="F482" i="4"/>
  <c r="G482" i="4" s="1"/>
  <c r="F478" i="4"/>
  <c r="G478" i="4" s="1"/>
  <c r="F474" i="4"/>
  <c r="G474" i="4" s="1"/>
  <c r="F470" i="4"/>
  <c r="G470" i="4" s="1"/>
  <c r="F466" i="4"/>
  <c r="G466" i="4" s="1"/>
  <c r="F462" i="4"/>
  <c r="G462" i="4" s="1"/>
  <c r="F458" i="4"/>
  <c r="G458" i="4" s="1"/>
  <c r="F454" i="4"/>
  <c r="G454" i="4" s="1"/>
  <c r="F450" i="4"/>
  <c r="G450" i="4" s="1"/>
  <c r="F446" i="4"/>
  <c r="G446" i="4" s="1"/>
  <c r="F442" i="4"/>
  <c r="G442" i="4" s="1"/>
  <c r="F438" i="4"/>
  <c r="G438" i="4" s="1"/>
  <c r="F434" i="4"/>
  <c r="G434" i="4" s="1"/>
  <c r="F430" i="4"/>
  <c r="G430" i="4" s="1"/>
  <c r="F426" i="4"/>
  <c r="G426" i="4" s="1"/>
  <c r="F422" i="4"/>
  <c r="G422" i="4" s="1"/>
  <c r="F418" i="4"/>
  <c r="G418" i="4" s="1"/>
  <c r="F414" i="4"/>
  <c r="G414" i="4" s="1"/>
  <c r="F410" i="4"/>
  <c r="G410" i="4" s="1"/>
  <c r="F406" i="4"/>
  <c r="G406" i="4" s="1"/>
  <c r="F402" i="4"/>
  <c r="G402" i="4" s="1"/>
  <c r="F398" i="4"/>
  <c r="G398" i="4" s="1"/>
  <c r="F394" i="4"/>
  <c r="G394" i="4" s="1"/>
  <c r="F390" i="4"/>
  <c r="G390" i="4" s="1"/>
  <c r="F386" i="4"/>
  <c r="G386" i="4" s="1"/>
  <c r="F382" i="4"/>
  <c r="G382" i="4" s="1"/>
  <c r="F378" i="4"/>
  <c r="G378" i="4" s="1"/>
  <c r="F374" i="4"/>
  <c r="G374" i="4" s="1"/>
  <c r="F370" i="4"/>
  <c r="G370" i="4" s="1"/>
  <c r="F366" i="4"/>
  <c r="G366" i="4" s="1"/>
  <c r="F362" i="4"/>
  <c r="G362" i="4" s="1"/>
  <c r="F358" i="4"/>
  <c r="G358" i="4" s="1"/>
  <c r="F354" i="4"/>
  <c r="G354" i="4" s="1"/>
  <c r="F350" i="4"/>
  <c r="G350" i="4" s="1"/>
  <c r="F346" i="4"/>
  <c r="G346" i="4" s="1"/>
  <c r="F342" i="4"/>
  <c r="G342" i="4" s="1"/>
  <c r="F338" i="4"/>
  <c r="G338" i="4" s="1"/>
  <c r="F334" i="4"/>
  <c r="G334" i="4" s="1"/>
  <c r="F330" i="4"/>
  <c r="G330" i="4" s="1"/>
  <c r="F326" i="4"/>
  <c r="G326" i="4" s="1"/>
  <c r="F322" i="4"/>
  <c r="G322" i="4" s="1"/>
  <c r="F318" i="4"/>
  <c r="G318" i="4" s="1"/>
  <c r="F314" i="4"/>
  <c r="G314" i="4" s="1"/>
  <c r="F310" i="4"/>
  <c r="G310" i="4" s="1"/>
  <c r="F306" i="4"/>
  <c r="G306" i="4" s="1"/>
  <c r="F302" i="4"/>
  <c r="G302" i="4" s="1"/>
  <c r="F298" i="4"/>
  <c r="G298" i="4" s="1"/>
  <c r="F294" i="4"/>
  <c r="G294" i="4" s="1"/>
  <c r="F290" i="4"/>
  <c r="G290" i="4" s="1"/>
  <c r="F286" i="4"/>
  <c r="G286" i="4" s="1"/>
  <c r="F282" i="4"/>
  <c r="G282" i="4" s="1"/>
  <c r="F278" i="4"/>
  <c r="G278" i="4" s="1"/>
  <c r="F274" i="4"/>
  <c r="G274" i="4" s="1"/>
  <c r="F270" i="4"/>
  <c r="G270" i="4" s="1"/>
  <c r="F266" i="4"/>
  <c r="G266" i="4" s="1"/>
  <c r="F262" i="4"/>
  <c r="G262" i="4" s="1"/>
  <c r="F258" i="4"/>
  <c r="G258" i="4" s="1"/>
  <c r="F254" i="4"/>
  <c r="G254" i="4" s="1"/>
  <c r="F543" i="4"/>
  <c r="G543" i="4" s="1"/>
  <c r="F535" i="4"/>
  <c r="G535" i="4" s="1"/>
  <c r="F527" i="4"/>
  <c r="G527" i="4" s="1"/>
  <c r="F519" i="4"/>
  <c r="G519" i="4" s="1"/>
  <c r="F511" i="4"/>
  <c r="G511" i="4" s="1"/>
  <c r="F507" i="4"/>
  <c r="G507" i="4" s="1"/>
  <c r="F503" i="4"/>
  <c r="G503" i="4" s="1"/>
  <c r="F499" i="4"/>
  <c r="G499" i="4" s="1"/>
  <c r="F495" i="4"/>
  <c r="G495" i="4" s="1"/>
  <c r="F491" i="4"/>
  <c r="G491" i="4" s="1"/>
  <c r="F487" i="4"/>
  <c r="G487" i="4" s="1"/>
  <c r="F483" i="4"/>
  <c r="G483" i="4" s="1"/>
  <c r="F479" i="4"/>
  <c r="G479" i="4" s="1"/>
  <c r="F475" i="4"/>
  <c r="G475" i="4" s="1"/>
  <c r="F471" i="4"/>
  <c r="G471" i="4" s="1"/>
  <c r="F467" i="4"/>
  <c r="G467" i="4" s="1"/>
  <c r="F463" i="4"/>
  <c r="G463" i="4" s="1"/>
  <c r="F459" i="4"/>
  <c r="G459" i="4" s="1"/>
  <c r="F455" i="4"/>
  <c r="G455" i="4" s="1"/>
  <c r="F451" i="4"/>
  <c r="G451" i="4" s="1"/>
  <c r="F447" i="4"/>
  <c r="G447" i="4" s="1"/>
  <c r="F443" i="4"/>
  <c r="G443" i="4" s="1"/>
  <c r="F439" i="4"/>
  <c r="G439" i="4" s="1"/>
  <c r="F435" i="4"/>
  <c r="G435" i="4" s="1"/>
  <c r="F431" i="4"/>
  <c r="G431" i="4" s="1"/>
  <c r="F427" i="4"/>
  <c r="G427" i="4" s="1"/>
  <c r="F423" i="4"/>
  <c r="G423" i="4" s="1"/>
  <c r="F419" i="4"/>
  <c r="G419" i="4" s="1"/>
  <c r="F415" i="4"/>
  <c r="G415" i="4" s="1"/>
  <c r="F411" i="4"/>
  <c r="G411" i="4" s="1"/>
  <c r="F407" i="4"/>
  <c r="G407" i="4" s="1"/>
  <c r="F403" i="4"/>
  <c r="G403" i="4" s="1"/>
  <c r="F399" i="4"/>
  <c r="G399" i="4" s="1"/>
  <c r="F395" i="4"/>
  <c r="G395" i="4" s="1"/>
  <c r="F391" i="4"/>
  <c r="G391" i="4" s="1"/>
  <c r="F387" i="4"/>
  <c r="G387" i="4" s="1"/>
  <c r="F383" i="4"/>
  <c r="G383" i="4" s="1"/>
  <c r="F379" i="4"/>
  <c r="G379" i="4" s="1"/>
  <c r="F375" i="4"/>
  <c r="G375" i="4" s="1"/>
  <c r="F371" i="4"/>
  <c r="G371" i="4" s="1"/>
  <c r="F367" i="4"/>
  <c r="G367" i="4" s="1"/>
  <c r="F363" i="4"/>
  <c r="G363" i="4" s="1"/>
  <c r="F359" i="4"/>
  <c r="G359" i="4" s="1"/>
  <c r="F355" i="4"/>
  <c r="G355" i="4" s="1"/>
  <c r="F351" i="4"/>
  <c r="G351" i="4" s="1"/>
  <c r="F347" i="4"/>
  <c r="G347" i="4" s="1"/>
  <c r="F343" i="4"/>
  <c r="G343" i="4" s="1"/>
  <c r="F339" i="4"/>
  <c r="G339" i="4" s="1"/>
  <c r="F335" i="4"/>
  <c r="G335" i="4" s="1"/>
  <c r="F331" i="4"/>
  <c r="G331" i="4" s="1"/>
  <c r="F327" i="4"/>
  <c r="G327" i="4" s="1"/>
  <c r="F323" i="4"/>
  <c r="G323" i="4" s="1"/>
  <c r="F319" i="4"/>
  <c r="G319" i="4" s="1"/>
  <c r="F315" i="4"/>
  <c r="G315" i="4" s="1"/>
  <c r="F311" i="4"/>
  <c r="G311" i="4" s="1"/>
  <c r="F307" i="4"/>
  <c r="G307" i="4" s="1"/>
  <c r="F303" i="4"/>
  <c r="G303" i="4" s="1"/>
  <c r="F299" i="4"/>
  <c r="G299" i="4" s="1"/>
  <c r="F295" i="4"/>
  <c r="G295" i="4" s="1"/>
  <c r="F291" i="4"/>
  <c r="G291" i="4" s="1"/>
  <c r="F287" i="4"/>
  <c r="G287" i="4" s="1"/>
  <c r="F283" i="4"/>
  <c r="G283" i="4" s="1"/>
  <c r="F279" i="4"/>
  <c r="G279" i="4" s="1"/>
  <c r="F275" i="4"/>
  <c r="G275" i="4" s="1"/>
  <c r="F271" i="4"/>
  <c r="G271" i="4" s="1"/>
  <c r="F267" i="4"/>
  <c r="G267" i="4" s="1"/>
  <c r="F263" i="4"/>
  <c r="G263" i="4" s="1"/>
  <c r="F259" i="4"/>
  <c r="G259" i="4" s="1"/>
  <c r="F255" i="4"/>
  <c r="G255" i="4" s="1"/>
  <c r="F251" i="4"/>
  <c r="G251" i="4" s="1"/>
  <c r="F247" i="4"/>
  <c r="G247" i="4" s="1"/>
  <c r="F243" i="4"/>
  <c r="G243" i="4" s="1"/>
  <c r="F239" i="4"/>
  <c r="G239" i="4" s="1"/>
  <c r="F235" i="4"/>
  <c r="G235" i="4" s="1"/>
  <c r="F231" i="4"/>
  <c r="G231" i="4" s="1"/>
  <c r="F227" i="4"/>
  <c r="G227" i="4" s="1"/>
  <c r="F223" i="4"/>
  <c r="G223" i="4" s="1"/>
  <c r="F219" i="4"/>
  <c r="G219" i="4" s="1"/>
  <c r="F215" i="4"/>
  <c r="G215" i="4" s="1"/>
  <c r="F211" i="4"/>
  <c r="G211" i="4" s="1"/>
  <c r="F207" i="4"/>
  <c r="G207" i="4" s="1"/>
  <c r="F203" i="4"/>
  <c r="G203" i="4" s="1"/>
  <c r="F199" i="4"/>
  <c r="G199" i="4" s="1"/>
  <c r="F195" i="4"/>
  <c r="G195" i="4" s="1"/>
  <c r="F191" i="4"/>
  <c r="G191" i="4" s="1"/>
  <c r="F187" i="4"/>
  <c r="G187" i="4" s="1"/>
  <c r="F183" i="4"/>
  <c r="G183" i="4" s="1"/>
  <c r="F179" i="4"/>
  <c r="G179" i="4" s="1"/>
  <c r="F175" i="4"/>
  <c r="G175" i="4" s="1"/>
  <c r="F171" i="4"/>
  <c r="G171" i="4" s="1"/>
  <c r="F167" i="4"/>
  <c r="G167" i="4" s="1"/>
  <c r="F163" i="4"/>
  <c r="G163" i="4" s="1"/>
  <c r="F159" i="4"/>
  <c r="G159" i="4" s="1"/>
  <c r="F155" i="4"/>
  <c r="G155" i="4" s="1"/>
  <c r="F151" i="4"/>
  <c r="G151" i="4" s="1"/>
  <c r="F147" i="4"/>
  <c r="G147" i="4" s="1"/>
  <c r="F143" i="4"/>
  <c r="G143" i="4" s="1"/>
  <c r="F139" i="4"/>
  <c r="G139" i="4" s="1"/>
  <c r="F135" i="4"/>
  <c r="G135" i="4" s="1"/>
  <c r="F131" i="4"/>
  <c r="G131" i="4" s="1"/>
  <c r="F127" i="4"/>
  <c r="G127" i="4" s="1"/>
  <c r="F123" i="4"/>
  <c r="G123" i="4" s="1"/>
  <c r="F34" i="4"/>
  <c r="G34" i="4" s="1"/>
  <c r="F70" i="4"/>
  <c r="G70" i="4" s="1"/>
  <c r="F86" i="4"/>
  <c r="G86" i="4" s="1"/>
  <c r="F94" i="4"/>
  <c r="G94" i="4" s="1"/>
  <c r="F98" i="4"/>
  <c r="G98" i="4" s="1"/>
  <c r="F102" i="4"/>
  <c r="G102" i="4" s="1"/>
  <c r="F106" i="4"/>
  <c r="G106" i="4" s="1"/>
  <c r="F110" i="4"/>
  <c r="G110" i="4" s="1"/>
  <c r="F114" i="4"/>
  <c r="G114" i="4" s="1"/>
  <c r="F118" i="4"/>
  <c r="G118" i="4" s="1"/>
  <c r="F122" i="4"/>
  <c r="G122" i="4" s="1"/>
  <c r="F130" i="4"/>
  <c r="G130" i="4" s="1"/>
  <c r="F138" i="4"/>
  <c r="G138" i="4" s="1"/>
  <c r="F146" i="4"/>
  <c r="G146" i="4" s="1"/>
  <c r="F154" i="4"/>
  <c r="G154" i="4" s="1"/>
  <c r="F162" i="4"/>
  <c r="G162" i="4" s="1"/>
  <c r="F170" i="4"/>
  <c r="G170" i="4" s="1"/>
  <c r="F178" i="4"/>
  <c r="G178" i="4" s="1"/>
  <c r="F186" i="4"/>
  <c r="G186" i="4" s="1"/>
  <c r="F194" i="4"/>
  <c r="G194" i="4" s="1"/>
  <c r="F202" i="4"/>
  <c r="G202" i="4" s="1"/>
  <c r="F210" i="4"/>
  <c r="G210" i="4" s="1"/>
  <c r="K310" i="11"/>
  <c r="K309" i="11"/>
  <c r="J308" i="11"/>
  <c r="K308" i="11" s="1"/>
  <c r="J307" i="11"/>
  <c r="K307" i="11"/>
  <c r="J306" i="11"/>
  <c r="K306" i="11" s="1"/>
  <c r="J305" i="11"/>
  <c r="K305" i="11"/>
  <c r="J304" i="11"/>
  <c r="J303" i="11" s="1"/>
  <c r="J302" i="11"/>
  <c r="J301" i="11" s="1"/>
  <c r="J300" i="11"/>
  <c r="J299" i="11" s="1"/>
  <c r="J298" i="11"/>
  <c r="J297" i="11" s="1"/>
  <c r="J296" i="11"/>
  <c r="J295" i="11" s="1"/>
  <c r="J294" i="11"/>
  <c r="J293" i="11" s="1"/>
  <c r="J292" i="11"/>
  <c r="J291" i="11" s="1"/>
  <c r="J290" i="11"/>
  <c r="J289" i="11" s="1"/>
  <c r="J288" i="11"/>
  <c r="J287" i="11" s="1"/>
  <c r="J286" i="11"/>
  <c r="J285" i="11" s="1"/>
  <c r="J284" i="11"/>
  <c r="J283" i="11" s="1"/>
  <c r="J282" i="11"/>
  <c r="J281" i="11" s="1"/>
  <c r="J280" i="11"/>
  <c r="J279" i="11" s="1"/>
  <c r="J278" i="11"/>
  <c r="J277" i="11" s="1"/>
  <c r="J276" i="11"/>
  <c r="J275" i="11" s="1"/>
  <c r="J274" i="11"/>
  <c r="J273" i="11" s="1"/>
  <c r="J272" i="11"/>
  <c r="J271" i="11" s="1"/>
  <c r="J270" i="11"/>
  <c r="J269" i="11" s="1"/>
  <c r="J268" i="11"/>
  <c r="J267" i="11" s="1"/>
  <c r="J266" i="11"/>
  <c r="J265" i="11" s="1"/>
  <c r="J264" i="11"/>
  <c r="J263" i="11" s="1"/>
  <c r="J262" i="11"/>
  <c r="J261" i="11" s="1"/>
  <c r="J260" i="11"/>
  <c r="J259" i="11" s="1"/>
  <c r="J258" i="11"/>
  <c r="J257" i="11" s="1"/>
  <c r="J256" i="11"/>
  <c r="J255" i="11" s="1"/>
  <c r="J254" i="11"/>
  <c r="J253" i="11" s="1"/>
  <c r="J252" i="11"/>
  <c r="J251" i="11" s="1"/>
  <c r="J250" i="11"/>
  <c r="J249" i="11" s="1"/>
  <c r="J248" i="11"/>
  <c r="J247" i="11" s="1"/>
  <c r="J246" i="11"/>
  <c r="J245" i="11" s="1"/>
  <c r="J244" i="11"/>
  <c r="J243" i="11" s="1"/>
  <c r="J242" i="11"/>
  <c r="J241" i="11" s="1"/>
  <c r="J240" i="11"/>
  <c r="J239" i="11" s="1"/>
  <c r="J238" i="11"/>
  <c r="J237" i="11" s="1"/>
  <c r="J236" i="11"/>
  <c r="J235" i="11" s="1"/>
  <c r="J234" i="11"/>
  <c r="J233" i="11" s="1"/>
  <c r="J232" i="11"/>
  <c r="J231" i="11" s="1"/>
  <c r="J230" i="11"/>
  <c r="J229" i="11" s="1"/>
  <c r="J228" i="11"/>
  <c r="J227" i="11" s="1"/>
  <c r="J226" i="11"/>
  <c r="J225" i="11" s="1"/>
  <c r="J224" i="11"/>
  <c r="J223" i="11" s="1"/>
  <c r="J222" i="11"/>
  <c r="J221" i="11" s="1"/>
  <c r="J220" i="11"/>
  <c r="J219" i="11" s="1"/>
  <c r="J218" i="11"/>
  <c r="J217" i="11" s="1"/>
  <c r="J216" i="11"/>
  <c r="J215" i="11" s="1"/>
  <c r="J214" i="11"/>
  <c r="J213" i="11" s="1"/>
  <c r="J212" i="11"/>
  <c r="J211" i="11" s="1"/>
  <c r="J210" i="11"/>
  <c r="J209" i="11" s="1"/>
  <c r="J208" i="11"/>
  <c r="J207" i="11" s="1"/>
  <c r="J206" i="11"/>
  <c r="J205" i="11" s="1"/>
  <c r="J204" i="11"/>
  <c r="J203" i="11" s="1"/>
  <c r="J202" i="11"/>
  <c r="J201" i="11" s="1"/>
  <c r="J200" i="11"/>
  <c r="J199" i="11" s="1"/>
  <c r="J198" i="11"/>
  <c r="J197" i="11" s="1"/>
  <c r="J196" i="11"/>
  <c r="J195" i="11" s="1"/>
  <c r="J194" i="11"/>
  <c r="J193" i="11" s="1"/>
  <c r="J192" i="11"/>
  <c r="J191" i="11" s="1"/>
  <c r="J190" i="11"/>
  <c r="J189" i="11" s="1"/>
  <c r="J188" i="11"/>
  <c r="J187" i="11" s="1"/>
  <c r="J186" i="11"/>
  <c r="J185" i="11" s="1"/>
  <c r="J184" i="11"/>
  <c r="J183" i="11" s="1"/>
  <c r="J182" i="11"/>
  <c r="J181" i="11" s="1"/>
  <c r="J180" i="11"/>
  <c r="J179" i="11" s="1"/>
  <c r="J178" i="11"/>
  <c r="J177" i="11" s="1"/>
  <c r="J176" i="11"/>
  <c r="J175" i="11" s="1"/>
  <c r="J174" i="11"/>
  <c r="J173" i="11" s="1"/>
  <c r="J172" i="11"/>
  <c r="J171" i="11" s="1"/>
  <c r="J170" i="11"/>
  <c r="J169" i="11" s="1"/>
  <c r="J168" i="11"/>
  <c r="J167" i="11" s="1"/>
  <c r="J166" i="11"/>
  <c r="J165" i="11" s="1"/>
  <c r="J164" i="11"/>
  <c r="J163" i="11" s="1"/>
  <c r="J162" i="11"/>
  <c r="J161" i="11" s="1"/>
  <c r="J160" i="11"/>
  <c r="J159" i="11" s="1"/>
  <c r="J158" i="11"/>
  <c r="J157" i="11" s="1"/>
  <c r="J156" i="11"/>
  <c r="J155" i="11" s="1"/>
  <c r="J154" i="11"/>
  <c r="J153" i="11" s="1"/>
  <c r="J152" i="11"/>
  <c r="J151" i="11" s="1"/>
  <c r="J150" i="11"/>
  <c r="J149" i="11" s="1"/>
  <c r="J148" i="11"/>
  <c r="J147" i="11" s="1"/>
  <c r="J146" i="11"/>
  <c r="J145" i="11" s="1"/>
  <c r="J144" i="11"/>
  <c r="J143" i="11" s="1"/>
  <c r="J142" i="11"/>
  <c r="J141" i="11" s="1"/>
  <c r="J140" i="11"/>
  <c r="J139" i="11" s="1"/>
  <c r="J138" i="11"/>
  <c r="J137" i="11" s="1"/>
  <c r="J136" i="11"/>
  <c r="J135" i="11" s="1"/>
  <c r="J134" i="11"/>
  <c r="J133" i="11" s="1"/>
  <c r="J132" i="11"/>
  <c r="J131" i="11" s="1"/>
  <c r="J130" i="11"/>
  <c r="J129" i="11" s="1"/>
  <c r="J128" i="11"/>
  <c r="J127" i="11" s="1"/>
  <c r="J126" i="11"/>
  <c r="J125" i="11" s="1"/>
  <c r="J124" i="11"/>
  <c r="J123" i="11" s="1"/>
  <c r="J122" i="11"/>
  <c r="J121" i="11" s="1"/>
  <c r="J120" i="11"/>
  <c r="J119" i="11" s="1"/>
  <c r="J118" i="11"/>
  <c r="J117" i="11" s="1"/>
  <c r="J116" i="11"/>
  <c r="J115" i="11" s="1"/>
  <c r="J114" i="11"/>
  <c r="J113" i="11" s="1"/>
  <c r="J112" i="11"/>
  <c r="J111" i="11" s="1"/>
  <c r="J110" i="11"/>
  <c r="J109" i="11" s="1"/>
  <c r="J108" i="11"/>
  <c r="J107" i="11" s="1"/>
  <c r="J106" i="11"/>
  <c r="J105" i="11" s="1"/>
  <c r="J104" i="11"/>
  <c r="J103" i="11" s="1"/>
  <c r="J102" i="11"/>
  <c r="J101" i="11" s="1"/>
  <c r="J100" i="11"/>
  <c r="J99" i="11" s="1"/>
  <c r="J98" i="11"/>
  <c r="J97" i="11" s="1"/>
  <c r="J96" i="11"/>
  <c r="J95" i="11" s="1"/>
  <c r="J94" i="11"/>
  <c r="J93" i="11" s="1"/>
  <c r="J92" i="11"/>
  <c r="J91" i="11" s="1"/>
  <c r="J90" i="11"/>
  <c r="J89" i="11" s="1"/>
  <c r="J88" i="11"/>
  <c r="J87" i="11" s="1"/>
  <c r="J86" i="11"/>
  <c r="J85" i="11" s="1"/>
  <c r="J84" i="11"/>
  <c r="J83" i="11" s="1"/>
  <c r="J82" i="11"/>
  <c r="J81" i="11" s="1"/>
  <c r="J80" i="11"/>
  <c r="J79" i="11" s="1"/>
  <c r="J78" i="11"/>
  <c r="J77" i="11" s="1"/>
  <c r="J76" i="11"/>
  <c r="J75" i="11" s="1"/>
  <c r="J74" i="11"/>
  <c r="J73" i="11" s="1"/>
  <c r="J72" i="11"/>
  <c r="J71" i="11" s="1"/>
  <c r="J70" i="11"/>
  <c r="J69" i="11" s="1"/>
  <c r="J68" i="11"/>
  <c r="J67" i="11" s="1"/>
  <c r="J66" i="11"/>
  <c r="J65" i="11" s="1"/>
  <c r="J64" i="11"/>
  <c r="J63" i="11" s="1"/>
  <c r="J62" i="11"/>
  <c r="J61" i="11" s="1"/>
  <c r="J60" i="11"/>
  <c r="J59" i="11" s="1"/>
  <c r="J58" i="11"/>
  <c r="J57" i="11" s="1"/>
  <c r="J56" i="11"/>
  <c r="J55" i="11" s="1"/>
  <c r="J54" i="11"/>
  <c r="J53" i="11" s="1"/>
  <c r="J52" i="11"/>
  <c r="K304" i="11"/>
  <c r="K303" i="11" s="1"/>
  <c r="K302" i="11"/>
  <c r="K301" i="11" s="1"/>
  <c r="K300" i="11"/>
  <c r="K299" i="11" s="1"/>
  <c r="K298" i="11"/>
  <c r="K297" i="11" s="1"/>
  <c r="K296" i="11"/>
  <c r="K295" i="11" s="1"/>
  <c r="K294" i="11"/>
  <c r="K293" i="11" s="1"/>
  <c r="K292" i="11"/>
  <c r="K291" i="11" s="1"/>
  <c r="K290" i="11"/>
  <c r="K289" i="11" s="1"/>
  <c r="K288" i="11"/>
  <c r="K287" i="11" s="1"/>
  <c r="K286" i="11"/>
  <c r="K285" i="11" s="1"/>
  <c r="K284" i="11"/>
  <c r="K283" i="11" s="1"/>
  <c r="K282" i="11"/>
  <c r="K281" i="11" s="1"/>
  <c r="K280" i="11"/>
  <c r="K279" i="11" s="1"/>
  <c r="K278" i="11"/>
  <c r="K277" i="11" s="1"/>
  <c r="K276" i="11"/>
  <c r="K275" i="11" s="1"/>
  <c r="K274" i="11"/>
  <c r="K273" i="11" s="1"/>
  <c r="K272" i="11"/>
  <c r="K271" i="11" s="1"/>
  <c r="K270" i="11"/>
  <c r="K269" i="11" s="1"/>
  <c r="K268" i="11"/>
  <c r="K267" i="11" s="1"/>
  <c r="K266" i="11"/>
  <c r="K265" i="11" s="1"/>
  <c r="K264" i="11"/>
  <c r="K263" i="11" s="1"/>
  <c r="K262" i="11"/>
  <c r="K261" i="11" s="1"/>
  <c r="K260" i="11"/>
  <c r="K259" i="11" s="1"/>
  <c r="K258" i="11"/>
  <c r="K257" i="11" s="1"/>
  <c r="K256" i="11"/>
  <c r="K255" i="11" s="1"/>
  <c r="K254" i="11"/>
  <c r="K253" i="11" s="1"/>
  <c r="K252" i="11"/>
  <c r="K251" i="11" s="1"/>
  <c r="K250" i="11"/>
  <c r="K249" i="11" s="1"/>
  <c r="K248" i="11"/>
  <c r="K247" i="11" s="1"/>
  <c r="K246" i="11"/>
  <c r="K245" i="11" s="1"/>
  <c r="K244" i="11"/>
  <c r="K243" i="11" s="1"/>
  <c r="K242" i="11"/>
  <c r="K241" i="11" s="1"/>
  <c r="K240" i="11"/>
  <c r="K239" i="11" s="1"/>
  <c r="K238" i="11"/>
  <c r="K237" i="11" s="1"/>
  <c r="K236" i="11"/>
  <c r="K235" i="11" s="1"/>
  <c r="K234" i="11"/>
  <c r="K233" i="11" s="1"/>
  <c r="K232" i="11"/>
  <c r="K231" i="11" s="1"/>
  <c r="K230" i="11"/>
  <c r="K229" i="11" s="1"/>
  <c r="K228" i="11"/>
  <c r="K227" i="11" s="1"/>
  <c r="K226" i="11"/>
  <c r="K225" i="11" s="1"/>
  <c r="K224" i="11"/>
  <c r="K223" i="11" s="1"/>
  <c r="K222" i="11"/>
  <c r="K221" i="11" s="1"/>
  <c r="K220" i="11"/>
  <c r="K219" i="11" s="1"/>
  <c r="K218" i="11"/>
  <c r="K217" i="11" s="1"/>
  <c r="K216" i="11"/>
  <c r="K215" i="11" s="1"/>
  <c r="K214" i="11"/>
  <c r="K213" i="11" s="1"/>
  <c r="K212" i="11"/>
  <c r="K211" i="11" s="1"/>
  <c r="K210" i="11"/>
  <c r="K209" i="11" s="1"/>
  <c r="K208" i="11"/>
  <c r="K207" i="11" s="1"/>
  <c r="K206" i="11"/>
  <c r="K205" i="11" s="1"/>
  <c r="K204" i="11"/>
  <c r="K203" i="11" s="1"/>
  <c r="K202" i="11"/>
  <c r="K201" i="11" s="1"/>
  <c r="K200" i="11"/>
  <c r="K199" i="11" s="1"/>
  <c r="K198" i="11"/>
  <c r="K197" i="11" s="1"/>
  <c r="K196" i="11"/>
  <c r="K195" i="11" s="1"/>
  <c r="K194" i="11"/>
  <c r="K193" i="11" s="1"/>
  <c r="K192" i="11"/>
  <c r="K191" i="11" s="1"/>
  <c r="K190" i="11"/>
  <c r="K189" i="11" s="1"/>
  <c r="K188" i="11"/>
  <c r="K187" i="11" s="1"/>
  <c r="K186" i="11"/>
  <c r="K185" i="11" s="1"/>
  <c r="K184" i="11"/>
  <c r="K183" i="11" s="1"/>
  <c r="K182" i="11"/>
  <c r="K181" i="11" s="1"/>
  <c r="K180" i="11"/>
  <c r="K179" i="11" s="1"/>
  <c r="K178" i="11"/>
  <c r="K177" i="11" s="1"/>
  <c r="K176" i="11"/>
  <c r="K175" i="11" s="1"/>
  <c r="K174" i="11"/>
  <c r="K173" i="11" s="1"/>
  <c r="K172" i="11" s="1"/>
  <c r="K171" i="11" s="1"/>
  <c r="K170" i="11" s="1"/>
  <c r="K169" i="11" s="1"/>
  <c r="K168" i="11" s="1"/>
  <c r="K167" i="11" s="1"/>
  <c r="K166" i="11"/>
  <c r="K165" i="11" s="1"/>
  <c r="K164" i="11" s="1"/>
  <c r="K163" i="11" s="1"/>
  <c r="K162" i="11" s="1"/>
  <c r="K161" i="11" s="1"/>
  <c r="K160" i="11" s="1"/>
  <c r="K159" i="11" s="1"/>
  <c r="K158" i="11"/>
  <c r="K157" i="11" s="1"/>
  <c r="K156" i="11" s="1"/>
  <c r="K155" i="11" s="1"/>
  <c r="K154" i="11" s="1"/>
  <c r="K153" i="11" s="1"/>
  <c r="K152" i="11" s="1"/>
  <c r="K151" i="11" s="1"/>
  <c r="K150" i="11"/>
  <c r="K149" i="11" s="1"/>
  <c r="K148" i="11" s="1"/>
  <c r="K147" i="11" s="1"/>
  <c r="K146" i="11" s="1"/>
  <c r="K145" i="11" s="1"/>
  <c r="K144" i="11" s="1"/>
  <c r="K143" i="11" s="1"/>
  <c r="K142" i="11"/>
  <c r="K141" i="11" s="1"/>
  <c r="K140" i="11" s="1"/>
  <c r="K139" i="11" s="1"/>
  <c r="K138" i="11" s="1"/>
  <c r="K137" i="11" s="1"/>
  <c r="K136" i="11" s="1"/>
  <c r="K135" i="11" s="1"/>
  <c r="K134" i="11"/>
  <c r="K133" i="11" s="1"/>
  <c r="K132" i="11" s="1"/>
  <c r="K131" i="11" s="1"/>
  <c r="K130" i="11" s="1"/>
  <c r="K129" i="11" s="1"/>
  <c r="K128" i="11" s="1"/>
  <c r="K127" i="11" s="1"/>
  <c r="K126" i="11"/>
  <c r="K125" i="11" s="1"/>
  <c r="K124" i="11" s="1"/>
  <c r="K123" i="11" s="1"/>
  <c r="K122" i="11" s="1"/>
  <c r="K121" i="11" s="1"/>
  <c r="K120" i="11" s="1"/>
  <c r="K119" i="11" s="1"/>
  <c r="K118" i="11"/>
  <c r="K117" i="11" s="1"/>
  <c r="K116" i="11" s="1"/>
  <c r="K115" i="11" s="1"/>
  <c r="K114" i="11" s="1"/>
  <c r="K113" i="11" s="1"/>
  <c r="K112" i="11" s="1"/>
  <c r="K111" i="11" s="1"/>
  <c r="K110" i="11"/>
  <c r="K109" i="11" s="1"/>
  <c r="K108" i="11" s="1"/>
  <c r="K107" i="11" s="1"/>
  <c r="K106" i="11" s="1"/>
  <c r="K105" i="11" s="1"/>
  <c r="K104" i="11" s="1"/>
  <c r="K103" i="11" s="1"/>
  <c r="K102" i="11"/>
  <c r="K101" i="11" s="1"/>
  <c r="K100" i="11" s="1"/>
  <c r="K99" i="11" s="1"/>
  <c r="K98" i="11" s="1"/>
  <c r="K97" i="11" s="1"/>
  <c r="K96" i="11" s="1"/>
  <c r="K95" i="11" s="1"/>
  <c r="K94" i="11"/>
  <c r="K93" i="11" s="1"/>
  <c r="K92" i="11" s="1"/>
  <c r="K91" i="11" s="1"/>
  <c r="K90" i="11" s="1"/>
  <c r="K89" i="11" s="1"/>
  <c r="K88" i="11" s="1"/>
  <c r="K87" i="11" s="1"/>
  <c r="K86" i="11"/>
  <c r="K85" i="11" s="1"/>
  <c r="K84" i="11" s="1"/>
  <c r="K83" i="11" s="1"/>
  <c r="K82" i="11" s="1"/>
  <c r="K81" i="11" s="1"/>
  <c r="K80" i="11" s="1"/>
  <c r="K79" i="11" s="1"/>
  <c r="K78" i="11"/>
  <c r="K77" i="11" s="1"/>
  <c r="K76" i="11" s="1"/>
  <c r="K75" i="11" s="1"/>
  <c r="K74" i="11" s="1"/>
  <c r="K73" i="11" s="1"/>
  <c r="K72" i="11" s="1"/>
  <c r="K71" i="11"/>
  <c r="K70" i="11" s="1"/>
  <c r="K69" i="11" s="1"/>
  <c r="K68" i="11" s="1"/>
  <c r="K67" i="11"/>
  <c r="K66" i="11" s="1"/>
  <c r="K65" i="11" s="1"/>
  <c r="K64" i="11" s="1"/>
  <c r="K63" i="11"/>
  <c r="K62" i="11" s="1"/>
  <c r="K61" i="11" s="1"/>
  <c r="K60" i="11" s="1"/>
  <c r="K59" i="11"/>
  <c r="K58" i="11" s="1"/>
  <c r="K57" i="11" s="1"/>
  <c r="K56" i="11" s="1"/>
  <c r="K55" i="11"/>
  <c r="K54" i="11" s="1"/>
  <c r="K53" i="11" s="1"/>
  <c r="K52" i="11" s="1"/>
  <c r="J51" i="11"/>
  <c r="J50" i="11"/>
  <c r="K51" i="11"/>
  <c r="J49" i="11"/>
  <c r="K50" i="11"/>
  <c r="J48" i="11"/>
  <c r="K49" i="11"/>
  <c r="J47" i="11"/>
  <c r="K48" i="11"/>
  <c r="J46" i="11"/>
  <c r="K47" i="11"/>
  <c r="J45" i="11"/>
  <c r="K46" i="11"/>
  <c r="J44" i="11"/>
  <c r="K45" i="11"/>
  <c r="J43" i="11"/>
  <c r="K44" i="11"/>
  <c r="J42" i="11"/>
  <c r="K43" i="11"/>
  <c r="J41" i="11"/>
  <c r="K42" i="11"/>
  <c r="J40" i="11"/>
  <c r="K41" i="11"/>
  <c r="J39" i="11"/>
  <c r="K40" i="11"/>
  <c r="J38" i="11"/>
  <c r="K39" i="11"/>
  <c r="J37" i="11"/>
  <c r="K38" i="11"/>
  <c r="J36" i="11"/>
  <c r="K37" i="11"/>
  <c r="J35" i="11"/>
  <c r="K36" i="11"/>
  <c r="J34" i="11"/>
  <c r="K35" i="11"/>
  <c r="J33" i="11"/>
  <c r="K34" i="11"/>
  <c r="J32" i="11"/>
  <c r="K33" i="11"/>
  <c r="J31" i="11"/>
  <c r="K32" i="11"/>
  <c r="J30" i="11"/>
  <c r="K31" i="11"/>
  <c r="J29" i="11"/>
  <c r="K30" i="11"/>
  <c r="J28" i="11"/>
  <c r="K29" i="11"/>
  <c r="J27" i="11"/>
  <c r="K28" i="11"/>
  <c r="J26" i="11"/>
  <c r="K27" i="11"/>
  <c r="J25" i="11"/>
  <c r="K26" i="11"/>
  <c r="J24" i="11"/>
  <c r="K25" i="11"/>
  <c r="J23" i="11"/>
  <c r="K24" i="11"/>
  <c r="J22" i="11"/>
  <c r="K23" i="11"/>
  <c r="J21" i="11"/>
  <c r="K22" i="11"/>
  <c r="J20" i="11"/>
  <c r="K21" i="11"/>
  <c r="J19" i="11"/>
  <c r="K20" i="11"/>
  <c r="J18" i="11"/>
  <c r="K19" i="11"/>
  <c r="J17" i="11"/>
  <c r="K18" i="11"/>
  <c r="J16" i="11"/>
  <c r="K17" i="11"/>
  <c r="J15" i="11"/>
  <c r="K16" i="11"/>
  <c r="J14" i="11"/>
  <c r="K15" i="11"/>
  <c r="J13" i="11"/>
  <c r="K14" i="11"/>
  <c r="J12" i="11"/>
  <c r="K13" i="11"/>
  <c r="J11" i="11"/>
  <c r="K12" i="11"/>
  <c r="J10" i="11"/>
  <c r="K11" i="11"/>
  <c r="J9" i="11"/>
  <c r="K10" i="11"/>
  <c r="J8" i="11"/>
  <c r="K9" i="11"/>
  <c r="J7" i="11"/>
  <c r="K8" i="11"/>
  <c r="J6" i="11"/>
  <c r="K7" i="11"/>
  <c r="J5" i="11"/>
  <c r="K6" i="11"/>
  <c r="J4" i="11"/>
  <c r="K5" i="11"/>
  <c r="J3" i="11"/>
  <c r="K4" i="11"/>
  <c r="J2" i="11"/>
  <c r="K3" i="11"/>
  <c r="K2" i="11"/>
</calcChain>
</file>

<file path=xl/comments1.xml><?xml version="1.0" encoding="utf-8"?>
<comments xmlns="http://schemas.openxmlformats.org/spreadsheetml/2006/main">
  <authors>
    <author>ASUS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tFormatSetting=0###_x000D_
tFormatExcel=1###_x000D_
tRankingField=###_x000D_
tSearchString=2|||0|||waprcd1|||OPEN,CLOSE,|||DAY###_x000D_
tFieldType=System.String|||System.String|||System.Double|||System.Double|||###_x000D_
tFieldName=證券代碼|||年月日|||開盤價(元)|||收盤價(元)|||###_x000D_
tFieldUOM=-|||-###_x000D_
tLockIDDateCell=###_x000D_
tDescending=Y###_x000D_
tLastestDate=N###_x000D_
tActualDate=N###_x000D_
tAdvancedDateOptions=N###_x000D_
tLastestDataInEachField=N|||N###_x000D_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tFormatSetting=0###_x000D_
tFormatExcel=1###_x000D_
tRankingField=###_x000D_
tSearchString=2|||0|||waprcd1|||OPEN,HIGH,LOW,CLOSE,|||DAY###_x000D_
tFieldType=System.String|||System.String|||System.Double|||System.Double|||System.Double|||System.Double|||###_x000D_
tFieldName=證券代碼|||年月日|||開盤價(元)|||最高價(元)|||最低價(元)|||收盤價(元)|||###_x000D_
tFieldUOM=-|||-|||-|||-###_x000D_
tLockIDDateCell=###_x000D_
tDescending=Y###_x000D_
tLastestDate=N###_x000D_
tActualDate=N###_x000D_
tAdvancedDateOptions=N###_x000D_
tLastestDataInEachField=N|||N|||N|||N###_x000D_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3.xml><?xml version="1.0" encoding="utf-8"?>
<comments xmlns="http://schemas.openxmlformats.org/spreadsheetml/2006/main">
  <authors>
    <author>ASUS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tFormatSetting=8###_x000D_
tFormatExcel=1###_x000D_
tRankingField=###_x000D_
tSearchString=2|||0|||waprcd1|||ROIB,|||DAY###_x000D_
tFieldType=System.String|||System.String|||System.Double|||###_x000D_
tFieldName=證券代碼|||年月日|||報酬率-Ln|||###_x000D_
tFieldUOM=%###_x000D_
tLockIDDateCell=###_x000D_
tDescending=N###_x000D_
tLastestDate=N###_x000D_
tActualDate=N###_x000D_
tAdvancedDateOptions=N###_x000D_
tLastestDataInEachField=N###_x000D_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tFormatSetting=8###_x000D_
tFormatExcel=1###_x000D_
tRankingField=###_x000D_
tSearchString=2|||0|||waprcd1|||ROIB,|||DAY###_x000D_
tFieldType=System.String|||System.String|||System.Double|||###_x000D_
tFieldName=證券代碼|||年月日|||報酬率-Ln|||###_x000D_
tFieldUOM=%###_x000D_
tLockIDDateCell=###_x000D_
tDescending=N###_x000D_
tLastestDate=N###_x000D_
tActualDate=N###_x000D_
tAdvancedDateOptions=N###_x000D_
tLastestDataInEachField=N###_x000D_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tFormatSetting=8###_x000D_
tFormatExcel=1###_x000D_
tRankingField=###_x000D_
tSearchString=2|||0|||waprcd1|||ROIB,|||DAY###_x000D_
tFieldType=System.String|||System.String|||System.Double|||###_x000D_
tFieldName=證券代碼|||年月日|||報酬率-Ln|||###_x000D_
tFieldUOM=%###_x000D_
tLockIDDateCell=###_x000D_
tDescending=N###_x000D_
tLastestDate=N###_x000D_
tActualDate=N###_x000D_
tAdvancedDateOptions=N###_x000D_
tLastestDataInEachField=N###_x000D_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sharedStrings.xml><?xml version="1.0" encoding="utf-8"?>
<sst xmlns="http://schemas.openxmlformats.org/spreadsheetml/2006/main" count="4373" uniqueCount="156">
  <si>
    <t>證券代碼</t>
  </si>
  <si>
    <t>年月日</t>
  </si>
  <si>
    <t>開盤價(元)</t>
  </si>
  <si>
    <t>收盤價(元)</t>
  </si>
  <si>
    <t>漲跌</t>
    <phoneticPr fontId="1" type="noConversion"/>
  </si>
  <si>
    <t>3030 德律</t>
  </si>
  <si>
    <t>上漲</t>
  </si>
  <si>
    <t>下跌</t>
  </si>
  <si>
    <t>平盤</t>
  </si>
  <si>
    <t xml:space="preserve">請利用TEJ Smart Wizard匯入自己學號後兩碼的股票
(例如 : B104xxx30 下載 3030 、 B104xxx31 下載3131)
匯入內容 : 該檔股票名稱、日期、開盤價、收盤價
日期期間 : 2016/01/01 ~ 2016/12/31
日期頻率 : 日
巨集名稱 : Sub B104240xx ()
巨集內容 : 須包含 If判斷式 、 For迴圈
巨集目的 : 判斷每日漲跌
上傳檔名 : 學號 + 姓名
上傳副檔名 : xlsm (否則會看不到程式碼)
測驗期間可參考網路學園教材
答案檔上傳至 網路學員 → 評量區 → 作業/報告
評分方式 :
匯入TEJ資料 30 分 (錯一個扣5分)
IF 判斷式 30 分 (語法錯誤還是會酌量給分)
For 迴圈 40 分 (儲存格輸入輸出錯誤扣20分)
將巨集指派至按鈕 送10分
滿分 100 分
</t>
    <phoneticPr fontId="1" type="noConversion"/>
  </si>
  <si>
    <t>輸出→</t>
    <phoneticPr fontId="1" type="noConversion"/>
  </si>
  <si>
    <t>(1,1)</t>
    <phoneticPr fontId="1" type="noConversion"/>
  </si>
  <si>
    <t>輸入→</t>
    <phoneticPr fontId="1" type="noConversion"/>
  </si>
  <si>
    <t>輸入→</t>
    <phoneticPr fontId="1" type="noConversion"/>
  </si>
  <si>
    <t>直接點</t>
    <phoneticPr fontId="1" type="noConversion"/>
  </si>
  <si>
    <t>TEJ匯入資料</t>
  </si>
  <si>
    <t>讀取資料方式：INPUT、[]、CELLS</t>
  </si>
  <si>
    <t>IF判斷式：累加、階乘</t>
  </si>
  <si>
    <t>只考FOR迴圈 DO WHILE不考</t>
  </si>
  <si>
    <t>SUB與FUNCTION</t>
  </si>
  <si>
    <t>按鈕</t>
  </si>
  <si>
    <t>CAPM</t>
  </si>
  <si>
    <t>投資組合效率前緣</t>
  </si>
  <si>
    <t>利用敏感性分析SML</t>
  </si>
  <si>
    <t>異常報酬</t>
  </si>
  <si>
    <t>期末考</t>
    <phoneticPr fontId="1" type="noConversion"/>
  </si>
  <si>
    <t>Data Field</t>
  </si>
  <si>
    <t>2330 台積電</t>
  </si>
  <si>
    <t>Y9999 加權指數</t>
  </si>
  <si>
    <t>Rm-Rf</t>
    <phoneticPr fontId="1" type="noConversion"/>
  </si>
  <si>
    <t>E(Ri)</t>
    <phoneticPr fontId="1" type="noConversion"/>
  </si>
  <si>
    <t>E(Ri)</t>
    <phoneticPr fontId="1" type="noConversion"/>
  </si>
  <si>
    <t>殘差</t>
    <phoneticPr fontId="1" type="noConversion"/>
  </si>
  <si>
    <t>Rf</t>
    <phoneticPr fontId="1" type="noConversion"/>
  </si>
  <si>
    <t>報酬率-Ln</t>
  </si>
  <si>
    <t>α</t>
    <phoneticPr fontId="1" type="noConversion"/>
  </si>
  <si>
    <t>β</t>
    <phoneticPr fontId="1" type="noConversion"/>
  </si>
  <si>
    <t>PV</t>
    <phoneticPr fontId="1" type="noConversion"/>
  </si>
  <si>
    <t>FV</t>
    <phoneticPr fontId="1" type="noConversion"/>
  </si>
  <si>
    <t>N</t>
    <phoneticPr fontId="1" type="noConversion"/>
  </si>
  <si>
    <t>Rate</t>
    <phoneticPr fontId="1" type="noConversion"/>
  </si>
  <si>
    <t>FV=PV*(1+Rate)^N</t>
    <phoneticPr fontId="1" type="noConversion"/>
  </si>
  <si>
    <t>PV</t>
    <phoneticPr fontId="1" type="noConversion"/>
  </si>
  <si>
    <t>萬</t>
    <phoneticPr fontId="1" type="noConversion"/>
  </si>
  <si>
    <t>N</t>
    <phoneticPr fontId="1" type="noConversion"/>
  </si>
  <si>
    <t>期</t>
    <phoneticPr fontId="1" type="noConversion"/>
  </si>
  <si>
    <t>Rate</t>
    <phoneticPr fontId="1" type="noConversion"/>
  </si>
  <si>
    <t>FV</t>
    <phoneticPr fontId="1" type="noConversion"/>
  </si>
  <si>
    <t>模擬分析</t>
    <phoneticPr fontId="1" type="noConversion"/>
  </si>
  <si>
    <t>運算列表</t>
    <phoneticPr fontId="1" type="noConversion"/>
  </si>
  <si>
    <t>欄B5.6.7</t>
    <phoneticPr fontId="1" type="noConversion"/>
  </si>
  <si>
    <t>E2拉到F13</t>
    <phoneticPr fontId="1" type="noConversion"/>
  </si>
  <si>
    <t>B 6 7</t>
    <phoneticPr fontId="1" type="noConversion"/>
  </si>
  <si>
    <t>Rf</t>
    <phoneticPr fontId="1" type="noConversion"/>
  </si>
  <si>
    <t>E(Ri) = Rf + B(Rm-Rf)</t>
    <phoneticPr fontId="1" type="noConversion"/>
  </si>
  <si>
    <t>Rm-Rf</t>
    <phoneticPr fontId="1" type="noConversion"/>
  </si>
  <si>
    <t>B</t>
    <phoneticPr fontId="1" type="noConversion"/>
  </si>
  <si>
    <t>B</t>
    <phoneticPr fontId="1" type="noConversion"/>
  </si>
  <si>
    <t xml:space="preserve">全拉 </t>
    <phoneticPr fontId="1" type="noConversion"/>
  </si>
  <si>
    <t>插入</t>
    <phoneticPr fontId="1" type="noConversion"/>
  </si>
  <si>
    <t>摘要輸出</t>
  </si>
  <si>
    <t>迴歸統計</t>
  </si>
  <si>
    <t>R 的倍數</t>
  </si>
  <si>
    <t>R 平方</t>
  </si>
  <si>
    <t>調整的 R 平方</t>
  </si>
  <si>
    <t>標準誤</t>
  </si>
  <si>
    <t>觀察值個數</t>
  </si>
  <si>
    <t>ANOVA</t>
  </si>
  <si>
    <t>自由度</t>
  </si>
  <si>
    <t>SS</t>
  </si>
  <si>
    <t>MS</t>
  </si>
  <si>
    <t>F</t>
  </si>
  <si>
    <t>顯著值</t>
  </si>
  <si>
    <t>迴歸</t>
  </si>
  <si>
    <t>殘差</t>
  </si>
  <si>
    <t>總和</t>
  </si>
  <si>
    <t>係數</t>
  </si>
  <si>
    <t>t 統計</t>
  </si>
  <si>
    <t>P-值</t>
  </si>
  <si>
    <t>下限 95%</t>
  </si>
  <si>
    <t>上限 95%</t>
  </si>
  <si>
    <t>下限 95.0%</t>
  </si>
  <si>
    <t>上限 95.0%</t>
  </si>
  <si>
    <t>截距</t>
  </si>
  <si>
    <t>X 變數 1</t>
  </si>
  <si>
    <t>殘差輸出</t>
  </si>
  <si>
    <t>觀察值</t>
  </si>
  <si>
    <t>預測 Y</t>
  </si>
  <si>
    <t>標準化殘差</t>
  </si>
  <si>
    <t>2317 鴻海</t>
  </si>
  <si>
    <t>鴻海權重(W1)</t>
    <phoneticPr fontId="1" type="noConversion"/>
  </si>
  <si>
    <t>台積權重(W1)</t>
    <phoneticPr fontId="1" type="noConversion"/>
  </si>
  <si>
    <t>變異數(VAR)</t>
    <phoneticPr fontId="1" type="noConversion"/>
  </si>
  <si>
    <t>標準差</t>
    <phoneticPr fontId="1" type="noConversion"/>
  </si>
  <si>
    <t>期望報酬率E</t>
    <phoneticPr fontId="1" type="noConversion"/>
  </si>
  <si>
    <t>鴻海</t>
    <phoneticPr fontId="1" type="noConversion"/>
  </si>
  <si>
    <t>台積電</t>
    <phoneticPr fontId="1" type="noConversion"/>
  </si>
  <si>
    <t>平均報酬率</t>
    <phoneticPr fontId="1" type="noConversion"/>
  </si>
  <si>
    <t>標準差</t>
    <phoneticPr fontId="1" type="noConversion"/>
  </si>
  <si>
    <t>相關係數</t>
    <phoneticPr fontId="1" type="noConversion"/>
  </si>
  <si>
    <t>共變異數矩陣</t>
    <phoneticPr fontId="1" type="noConversion"/>
  </si>
  <si>
    <t>鴻海</t>
    <phoneticPr fontId="1" type="noConversion"/>
  </si>
  <si>
    <t>台積電</t>
    <phoneticPr fontId="1" type="noConversion"/>
  </si>
  <si>
    <t>ActiveCell</t>
  </si>
  <si>
    <t>欄(Column)</t>
    <phoneticPr fontId="5" type="noConversion"/>
  </si>
  <si>
    <t>(1,2)</t>
    <phoneticPr fontId="1" type="noConversion"/>
  </si>
  <si>
    <t>(2,1)</t>
    <phoneticPr fontId="1" type="noConversion"/>
  </si>
  <si>
    <t>列(Row)</t>
    <phoneticPr fontId="5" type="noConversion"/>
  </si>
  <si>
    <t>輸入→</t>
    <phoneticPr fontId="1" type="noConversion"/>
  </si>
  <si>
    <t>輸出→</t>
    <phoneticPr fontId="1" type="noConversion"/>
  </si>
  <si>
    <t>Compare</t>
    <phoneticPr fontId="1" type="noConversion"/>
  </si>
  <si>
    <t>加1</t>
  </si>
  <si>
    <t>階層</t>
  </si>
  <si>
    <t>Msg</t>
    <phoneticPr fontId="1" type="noConversion"/>
  </si>
  <si>
    <t>F10</t>
    <phoneticPr fontId="1" type="noConversion"/>
  </si>
  <si>
    <t>(點值)</t>
    <phoneticPr fontId="1" type="noConversion"/>
  </si>
  <si>
    <t>Don'tMove</t>
    <phoneticPr fontId="1" type="noConversion"/>
  </si>
  <si>
    <t>最高價(元)</t>
  </si>
  <si>
    <t>最低價(元)</t>
  </si>
  <si>
    <t>9日Max</t>
    <phoneticPr fontId="1" type="noConversion"/>
  </si>
  <si>
    <t>9日Min</t>
    <phoneticPr fontId="1" type="noConversion"/>
  </si>
  <si>
    <t>RSV</t>
    <phoneticPr fontId="1" type="noConversion"/>
  </si>
  <si>
    <t>K</t>
    <phoneticPr fontId="1" type="noConversion"/>
  </si>
  <si>
    <t>D</t>
    <phoneticPr fontId="1" type="noConversion"/>
  </si>
  <si>
    <t>判斷KD</t>
    <phoneticPr fontId="1" type="noConversion"/>
  </si>
  <si>
    <t>黃金交叉</t>
  </si>
  <si>
    <t>死亡交叉</t>
  </si>
  <si>
    <t>設定初始值</t>
    <phoneticPr fontId="1" type="noConversion"/>
  </si>
  <si>
    <t>A</t>
    <phoneticPr fontId="1" type="noConversion"/>
  </si>
  <si>
    <t>B</t>
    <phoneticPr fontId="1" type="noConversion"/>
  </si>
  <si>
    <t>比大小(Fun)</t>
    <phoneticPr fontId="1" type="noConversion"/>
  </si>
  <si>
    <t>Y</t>
    <phoneticPr fontId="1" type="noConversion"/>
  </si>
  <si>
    <t>Y</t>
    <phoneticPr fontId="1" type="noConversion"/>
  </si>
  <si>
    <t>2311 日月光</t>
  </si>
  <si>
    <t>Rm-Rf</t>
    <phoneticPr fontId="1" type="noConversion"/>
  </si>
  <si>
    <t>E(Ri)</t>
    <phoneticPr fontId="1" type="noConversion"/>
  </si>
  <si>
    <t>AR</t>
    <phoneticPr fontId="1" type="noConversion"/>
  </si>
  <si>
    <t>CAR</t>
    <phoneticPr fontId="1" type="noConversion"/>
  </si>
  <si>
    <t>AR  t-test</t>
    <phoneticPr fontId="1" type="noConversion"/>
  </si>
  <si>
    <t>是否顯著</t>
    <phoneticPr fontId="1" type="noConversion"/>
  </si>
  <si>
    <t>Rf</t>
    <phoneticPr fontId="1" type="noConversion"/>
  </si>
  <si>
    <t>α</t>
    <phoneticPr fontId="1" type="noConversion"/>
  </si>
  <si>
    <t>INTERCEPT</t>
    <phoneticPr fontId="1" type="noConversion"/>
  </si>
  <si>
    <t>β</t>
    <phoneticPr fontId="1" type="noConversion"/>
  </si>
  <si>
    <t>SLOPE</t>
    <phoneticPr fontId="1" type="noConversion"/>
  </si>
  <si>
    <t>標準誤</t>
    <phoneticPr fontId="1" type="noConversion"/>
  </si>
  <si>
    <t>STEYX</t>
    <phoneticPr fontId="1" type="noConversion"/>
  </si>
  <si>
    <t>取CAPM</t>
    <phoneticPr fontId="1" type="noConversion"/>
  </si>
  <si>
    <t>(CAPM!K1 改通用格式)</t>
    <phoneticPr fontId="1" type="noConversion"/>
  </si>
  <si>
    <t>(AVERAGE(CAPM!E2:E1569))</t>
    <phoneticPr fontId="1" type="noConversion"/>
  </si>
  <si>
    <t>(CAPM!K3)</t>
    <phoneticPr fontId="1" type="noConversion"/>
  </si>
  <si>
    <t>A7到B17</t>
    <phoneticPr fontId="1" type="noConversion"/>
  </si>
  <si>
    <t>建議圖表(或折線圖)</t>
    <phoneticPr fontId="1" type="noConversion"/>
  </si>
  <si>
    <t xml:space="preserve">拉 </t>
    <phoneticPr fontId="1" type="noConversion"/>
  </si>
  <si>
    <t>H725</t>
    <phoneticPr fontId="1" type="noConversion"/>
  </si>
  <si>
    <t>H745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</si>
</sst>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_ "/>
    <numFmt numFmtId="177" formatCode="0.0"/>
    <numFmt numFmtId="178" formatCode="0.000"/>
    <numFmt numFmtId="179" formatCode="0.0_ 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b/>
      <sz val="9"/>
      <color indexed="81"/>
      <name val="Tahoma"/>
      <family val="2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1" xfId="0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2" xfId="0" quotePrefix="1" applyFill="1" applyBorder="1" applyAlignment="1">
      <alignment vertical="center"/>
    </xf>
    <xf numFmtId="14" fontId="0" fillId="0" borderId="2" xfId="0" applyNumberFormat="1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quotePrefix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2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Font="1" applyFill="1" applyBorder="1" applyAlignment="1">
      <alignment horizontal="centerContinuous" vertical="center"/>
    </xf>
    <xf numFmtId="178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4" fillId="2" borderId="0" xfId="0" applyNumberFormat="1" applyFont="1" applyFill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2" xfId="0" applyBorder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2" xfId="0" applyBorder="1">
      <alignment vertical="center"/>
    </xf>
    <xf numFmtId="0" fontId="0" fillId="0" borderId="9" xfId="0" applyBorder="1">
      <alignment vertical="center"/>
    </xf>
    <xf numFmtId="179" fontId="4" fillId="2" borderId="0" xfId="0" applyNumberFormat="1" applyFont="1" applyFill="1" applyAlignment="1">
      <alignment horizontal="center" vertical="center"/>
    </xf>
    <xf numFmtId="179" fontId="7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quotePrefix="1" applyFill="1" applyBorder="1" applyAlignment="1">
      <alignment vertical="center"/>
    </xf>
    <xf numFmtId="14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0" xfId="0" quotePrefix="1" applyFill="1" applyBorder="1" applyAlignment="1">
      <alignment vertical="center"/>
    </xf>
    <xf numFmtId="14" fontId="0" fillId="3" borderId="0" xfId="0" applyNumberForma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2" borderId="2" xfId="0" quotePrefix="1" applyFill="1" applyBorder="1" applyAlignment="1">
      <alignment vertical="center"/>
    </xf>
    <xf numFmtId="14" fontId="0" fillId="2" borderId="2" xfId="0" applyNumberFormat="1" applyFill="1" applyBorder="1" applyAlignment="1">
      <alignment vertical="center"/>
    </xf>
    <xf numFmtId="0" fontId="0" fillId="2" borderId="2" xfId="0" applyFill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0.23637893307145633</c:v>
              </c:pt>
              <c:pt idx="1">
                <c:v>0.24271776976741855</c:v>
              </c:pt>
              <c:pt idx="2">
                <c:v>0.24889522197450711</c:v>
              </c:pt>
              <c:pt idx="3">
                <c:v>0.25492302226870117</c:v>
              </c:pt>
              <c:pt idx="4">
                <c:v>0.26081154699030928</c:v>
              </c:pt>
              <c:pt idx="5">
                <c:v>0.26657002608010505</c:v>
              </c:pt>
              <c:pt idx="6">
                <c:v>0.27220671293195076</c:v>
              </c:pt>
              <c:pt idx="7">
                <c:v>0.27772902319722909</c:v>
              </c:pt>
              <c:pt idx="8">
                <c:v>0.28314364920823598</c:v>
              </c:pt>
              <c:pt idx="9">
                <c:v>0.2884566550589987</c:v>
              </c:pt>
              <c:pt idx="10">
                <c:v>0.29367355619581365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AE-451F-A41A-176A7064E3E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5.5875000000000029E-2</c:v>
              </c:pt>
              <c:pt idx="1">
                <c:v>5.8911915760869599E-2</c:v>
              </c:pt>
              <c:pt idx="2">
                <c:v>6.1948831521739169E-2</c:v>
              </c:pt>
              <c:pt idx="3">
                <c:v>6.4985747282608725E-2</c:v>
              </c:pt>
              <c:pt idx="4">
                <c:v>6.8022663043478301E-2</c:v>
              </c:pt>
              <c:pt idx="5">
                <c:v>7.1059578804347878E-2</c:v>
              </c:pt>
              <c:pt idx="6">
                <c:v>7.4096494565217441E-2</c:v>
              </c:pt>
              <c:pt idx="7">
                <c:v>7.7133410326087004E-2</c:v>
              </c:pt>
              <c:pt idx="8">
                <c:v>8.0170326086956581E-2</c:v>
              </c:pt>
              <c:pt idx="9">
                <c:v>8.3207241847826158E-2</c:v>
              </c:pt>
              <c:pt idx="10">
                <c:v>8.6244157608695721E-2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DAE-451F-A41A-176A7064E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202944"/>
        <c:axId val="247204480"/>
      </c:lineChart>
      <c:catAx>
        <c:axId val="2472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7204480"/>
        <c:crosses val="autoZero"/>
        <c:auto val="1"/>
        <c:lblAlgn val="ctr"/>
        <c:lblOffset val="100"/>
        <c:noMultiLvlLbl val="0"/>
      </c:catAx>
      <c:valAx>
        <c:axId val="247204480"/>
        <c:scaling>
          <c:orientation val="minMax"/>
          <c:max val="9.0000000000000024E-2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7202944"/>
        <c:crosses val="autoZero"/>
        <c:crossBetween val="between"/>
        <c:majorUnit val="5.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E(Ri)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0"/>
              <c:pt idx="1">
                <c:v>-2</c:v>
              </c:pt>
              <c:pt idx="2">
                <c:v>-1.5</c:v>
              </c:pt>
              <c:pt idx="3">
                <c:v>-1</c:v>
              </c:pt>
              <c:pt idx="4">
                <c:v>-0.5</c:v>
              </c:pt>
              <c:pt idx="5">
                <c:v>0</c:v>
              </c:pt>
              <c:pt idx="6">
                <c:v>0.5</c:v>
              </c:pt>
              <c:pt idx="7">
                <c:v>1</c:v>
              </c:pt>
              <c:pt idx="8">
                <c:v>1.5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6.9775329568071308E-3</c:v>
              </c:pt>
              <c:pt idx="1">
                <c:v>-4.1590561224490062E-3</c:v>
              </c:pt>
              <c:pt idx="2">
                <c:v>-2.3692920918367546E-3</c:v>
              </c:pt>
              <c:pt idx="3">
                <c:v>-5.7952806122450306E-4</c:v>
              </c:pt>
              <c:pt idx="4">
                <c:v>1.2102359693877485E-3</c:v>
              </c:pt>
              <c:pt idx="5">
                <c:v>3.0000000000000001E-3</c:v>
              </c:pt>
              <c:pt idx="6">
                <c:v>4.7897640306122516E-3</c:v>
              </c:pt>
              <c:pt idx="7">
                <c:v>6.5795280612245032E-3</c:v>
              </c:pt>
              <c:pt idx="8">
                <c:v>8.3692920918367539E-3</c:v>
              </c:pt>
              <c:pt idx="9">
                <c:v>1.0159056122449005E-2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3B-438B-8BD0-2938FB2EC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41024"/>
        <c:axId val="248642944"/>
      </c:scatterChart>
      <c:valAx>
        <c:axId val="24864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8642944"/>
        <c:crosses val="autoZero"/>
        <c:crossBetween val="midCat"/>
      </c:valAx>
      <c:valAx>
        <c:axId val="248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86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X </a:t>
            </a:r>
            <a:r>
              <a:rPr lang="zh-TW" altLang="en-US"/>
              <a:t>變數 </a:t>
            </a:r>
            <a:r>
              <a:rPr lang="en-US" altLang="zh-TW"/>
              <a:t>1 </a:t>
            </a:r>
            <a:r>
              <a:rPr lang="zh-TW" altLang="en-US"/>
              <a:t>殘差圖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Lit>
              <c:formatCode>General</c:formatCode>
              <c:ptCount val="1568"/>
              <c:pt idx="0">
                <c:v>0.5837</c:v>
              </c:pt>
              <c:pt idx="1">
                <c:v>-0.31490000000000001</c:v>
              </c:pt>
              <c:pt idx="2">
                <c:v>-1.6941999999999999</c:v>
              </c:pt>
              <c:pt idx="3">
                <c:v>0.4133</c:v>
              </c:pt>
              <c:pt idx="4">
                <c:v>-1.1406999999999998</c:v>
              </c:pt>
              <c:pt idx="5">
                <c:v>0.39650000000000002</c:v>
              </c:pt>
              <c:pt idx="6">
                <c:v>1.2757000000000001</c:v>
              </c:pt>
              <c:pt idx="7">
                <c:v>0.37290000000000001</c:v>
              </c:pt>
              <c:pt idx="8">
                <c:v>0.1149</c:v>
              </c:pt>
              <c:pt idx="9">
                <c:v>-3.7200000000000004E-2</c:v>
              </c:pt>
              <c:pt idx="10">
                <c:v>-0.53290000000000004</c:v>
              </c:pt>
              <c:pt idx="11">
                <c:v>0.69940000000000002</c:v>
              </c:pt>
              <c:pt idx="12">
                <c:v>1.0817000000000001</c:v>
              </c:pt>
              <c:pt idx="13">
                <c:v>-0.70820000000000005</c:v>
              </c:pt>
              <c:pt idx="14">
                <c:v>-0.75719999999999998</c:v>
              </c:pt>
              <c:pt idx="15">
                <c:v>-7.6600000000000001E-2</c:v>
              </c:pt>
              <c:pt idx="16">
                <c:v>0.48309999999999997</c:v>
              </c:pt>
              <c:pt idx="17">
                <c:v>0.70850000000000002</c:v>
              </c:pt>
              <c:pt idx="18">
                <c:v>0.51180000000000003</c:v>
              </c:pt>
              <c:pt idx="19">
                <c:v>0.46849999999999997</c:v>
              </c:pt>
              <c:pt idx="20">
                <c:v>-0.37430000000000002</c:v>
              </c:pt>
              <c:pt idx="21">
                <c:v>-1.1580999999999999</c:v>
              </c:pt>
              <c:pt idx="22">
                <c:v>-1.9114</c:v>
              </c:pt>
              <c:pt idx="23">
                <c:v>-2.6020000000000003</c:v>
              </c:pt>
              <c:pt idx="24">
                <c:v>0.87129999999999996</c:v>
              </c:pt>
              <c:pt idx="25">
                <c:v>0.41589999999999999</c:v>
              </c:pt>
              <c:pt idx="26">
                <c:v>-0.10590000000000001</c:v>
              </c:pt>
              <c:pt idx="27">
                <c:v>-0.33729999999999999</c:v>
              </c:pt>
              <c:pt idx="28">
                <c:v>1.8223</c:v>
              </c:pt>
              <c:pt idx="29">
                <c:v>-5.5300000000000002E-2</c:v>
              </c:pt>
              <c:pt idx="30">
                <c:v>-1.8936999999999999</c:v>
              </c:pt>
              <c:pt idx="31">
                <c:v>-1.6857</c:v>
              </c:pt>
              <c:pt idx="32">
                <c:v>0.14579999999999999</c:v>
              </c:pt>
              <c:pt idx="33">
                <c:v>0.67379999999999995</c:v>
              </c:pt>
              <c:pt idx="34">
                <c:v>1.4734</c:v>
              </c:pt>
              <c:pt idx="35">
                <c:v>-1.2442</c:v>
              </c:pt>
              <c:pt idx="36">
                <c:v>1.3620000000000001</c:v>
              </c:pt>
              <c:pt idx="37">
                <c:v>0.52239999999999998</c:v>
              </c:pt>
              <c:pt idx="38">
                <c:v>-0.81010000000000004</c:v>
              </c:pt>
              <c:pt idx="39">
                <c:v>0.38600000000000001</c:v>
              </c:pt>
              <c:pt idx="40">
                <c:v>2.29E-2</c:v>
              </c:pt>
              <c:pt idx="41">
                <c:v>-1.2347999999999999</c:v>
              </c:pt>
              <c:pt idx="42">
                <c:v>-0.87550000000000006</c:v>
              </c:pt>
              <c:pt idx="43">
                <c:v>-0.5625</c:v>
              </c:pt>
              <c:pt idx="44">
                <c:v>-3.4081999999999999</c:v>
              </c:pt>
              <c:pt idx="45">
                <c:v>1.0816000000000001</c:v>
              </c:pt>
              <c:pt idx="46">
                <c:v>-0.50749999999999995</c:v>
              </c:pt>
              <c:pt idx="47">
                <c:v>1.3409000000000002</c:v>
              </c:pt>
              <c:pt idx="48">
                <c:v>0.86239999999999994</c:v>
              </c:pt>
              <c:pt idx="49">
                <c:v>0.47210000000000002</c:v>
              </c:pt>
              <c:pt idx="50">
                <c:v>0.43140000000000001</c:v>
              </c:pt>
              <c:pt idx="51">
                <c:v>0.3629</c:v>
              </c:pt>
              <c:pt idx="52">
                <c:v>0.39250000000000002</c:v>
              </c:pt>
              <c:pt idx="53">
                <c:v>-0.67100000000000004</c:v>
              </c:pt>
              <c:pt idx="54">
                <c:v>0.50439999999999996</c:v>
              </c:pt>
              <c:pt idx="55">
                <c:v>0.57389999999999997</c:v>
              </c:pt>
              <c:pt idx="56">
                <c:v>0.4239</c:v>
              </c:pt>
              <c:pt idx="57">
                <c:v>0.24809999999999999</c:v>
              </c:pt>
              <c:pt idx="58">
                <c:v>1.6699000000000002</c:v>
              </c:pt>
              <c:pt idx="59">
                <c:v>0.55730000000000002</c:v>
              </c:pt>
              <c:pt idx="60">
                <c:v>-8.3699999999999997E-2</c:v>
              </c:pt>
              <c:pt idx="61">
                <c:v>-0.1636</c:v>
              </c:pt>
              <c:pt idx="62">
                <c:v>-1.68</c:v>
              </c:pt>
              <c:pt idx="63">
                <c:v>0.54069999999999996</c:v>
              </c:pt>
              <c:pt idx="64">
                <c:v>0.25329999999999997</c:v>
              </c:pt>
              <c:pt idx="65">
                <c:v>-0.96879999999999999</c:v>
              </c:pt>
              <c:pt idx="66">
                <c:v>-4.48E-2</c:v>
              </c:pt>
              <c:pt idx="67">
                <c:v>-0.87809999999999999</c:v>
              </c:pt>
              <c:pt idx="68">
                <c:v>1.9995000000000001</c:v>
              </c:pt>
              <c:pt idx="69">
                <c:v>1.6218000000000001</c:v>
              </c:pt>
              <c:pt idx="70">
                <c:v>0.12839999999999999</c:v>
              </c:pt>
              <c:pt idx="71">
                <c:v>-0.21149999999999999</c:v>
              </c:pt>
              <c:pt idx="72">
                <c:v>-3.2199999999999999E-2</c:v>
              </c:pt>
              <c:pt idx="73">
                <c:v>1.1206</c:v>
              </c:pt>
              <c:pt idx="74">
                <c:v>-9.6799999999999997E-2</c:v>
              </c:pt>
              <c:pt idx="75">
                <c:v>-0.36759999999999998</c:v>
              </c:pt>
              <c:pt idx="76">
                <c:v>-0.69130000000000003</c:v>
              </c:pt>
              <c:pt idx="77">
                <c:v>1.1200000000000002E-2</c:v>
              </c:pt>
              <c:pt idx="78">
                <c:v>0.7903</c:v>
              </c:pt>
              <c:pt idx="79">
                <c:v>-0.46289999999999998</c:v>
              </c:pt>
              <c:pt idx="80">
                <c:v>0.64380000000000004</c:v>
              </c:pt>
              <c:pt idx="81">
                <c:v>-0.1381</c:v>
              </c:pt>
              <c:pt idx="82">
                <c:v>-3.49E-2</c:v>
              </c:pt>
              <c:pt idx="83">
                <c:v>0.14410000000000001</c:v>
              </c:pt>
              <c:pt idx="84">
                <c:v>-0.30309999999999998</c:v>
              </c:pt>
              <c:pt idx="85">
                <c:v>-1.0622999999999998</c:v>
              </c:pt>
              <c:pt idx="86">
                <c:v>-0.31340000000000001</c:v>
              </c:pt>
              <c:pt idx="87">
                <c:v>0.67849999999999999</c:v>
              </c:pt>
              <c:pt idx="88">
                <c:v>-0.58560000000000001</c:v>
              </c:pt>
              <c:pt idx="89">
                <c:v>-0.63300000000000001</c:v>
              </c:pt>
              <c:pt idx="90">
                <c:v>-1.0211999999999999</c:v>
              </c:pt>
              <c:pt idx="91">
                <c:v>0.10099999999999999</c:v>
              </c:pt>
              <c:pt idx="92">
                <c:v>-0.3407</c:v>
              </c:pt>
              <c:pt idx="93">
                <c:v>0.69709999999999994</c:v>
              </c:pt>
              <c:pt idx="94">
                <c:v>0.24249999999999999</c:v>
              </c:pt>
              <c:pt idx="95">
                <c:v>0.1522</c:v>
              </c:pt>
              <c:pt idx="96">
                <c:v>1.8515000000000001</c:v>
              </c:pt>
              <c:pt idx="97">
                <c:v>0.8115</c:v>
              </c:pt>
              <c:pt idx="98">
                <c:v>-0.78939999999999999</c:v>
              </c:pt>
              <c:pt idx="99">
                <c:v>0.60599999999999998</c:v>
              </c:pt>
              <c:pt idx="100">
                <c:v>0.11649999999999999</c:v>
              </c:pt>
              <c:pt idx="101">
                <c:v>-0.55179999999999996</c:v>
              </c:pt>
              <c:pt idx="102">
                <c:v>-7.6200000000000004E-2</c:v>
              </c:pt>
              <c:pt idx="103">
                <c:v>-1.8318999999999999</c:v>
              </c:pt>
              <c:pt idx="104">
                <c:v>-1.4259999999999999</c:v>
              </c:pt>
              <c:pt idx="105">
                <c:v>1.3225</c:v>
              </c:pt>
              <c:pt idx="106">
                <c:v>2.24E-2</c:v>
              </c:pt>
              <c:pt idx="107">
                <c:v>-2.0278</c:v>
              </c:pt>
              <c:pt idx="108">
                <c:v>-0.215</c:v>
              </c:pt>
              <c:pt idx="109">
                <c:v>-1.2311999999999999</c:v>
              </c:pt>
              <c:pt idx="110">
                <c:v>0.77859999999999996</c:v>
              </c:pt>
              <c:pt idx="111">
                <c:v>0.26900000000000002</c:v>
              </c:pt>
              <c:pt idx="112">
                <c:v>-0.62849999999999995</c:v>
              </c:pt>
              <c:pt idx="113">
                <c:v>-0.40589999999999998</c:v>
              </c:pt>
              <c:pt idx="114">
                <c:v>-0.3866</c:v>
              </c:pt>
              <c:pt idx="115">
                <c:v>-0.25390000000000001</c:v>
              </c:pt>
              <c:pt idx="116">
                <c:v>1.1056000000000001</c:v>
              </c:pt>
              <c:pt idx="117">
                <c:v>0.91669999999999996</c:v>
              </c:pt>
              <c:pt idx="118">
                <c:v>1.0001000000000002</c:v>
              </c:pt>
              <c:pt idx="119">
                <c:v>0.39550000000000002</c:v>
              </c:pt>
              <c:pt idx="120">
                <c:v>0.1077</c:v>
              </c:pt>
              <c:pt idx="121">
                <c:v>0.45129999999999998</c:v>
              </c:pt>
              <c:pt idx="122">
                <c:v>-0.58279999999999998</c:v>
              </c:pt>
              <c:pt idx="123">
                <c:v>-0.27539999999999998</c:v>
              </c:pt>
              <c:pt idx="124">
                <c:v>-0.96420000000000006</c:v>
              </c:pt>
              <c:pt idx="125">
                <c:v>-2.0411999999999999</c:v>
              </c:pt>
              <c:pt idx="126">
                <c:v>-3.7700000000000004E-2</c:v>
              </c:pt>
              <c:pt idx="127">
                <c:v>-8.2100000000000006E-2</c:v>
              </c:pt>
              <c:pt idx="128">
                <c:v>1.0941000000000001</c:v>
              </c:pt>
              <c:pt idx="129">
                <c:v>-0.42770000000000002</c:v>
              </c:pt>
              <c:pt idx="130">
                <c:v>-0.1671</c:v>
              </c:pt>
              <c:pt idx="131">
                <c:v>2.1048999999999998</c:v>
              </c:pt>
              <c:pt idx="132">
                <c:v>0.12290000000000001</c:v>
              </c:pt>
              <c:pt idx="133">
                <c:v>0.54820000000000002</c:v>
              </c:pt>
              <c:pt idx="134">
                <c:v>-0.94069999999999998</c:v>
              </c:pt>
              <c:pt idx="135">
                <c:v>1.2641</c:v>
              </c:pt>
              <c:pt idx="136">
                <c:v>0.26100000000000001</c:v>
              </c:pt>
              <c:pt idx="137">
                <c:v>-0.57499999999999996</c:v>
              </c:pt>
              <c:pt idx="138">
                <c:v>-1.4160999999999999</c:v>
              </c:pt>
              <c:pt idx="139">
                <c:v>0.65649999999999997</c:v>
              </c:pt>
              <c:pt idx="140">
                <c:v>-1.3528</c:v>
              </c:pt>
              <c:pt idx="141">
                <c:v>-1.5035999999999998</c:v>
              </c:pt>
              <c:pt idx="142">
                <c:v>-1.6674</c:v>
              </c:pt>
              <c:pt idx="143">
                <c:v>-5.7452000000000005</c:v>
              </c:pt>
              <c:pt idx="144">
                <c:v>-3.9024000000000001</c:v>
              </c:pt>
              <c:pt idx="145">
                <c:v>-0.79630000000000001</c:v>
              </c:pt>
              <c:pt idx="146">
                <c:v>3.1911</c:v>
              </c:pt>
              <c:pt idx="147">
                <c:v>-0.22600000000000001</c:v>
              </c:pt>
              <c:pt idx="148">
                <c:v>-1.0718999999999999</c:v>
              </c:pt>
              <c:pt idx="149">
                <c:v>2.3569</c:v>
              </c:pt>
              <c:pt idx="150">
                <c:v>-0.26940000000000003</c:v>
              </c:pt>
              <c:pt idx="151">
                <c:v>-0.73440000000000005</c:v>
              </c:pt>
              <c:pt idx="152">
                <c:v>-1.6542999999999999</c:v>
              </c:pt>
              <c:pt idx="153">
                <c:v>-3.6404000000000001</c:v>
              </c:pt>
              <c:pt idx="154">
                <c:v>-0.41749999999999998</c:v>
              </c:pt>
              <c:pt idx="155">
                <c:v>3.1951000000000001</c:v>
              </c:pt>
              <c:pt idx="156">
                <c:v>-0.63139999999999996</c:v>
              </c:pt>
              <c:pt idx="157">
                <c:v>-1.2375999999999998</c:v>
              </c:pt>
              <c:pt idx="158">
                <c:v>0.45779999999999998</c:v>
              </c:pt>
              <c:pt idx="159">
                <c:v>1.7665000000000002</c:v>
              </c:pt>
              <c:pt idx="160">
                <c:v>0.89270000000000005</c:v>
              </c:pt>
              <c:pt idx="161">
                <c:v>1.2340000000000002</c:v>
              </c:pt>
              <c:pt idx="162">
                <c:v>0.20860000000000001</c:v>
              </c:pt>
              <c:pt idx="163">
                <c:v>-1.2E-2</c:v>
              </c:pt>
              <c:pt idx="164">
                <c:v>-2.6878000000000002</c:v>
              </c:pt>
              <c:pt idx="165">
                <c:v>-2.4749000000000003</c:v>
              </c:pt>
              <c:pt idx="166">
                <c:v>2.1696999999999997</c:v>
              </c:pt>
              <c:pt idx="167">
                <c:v>0.25379999999999997</c:v>
              </c:pt>
              <c:pt idx="168">
                <c:v>0.81759999999999999</c:v>
              </c:pt>
              <c:pt idx="169">
                <c:v>-2.9255</c:v>
              </c:pt>
              <c:pt idx="170">
                <c:v>-2.2316000000000003</c:v>
              </c:pt>
              <c:pt idx="171">
                <c:v>2.1486000000000001</c:v>
              </c:pt>
              <c:pt idx="172">
                <c:v>2.5596999999999999</c:v>
              </c:pt>
              <c:pt idx="173">
                <c:v>-1.2849999999999999</c:v>
              </c:pt>
              <c:pt idx="174">
                <c:v>0.15689999999999998</c:v>
              </c:pt>
              <c:pt idx="175">
                <c:v>0.5696</c:v>
              </c:pt>
              <c:pt idx="176">
                <c:v>-3.1078000000000001</c:v>
              </c:pt>
              <c:pt idx="177">
                <c:v>-3.6166</c:v>
              </c:pt>
              <c:pt idx="178">
                <c:v>-2.4321000000000002</c:v>
              </c:pt>
              <c:pt idx="179">
                <c:v>3.0448</c:v>
              </c:pt>
              <c:pt idx="180">
                <c:v>0.79820000000000002</c:v>
              </c:pt>
              <c:pt idx="181">
                <c:v>0.49430000000000002</c:v>
              </c:pt>
              <c:pt idx="182">
                <c:v>0.5907</c:v>
              </c:pt>
              <c:pt idx="183">
                <c:v>-2.9725999999999999</c:v>
              </c:pt>
              <c:pt idx="184">
                <c:v>0.47920000000000001</c:v>
              </c:pt>
              <c:pt idx="185">
                <c:v>-0.83960000000000001</c:v>
              </c:pt>
              <c:pt idx="186">
                <c:v>2.0202999999999998</c:v>
              </c:pt>
              <c:pt idx="187">
                <c:v>1.1119000000000001</c:v>
              </c:pt>
              <c:pt idx="188">
                <c:v>2.5535000000000001</c:v>
              </c:pt>
              <c:pt idx="189">
                <c:v>-0.22440000000000002</c:v>
              </c:pt>
              <c:pt idx="190">
                <c:v>0.6179</c:v>
              </c:pt>
              <c:pt idx="191">
                <c:v>-0.95320000000000005</c:v>
              </c:pt>
              <c:pt idx="192">
                <c:v>1.3877000000000002</c:v>
              </c:pt>
              <c:pt idx="193">
                <c:v>-1.3745999999999998</c:v>
              </c:pt>
              <c:pt idx="194">
                <c:v>-8.6099999999999996E-2</c:v>
              </c:pt>
              <c:pt idx="195">
                <c:v>-1.4970999999999999</c:v>
              </c:pt>
              <c:pt idx="196">
                <c:v>0.1376</c:v>
              </c:pt>
              <c:pt idx="197">
                <c:v>2.9281999999999999</c:v>
              </c:pt>
              <c:pt idx="198">
                <c:v>0.27650000000000002</c:v>
              </c:pt>
              <c:pt idx="199">
                <c:v>0.5907</c:v>
              </c:pt>
              <c:pt idx="200">
                <c:v>0.38619999999999999</c:v>
              </c:pt>
              <c:pt idx="201">
                <c:v>0.66690000000000005</c:v>
              </c:pt>
              <c:pt idx="202">
                <c:v>-0.37619999999999998</c:v>
              </c:pt>
              <c:pt idx="203">
                <c:v>0.44829999999999998</c:v>
              </c:pt>
              <c:pt idx="204">
                <c:v>-0.31259999999999999</c:v>
              </c:pt>
              <c:pt idx="205">
                <c:v>-1.8376999999999999</c:v>
              </c:pt>
              <c:pt idx="206">
                <c:v>1.8946000000000001</c:v>
              </c:pt>
              <c:pt idx="207">
                <c:v>0.2399</c:v>
              </c:pt>
              <c:pt idx="208">
                <c:v>-0.27800000000000002</c:v>
              </c:pt>
              <c:pt idx="209">
                <c:v>-0.51649999999999996</c:v>
              </c:pt>
              <c:pt idx="210">
                <c:v>-3.4085000000000001</c:v>
              </c:pt>
              <c:pt idx="211">
                <c:v>0.79569999999999996</c:v>
              </c:pt>
              <c:pt idx="212">
                <c:v>2.1236999999999999</c:v>
              </c:pt>
              <c:pt idx="213">
                <c:v>-0.4637</c:v>
              </c:pt>
              <c:pt idx="214">
                <c:v>-1.3947999999999998</c:v>
              </c:pt>
              <c:pt idx="215">
                <c:v>8.9999999999999976E-4</c:v>
              </c:pt>
              <c:pt idx="216">
                <c:v>-2.1100000000000003</c:v>
              </c:pt>
              <c:pt idx="217">
                <c:v>-2.6809000000000003</c:v>
              </c:pt>
              <c:pt idx="218">
                <c:v>-0.6099</c:v>
              </c:pt>
              <c:pt idx="219">
                <c:v>-2.8077000000000001</c:v>
              </c:pt>
              <c:pt idx="220">
                <c:v>0.84489999999999998</c:v>
              </c:pt>
              <c:pt idx="221">
                <c:v>-1.1734</c:v>
              </c:pt>
              <c:pt idx="222">
                <c:v>1.6671</c:v>
              </c:pt>
              <c:pt idx="223">
                <c:v>1.2913000000000001</c:v>
              </c:pt>
              <c:pt idx="224">
                <c:v>-1.2199</c:v>
              </c:pt>
              <c:pt idx="225">
                <c:v>3.8969</c:v>
              </c:pt>
              <c:pt idx="226">
                <c:v>-0.53390000000000004</c:v>
              </c:pt>
              <c:pt idx="227">
                <c:v>-0.60140000000000005</c:v>
              </c:pt>
              <c:pt idx="228">
                <c:v>-2.0209000000000001</c:v>
              </c:pt>
              <c:pt idx="229">
                <c:v>1.0939000000000001</c:v>
              </c:pt>
              <c:pt idx="230">
                <c:v>-0.71789999999999998</c:v>
              </c:pt>
              <c:pt idx="231">
                <c:v>-1.2944</c:v>
              </c:pt>
              <c:pt idx="232">
                <c:v>0.8024</c:v>
              </c:pt>
              <c:pt idx="233">
                <c:v>-0.76470000000000005</c:v>
              </c:pt>
              <c:pt idx="234">
                <c:v>0.37709999999999999</c:v>
              </c:pt>
              <c:pt idx="235">
                <c:v>-2.3115000000000001</c:v>
              </c:pt>
              <c:pt idx="236">
                <c:v>0.29959999999999998</c:v>
              </c:pt>
              <c:pt idx="237">
                <c:v>-2.2651000000000003</c:v>
              </c:pt>
              <c:pt idx="238">
                <c:v>0.43790000000000001</c:v>
              </c:pt>
              <c:pt idx="239">
                <c:v>4.4563999999999995</c:v>
              </c:pt>
              <c:pt idx="240">
                <c:v>-4.8999999999999998E-3</c:v>
              </c:pt>
              <c:pt idx="241">
                <c:v>2.0482999999999998</c:v>
              </c:pt>
              <c:pt idx="242">
                <c:v>-0.2586</c:v>
              </c:pt>
              <c:pt idx="243">
                <c:v>-0.1095</c:v>
              </c:pt>
              <c:pt idx="244">
                <c:v>-0.40410000000000001</c:v>
              </c:pt>
              <c:pt idx="245">
                <c:v>0.25390000000000001</c:v>
              </c:pt>
              <c:pt idx="246">
                <c:v>-4.1700000000000001E-2</c:v>
              </c:pt>
              <c:pt idx="247">
                <c:v>-1.7124999999999999</c:v>
              </c:pt>
              <c:pt idx="248">
                <c:v>1.4417000000000002</c:v>
              </c:pt>
              <c:pt idx="249">
                <c:v>0.41560000000000002</c:v>
              </c:pt>
              <c:pt idx="250">
                <c:v>0.67090000000000005</c:v>
              </c:pt>
              <c:pt idx="251">
                <c:v>-0.1482</c:v>
              </c:pt>
              <c:pt idx="252">
                <c:v>-0.38950000000000001</c:v>
              </c:pt>
              <c:pt idx="253">
                <c:v>1.1998000000000002</c:v>
              </c:pt>
              <c:pt idx="254">
                <c:v>0.127</c:v>
              </c:pt>
              <c:pt idx="255">
                <c:v>-2.5700000000000001E-2</c:v>
              </c:pt>
              <c:pt idx="256">
                <c:v>-7.3200000000000001E-2</c:v>
              </c:pt>
              <c:pt idx="257">
                <c:v>-1.0938999999999999</c:v>
              </c:pt>
              <c:pt idx="258">
                <c:v>1.637</c:v>
              </c:pt>
              <c:pt idx="259">
                <c:v>0.17149999999999999</c:v>
              </c:pt>
              <c:pt idx="260">
                <c:v>2.3702000000000001</c:v>
              </c:pt>
              <c:pt idx="261">
                <c:v>1.4667000000000001</c:v>
              </c:pt>
              <c:pt idx="262">
                <c:v>0.42349999999999999</c:v>
              </c:pt>
              <c:pt idx="263">
                <c:v>1.3554000000000002</c:v>
              </c:pt>
              <c:pt idx="264">
                <c:v>0.29099999999999998</c:v>
              </c:pt>
              <c:pt idx="265">
                <c:v>0.85650000000000004</c:v>
              </c:pt>
              <c:pt idx="266">
                <c:v>-0.69340000000000002</c:v>
              </c:pt>
              <c:pt idx="267">
                <c:v>0.24980000000000002</c:v>
              </c:pt>
              <c:pt idx="268">
                <c:v>2.0831</c:v>
              </c:pt>
              <c:pt idx="269">
                <c:v>0.51500000000000001</c:v>
              </c:pt>
              <c:pt idx="270">
                <c:v>-0.61809999999999998</c:v>
              </c:pt>
              <c:pt idx="271">
                <c:v>0.63900000000000001</c:v>
              </c:pt>
              <c:pt idx="272">
                <c:v>-0.36799999999999999</c:v>
              </c:pt>
              <c:pt idx="273">
                <c:v>1.5221</c:v>
              </c:pt>
              <c:pt idx="274">
                <c:v>-1.7105999999999999</c:v>
              </c:pt>
              <c:pt idx="275">
                <c:v>0.30990000000000001</c:v>
              </c:pt>
              <c:pt idx="276">
                <c:v>0.75990000000000002</c:v>
              </c:pt>
              <c:pt idx="277">
                <c:v>-0.42270000000000002</c:v>
              </c:pt>
              <c:pt idx="278">
                <c:v>1.0041000000000002</c:v>
              </c:pt>
              <c:pt idx="279">
                <c:v>-0.81079999999999997</c:v>
              </c:pt>
              <c:pt idx="280">
                <c:v>0.27429999999999999</c:v>
              </c:pt>
              <c:pt idx="281">
                <c:v>2.0130999999999997</c:v>
              </c:pt>
              <c:pt idx="282">
                <c:v>-4.1200000000000001E-2</c:v>
              </c:pt>
              <c:pt idx="283">
                <c:v>0.31309999999999999</c:v>
              </c:pt>
              <c:pt idx="284">
                <c:v>-0.36709999999999998</c:v>
              </c:pt>
              <c:pt idx="285">
                <c:v>-1.3640999999999999</c:v>
              </c:pt>
              <c:pt idx="286">
                <c:v>-0.84060000000000001</c:v>
              </c:pt>
              <c:pt idx="287">
                <c:v>-0.44350000000000001</c:v>
              </c:pt>
              <c:pt idx="288">
                <c:v>1.0227000000000002</c:v>
              </c:pt>
              <c:pt idx="289">
                <c:v>0.3901</c:v>
              </c:pt>
              <c:pt idx="290">
                <c:v>-1.1126999999999998</c:v>
              </c:pt>
              <c:pt idx="291">
                <c:v>1.2999000000000001</c:v>
              </c:pt>
              <c:pt idx="292">
                <c:v>1.1575000000000002</c:v>
              </c:pt>
              <c:pt idx="293">
                <c:v>-4.7800000000000002E-2</c:v>
              </c:pt>
              <c:pt idx="294">
                <c:v>-0.82740000000000002</c:v>
              </c:pt>
              <c:pt idx="295">
                <c:v>-0.1399</c:v>
              </c:pt>
              <c:pt idx="296">
                <c:v>-0.89229999999999998</c:v>
              </c:pt>
              <c:pt idx="297">
                <c:v>0.1128</c:v>
              </c:pt>
              <c:pt idx="298">
                <c:v>0.96950000000000003</c:v>
              </c:pt>
              <c:pt idx="299">
                <c:v>0.2036</c:v>
              </c:pt>
              <c:pt idx="300">
                <c:v>-1.3615999999999999</c:v>
              </c:pt>
              <c:pt idx="301">
                <c:v>0.77010000000000001</c:v>
              </c:pt>
              <c:pt idx="302">
                <c:v>0.1042</c:v>
              </c:pt>
              <c:pt idx="303">
                <c:v>-2.0823</c:v>
              </c:pt>
              <c:pt idx="304">
                <c:v>0.76049999999999995</c:v>
              </c:pt>
              <c:pt idx="305">
                <c:v>-0.89059999999999995</c:v>
              </c:pt>
              <c:pt idx="306">
                <c:v>-1.3093999999999999</c:v>
              </c:pt>
              <c:pt idx="307">
                <c:v>-1.5748</c:v>
              </c:pt>
              <c:pt idx="308">
                <c:v>0.8629</c:v>
              </c:pt>
              <c:pt idx="309">
                <c:v>-1.38</c:v>
              </c:pt>
              <c:pt idx="310">
                <c:v>0.51939999999999997</c:v>
              </c:pt>
              <c:pt idx="311">
                <c:v>0.20610000000000001</c:v>
              </c:pt>
              <c:pt idx="312">
                <c:v>7.8600000000000003E-2</c:v>
              </c:pt>
              <c:pt idx="313">
                <c:v>1.6196000000000002</c:v>
              </c:pt>
              <c:pt idx="314">
                <c:v>-0.75580000000000003</c:v>
              </c:pt>
              <c:pt idx="315">
                <c:v>-1.8833</c:v>
              </c:pt>
              <c:pt idx="316">
                <c:v>0.24890000000000001</c:v>
              </c:pt>
              <c:pt idx="317">
                <c:v>0.2293</c:v>
              </c:pt>
              <c:pt idx="318">
                <c:v>-1.5303</c:v>
              </c:pt>
              <c:pt idx="319">
                <c:v>-0.35070000000000001</c:v>
              </c:pt>
              <c:pt idx="320">
                <c:v>0.23399999999999999</c:v>
              </c:pt>
              <c:pt idx="321">
                <c:v>0.85129999999999995</c:v>
              </c:pt>
              <c:pt idx="322">
                <c:v>-0.55759999999999998</c:v>
              </c:pt>
              <c:pt idx="323">
                <c:v>-0.54759999999999998</c:v>
              </c:pt>
              <c:pt idx="324">
                <c:v>0.28029999999999999</c:v>
              </c:pt>
              <c:pt idx="325">
                <c:v>2.3041999999999998</c:v>
              </c:pt>
              <c:pt idx="326">
                <c:v>-0.2283</c:v>
              </c:pt>
              <c:pt idx="327">
                <c:v>0.5363</c:v>
              </c:pt>
              <c:pt idx="328">
                <c:v>-2.1406000000000001</c:v>
              </c:pt>
              <c:pt idx="329">
                <c:v>9.8199999999999996E-2</c:v>
              </c:pt>
              <c:pt idx="330">
                <c:v>-0.93500000000000005</c:v>
              </c:pt>
              <c:pt idx="331">
                <c:v>0.108</c:v>
              </c:pt>
              <c:pt idx="332">
                <c:v>-1.1133999999999999</c:v>
              </c:pt>
              <c:pt idx="333">
                <c:v>-0.33040000000000003</c:v>
              </c:pt>
              <c:pt idx="334">
                <c:v>0.24690000000000001</c:v>
              </c:pt>
              <c:pt idx="335">
                <c:v>-2.2050000000000001</c:v>
              </c:pt>
              <c:pt idx="336">
                <c:v>1.6720000000000002</c:v>
              </c:pt>
              <c:pt idx="337">
                <c:v>-2.8372000000000002</c:v>
              </c:pt>
              <c:pt idx="338">
                <c:v>0.56930000000000003</c:v>
              </c:pt>
              <c:pt idx="339">
                <c:v>1.1397000000000002</c:v>
              </c:pt>
              <c:pt idx="340">
                <c:v>-1.7660999999999998</c:v>
              </c:pt>
              <c:pt idx="341">
                <c:v>-0.32329999999999998</c:v>
              </c:pt>
              <c:pt idx="342">
                <c:v>-0.75329999999999997</c:v>
              </c:pt>
              <c:pt idx="343">
                <c:v>0.90310000000000001</c:v>
              </c:pt>
              <c:pt idx="344">
                <c:v>2.8468</c:v>
              </c:pt>
              <c:pt idx="345">
                <c:v>-1.1052999999999999</c:v>
              </c:pt>
              <c:pt idx="346">
                <c:v>0.54220000000000002</c:v>
              </c:pt>
              <c:pt idx="347">
                <c:v>-2.7158000000000002</c:v>
              </c:pt>
              <c:pt idx="348">
                <c:v>-3.0235000000000003</c:v>
              </c:pt>
              <c:pt idx="349">
                <c:v>1.5197000000000001</c:v>
              </c:pt>
              <c:pt idx="350">
                <c:v>0.78949999999999998</c:v>
              </c:pt>
              <c:pt idx="351">
                <c:v>0.33879999999999999</c:v>
              </c:pt>
              <c:pt idx="352">
                <c:v>-1.1487999999999998</c:v>
              </c:pt>
              <c:pt idx="353">
                <c:v>1.7050000000000001</c:v>
              </c:pt>
              <c:pt idx="354">
                <c:v>-0.68149999999999999</c:v>
              </c:pt>
              <c:pt idx="355">
                <c:v>0.2336</c:v>
              </c:pt>
              <c:pt idx="356">
                <c:v>-0.19689999999999999</c:v>
              </c:pt>
              <c:pt idx="357">
                <c:v>1.1316000000000002</c:v>
              </c:pt>
              <c:pt idx="358">
                <c:v>1.7379</c:v>
              </c:pt>
              <c:pt idx="359">
                <c:v>-0.11800000000000001</c:v>
              </c:pt>
              <c:pt idx="360">
                <c:v>0.83899999999999997</c:v>
              </c:pt>
              <c:pt idx="361">
                <c:v>-0.76370000000000005</c:v>
              </c:pt>
              <c:pt idx="362">
                <c:v>-0.78920000000000001</c:v>
              </c:pt>
              <c:pt idx="363">
                <c:v>-0.77680000000000005</c:v>
              </c:pt>
              <c:pt idx="364">
                <c:v>-0.40079999999999999</c:v>
              </c:pt>
              <c:pt idx="365">
                <c:v>0.62660000000000005</c:v>
              </c:pt>
              <c:pt idx="366">
                <c:v>-0.18970000000000001</c:v>
              </c:pt>
              <c:pt idx="367">
                <c:v>1.7483000000000002</c:v>
              </c:pt>
              <c:pt idx="368">
                <c:v>0.66469999999999996</c:v>
              </c:pt>
              <c:pt idx="369">
                <c:v>0.98860000000000003</c:v>
              </c:pt>
              <c:pt idx="370">
                <c:v>5.3999999999999999E-2</c:v>
              </c:pt>
              <c:pt idx="371">
                <c:v>-0.47310000000000002</c:v>
              </c:pt>
              <c:pt idx="372">
                <c:v>-0.2631</c:v>
              </c:pt>
              <c:pt idx="373">
                <c:v>-0.80190000000000006</c:v>
              </c:pt>
              <c:pt idx="374">
                <c:v>-0.80800000000000005</c:v>
              </c:pt>
              <c:pt idx="375">
                <c:v>8.7399999999999992E-2</c:v>
              </c:pt>
              <c:pt idx="376">
                <c:v>-1.7679999999999998</c:v>
              </c:pt>
              <c:pt idx="377">
                <c:v>-0.37759999999999999</c:v>
              </c:pt>
              <c:pt idx="378">
                <c:v>-0.20350000000000001</c:v>
              </c:pt>
              <c:pt idx="379">
                <c:v>0.51690000000000003</c:v>
              </c:pt>
              <c:pt idx="380">
                <c:v>-1.1028</c:v>
              </c:pt>
              <c:pt idx="381">
                <c:v>1.3989</c:v>
              </c:pt>
              <c:pt idx="382">
                <c:v>0.22209999999999999</c:v>
              </c:pt>
              <c:pt idx="383">
                <c:v>-1.9186999999999999</c:v>
              </c:pt>
              <c:pt idx="384">
                <c:v>-0.29339999999999999</c:v>
              </c:pt>
              <c:pt idx="385">
                <c:v>-0.42080000000000001</c:v>
              </c:pt>
              <c:pt idx="386">
                <c:v>-0.124</c:v>
              </c:pt>
              <c:pt idx="387">
                <c:v>2.1793999999999998</c:v>
              </c:pt>
              <c:pt idx="388">
                <c:v>0.47849999999999998</c:v>
              </c:pt>
              <c:pt idx="389">
                <c:v>1.544</c:v>
              </c:pt>
              <c:pt idx="390">
                <c:v>-3.78E-2</c:v>
              </c:pt>
              <c:pt idx="391">
                <c:v>-0.6996</c:v>
              </c:pt>
              <c:pt idx="392">
                <c:v>0.94599999999999995</c:v>
              </c:pt>
              <c:pt idx="393">
                <c:v>0.1222</c:v>
              </c:pt>
              <c:pt idx="394">
                <c:v>0.3301</c:v>
              </c:pt>
              <c:pt idx="395">
                <c:v>1.5411000000000001</c:v>
              </c:pt>
              <c:pt idx="396">
                <c:v>9.6799999999999997E-2</c:v>
              </c:pt>
              <c:pt idx="397">
                <c:v>-6.7799999999999999E-2</c:v>
              </c:pt>
              <c:pt idx="398">
                <c:v>0.57289999999999996</c:v>
              </c:pt>
              <c:pt idx="399">
                <c:v>-0.157</c:v>
              </c:pt>
              <c:pt idx="400">
                <c:v>0.2974</c:v>
              </c:pt>
              <c:pt idx="401">
                <c:v>-0.30099999999999999</c:v>
              </c:pt>
              <c:pt idx="402">
                <c:v>-0.4864</c:v>
              </c:pt>
              <c:pt idx="403">
                <c:v>0.99979999999999991</c:v>
              </c:pt>
              <c:pt idx="404">
                <c:v>-0.1394</c:v>
              </c:pt>
              <c:pt idx="405">
                <c:v>0.1115</c:v>
              </c:pt>
              <c:pt idx="406">
                <c:v>-0.372</c:v>
              </c:pt>
              <c:pt idx="407">
                <c:v>-0.12759999999999999</c:v>
              </c:pt>
              <c:pt idx="408">
                <c:v>-1.4362999999999999</c:v>
              </c:pt>
              <c:pt idx="409">
                <c:v>0.39300000000000002</c:v>
              </c:pt>
              <c:pt idx="410">
                <c:v>-0.27</c:v>
              </c:pt>
              <c:pt idx="411">
                <c:v>0.34399999999999997</c:v>
              </c:pt>
              <c:pt idx="412">
                <c:v>0.71730000000000005</c:v>
              </c:pt>
              <c:pt idx="413">
                <c:v>8.0000000000000002E-3</c:v>
              </c:pt>
              <c:pt idx="414">
                <c:v>-1.1355</c:v>
              </c:pt>
              <c:pt idx="415">
                <c:v>-0.55720000000000003</c:v>
              </c:pt>
              <c:pt idx="416">
                <c:v>1.3283</c:v>
              </c:pt>
              <c:pt idx="417">
                <c:v>0.77280000000000004</c:v>
              </c:pt>
              <c:pt idx="418">
                <c:v>2.8899999999999999E-2</c:v>
              </c:pt>
              <c:pt idx="419">
                <c:v>1.1304000000000001</c:v>
              </c:pt>
              <c:pt idx="420">
                <c:v>0.1072</c:v>
              </c:pt>
              <c:pt idx="421">
                <c:v>2.0764999999999998</c:v>
              </c:pt>
              <c:pt idx="422">
                <c:v>0.30890000000000001</c:v>
              </c:pt>
              <c:pt idx="423">
                <c:v>-0.3639</c:v>
              </c:pt>
              <c:pt idx="424">
                <c:v>0.61119999999999997</c:v>
              </c:pt>
              <c:pt idx="425">
                <c:v>-0.70399999999999996</c:v>
              </c:pt>
              <c:pt idx="426">
                <c:v>0.3463</c:v>
              </c:pt>
              <c:pt idx="427">
                <c:v>0.1736</c:v>
              </c:pt>
              <c:pt idx="428">
                <c:v>-0.44380000000000003</c:v>
              </c:pt>
              <c:pt idx="429">
                <c:v>-0.84050000000000002</c:v>
              </c:pt>
              <c:pt idx="430">
                <c:v>0.18159999999999998</c:v>
              </c:pt>
              <c:pt idx="431">
                <c:v>0.40429999999999999</c:v>
              </c:pt>
              <c:pt idx="432">
                <c:v>-0.51549999999999996</c:v>
              </c:pt>
              <c:pt idx="433">
                <c:v>0.55510000000000004</c:v>
              </c:pt>
              <c:pt idx="434">
                <c:v>-0.4451</c:v>
              </c:pt>
              <c:pt idx="435">
                <c:v>-3.2800000000000003E-2</c:v>
              </c:pt>
              <c:pt idx="436">
                <c:v>0.1051</c:v>
              </c:pt>
              <c:pt idx="437">
                <c:v>-0.9798</c:v>
              </c:pt>
              <c:pt idx="438">
                <c:v>-0.317</c:v>
              </c:pt>
              <c:pt idx="439">
                <c:v>-1.8681999999999999</c:v>
              </c:pt>
              <c:pt idx="440">
                <c:v>-0.20019999999999999</c:v>
              </c:pt>
              <c:pt idx="441">
                <c:v>-0.2472</c:v>
              </c:pt>
              <c:pt idx="442">
                <c:v>0.69709999999999994</c:v>
              </c:pt>
              <c:pt idx="443">
                <c:v>-9.1600000000000001E-2</c:v>
              </c:pt>
              <c:pt idx="444">
                <c:v>1.0499999999999999E-2</c:v>
              </c:pt>
              <c:pt idx="445">
                <c:v>-0.76470000000000005</c:v>
              </c:pt>
              <c:pt idx="446">
                <c:v>-0.48630000000000001</c:v>
              </c:pt>
              <c:pt idx="447">
                <c:v>-0.48649999999999999</c:v>
              </c:pt>
              <c:pt idx="448">
                <c:v>-0.3115</c:v>
              </c:pt>
              <c:pt idx="449">
                <c:v>-0.72740000000000005</c:v>
              </c:pt>
              <c:pt idx="450">
                <c:v>-1.7815999999999999</c:v>
              </c:pt>
              <c:pt idx="451">
                <c:v>-0.59899999999999998</c:v>
              </c:pt>
              <c:pt idx="452">
                <c:v>1.2709000000000001</c:v>
              </c:pt>
              <c:pt idx="453">
                <c:v>-0.23350000000000001</c:v>
              </c:pt>
              <c:pt idx="454">
                <c:v>0.1865</c:v>
              </c:pt>
              <c:pt idx="455">
                <c:v>0.42549999999999999</c:v>
              </c:pt>
              <c:pt idx="456">
                <c:v>-0.35189999999999999</c:v>
              </c:pt>
              <c:pt idx="457">
                <c:v>0.7087</c:v>
              </c:pt>
              <c:pt idx="458">
                <c:v>0.69240000000000002</c:v>
              </c:pt>
              <c:pt idx="459">
                <c:v>-0.61619999999999997</c:v>
              </c:pt>
              <c:pt idx="460">
                <c:v>0.69310000000000005</c:v>
              </c:pt>
              <c:pt idx="461">
                <c:v>-0.3528</c:v>
              </c:pt>
              <c:pt idx="462">
                <c:v>-1.8316999999999999</c:v>
              </c:pt>
              <c:pt idx="463">
                <c:v>0.3286</c:v>
              </c:pt>
              <c:pt idx="464">
                <c:v>-0.22550000000000001</c:v>
              </c:pt>
              <c:pt idx="465">
                <c:v>-0.19589999999999999</c:v>
              </c:pt>
              <c:pt idx="466">
                <c:v>-1.7399999999999999E-2</c:v>
              </c:pt>
              <c:pt idx="467">
                <c:v>0.23139999999999999</c:v>
              </c:pt>
              <c:pt idx="468">
                <c:v>-0.80779999999999996</c:v>
              </c:pt>
              <c:pt idx="469">
                <c:v>0.24029999999999999</c:v>
              </c:pt>
              <c:pt idx="470">
                <c:v>3.0495000000000001</c:v>
              </c:pt>
              <c:pt idx="471">
                <c:v>1.1014000000000002</c:v>
              </c:pt>
              <c:pt idx="472">
                <c:v>0.30469999999999997</c:v>
              </c:pt>
              <c:pt idx="473">
                <c:v>6.0600000000000001E-2</c:v>
              </c:pt>
              <c:pt idx="474">
                <c:v>0.91569999999999996</c:v>
              </c:pt>
              <c:pt idx="475">
                <c:v>1.0129000000000001</c:v>
              </c:pt>
              <c:pt idx="476">
                <c:v>0.2571</c:v>
              </c:pt>
              <c:pt idx="477">
                <c:v>1.1099999999999999E-2</c:v>
              </c:pt>
              <c:pt idx="478">
                <c:v>0.62739999999999996</c:v>
              </c:pt>
              <c:pt idx="479">
                <c:v>-0.3407</c:v>
              </c:pt>
              <c:pt idx="480">
                <c:v>0.24590000000000001</c:v>
              </c:pt>
              <c:pt idx="481">
                <c:v>-0.43259999999999998</c:v>
              </c:pt>
              <c:pt idx="482">
                <c:v>5.1999999999999998E-2</c:v>
              </c:pt>
              <c:pt idx="483">
                <c:v>0.99680000000000002</c:v>
              </c:pt>
              <c:pt idx="484">
                <c:v>0.86319999999999997</c:v>
              </c:pt>
              <c:pt idx="485">
                <c:v>-0.75770000000000004</c:v>
              </c:pt>
              <c:pt idx="486">
                <c:v>-0.88349999999999995</c:v>
              </c:pt>
              <c:pt idx="487">
                <c:v>0.16009999999999999</c:v>
              </c:pt>
              <c:pt idx="488">
                <c:v>0.43730000000000002</c:v>
              </c:pt>
              <c:pt idx="489">
                <c:v>-1.0769</c:v>
              </c:pt>
              <c:pt idx="490">
                <c:v>-1.0024</c:v>
              </c:pt>
              <c:pt idx="491">
                <c:v>0.26540000000000002</c:v>
              </c:pt>
              <c:pt idx="492">
                <c:v>-6.4299999999999996E-2</c:v>
              </c:pt>
              <c:pt idx="493">
                <c:v>1.3291000000000002</c:v>
              </c:pt>
              <c:pt idx="494">
                <c:v>-3.4200000000000001E-2</c:v>
              </c:pt>
              <c:pt idx="495">
                <c:v>0.18309999999999998</c:v>
              </c:pt>
              <c:pt idx="496">
                <c:v>0.66279999999999994</c:v>
              </c:pt>
              <c:pt idx="497">
                <c:v>1.0271000000000001</c:v>
              </c:pt>
              <c:pt idx="498">
                <c:v>0.73499999999999999</c:v>
              </c:pt>
              <c:pt idx="499">
                <c:v>-0.39739999999999998</c:v>
              </c:pt>
              <c:pt idx="500">
                <c:v>-0.65720000000000001</c:v>
              </c:pt>
              <c:pt idx="501">
                <c:v>-0.435</c:v>
              </c:pt>
              <c:pt idx="502">
                <c:v>0.2167</c:v>
              </c:pt>
              <c:pt idx="503">
                <c:v>0.93589999999999995</c:v>
              </c:pt>
              <c:pt idx="504">
                <c:v>9.3100000000000002E-2</c:v>
              </c:pt>
              <c:pt idx="505">
                <c:v>5.8599999999999999E-2</c:v>
              </c:pt>
              <c:pt idx="506">
                <c:v>-0.75929999999999997</c:v>
              </c:pt>
              <c:pt idx="507">
                <c:v>-0.83830000000000005</c:v>
              </c:pt>
              <c:pt idx="508">
                <c:v>-1.0971</c:v>
              </c:pt>
              <c:pt idx="509">
                <c:v>1.5115000000000001</c:v>
              </c:pt>
              <c:pt idx="510">
                <c:v>-0.10590000000000001</c:v>
              </c:pt>
              <c:pt idx="511">
                <c:v>0.4385</c:v>
              </c:pt>
              <c:pt idx="512">
                <c:v>-0.19550000000000001</c:v>
              </c:pt>
              <c:pt idx="513">
                <c:v>-0.62719999999999998</c:v>
              </c:pt>
              <c:pt idx="514">
                <c:v>-0.30759999999999998</c:v>
              </c:pt>
              <c:pt idx="515">
                <c:v>0.54410000000000003</c:v>
              </c:pt>
              <c:pt idx="516">
                <c:v>1.1226</c:v>
              </c:pt>
              <c:pt idx="517">
                <c:v>0.39329999999999998</c:v>
              </c:pt>
              <c:pt idx="518">
                <c:v>0.21429999999999999</c:v>
              </c:pt>
              <c:pt idx="519">
                <c:v>7.2800000000000004E-2</c:v>
              </c:pt>
              <c:pt idx="520">
                <c:v>0.84860000000000002</c:v>
              </c:pt>
              <c:pt idx="521">
                <c:v>-0.4612</c:v>
              </c:pt>
              <c:pt idx="522">
                <c:v>0.24659999999999999</c:v>
              </c:pt>
              <c:pt idx="523">
                <c:v>0.46239999999999998</c:v>
              </c:pt>
              <c:pt idx="524">
                <c:v>0.2152</c:v>
              </c:pt>
              <c:pt idx="525">
                <c:v>0.85029999999999994</c:v>
              </c:pt>
              <c:pt idx="526">
                <c:v>-0.89929999999999999</c:v>
              </c:pt>
              <c:pt idx="527">
                <c:v>-0.1255</c:v>
              </c:pt>
              <c:pt idx="528">
                <c:v>0.48859999999999998</c:v>
              </c:pt>
              <c:pt idx="529">
                <c:v>-0.49509999999999998</c:v>
              </c:pt>
              <c:pt idx="530">
                <c:v>-0.8468</c:v>
              </c:pt>
              <c:pt idx="531">
                <c:v>0.2135</c:v>
              </c:pt>
              <c:pt idx="532">
                <c:v>0.83730000000000004</c:v>
              </c:pt>
              <c:pt idx="533">
                <c:v>-1.232</c:v>
              </c:pt>
              <c:pt idx="534">
                <c:v>0.82450000000000001</c:v>
              </c:pt>
              <c:pt idx="535">
                <c:v>0.2185</c:v>
              </c:pt>
              <c:pt idx="536">
                <c:v>0.12529999999999999</c:v>
              </c:pt>
              <c:pt idx="537">
                <c:v>0.68089999999999995</c:v>
              </c:pt>
              <c:pt idx="538">
                <c:v>0.2908</c:v>
              </c:pt>
              <c:pt idx="539">
                <c:v>-0.55200000000000005</c:v>
              </c:pt>
              <c:pt idx="540">
                <c:v>7.0000000000000001E-3</c:v>
              </c:pt>
              <c:pt idx="541">
                <c:v>-0.55169999999999997</c:v>
              </c:pt>
              <c:pt idx="542">
                <c:v>-0.30870000000000003</c:v>
              </c:pt>
              <c:pt idx="543">
                <c:v>-1.4789999999999999</c:v>
              </c:pt>
              <c:pt idx="544">
                <c:v>0.34370000000000001</c:v>
              </c:pt>
              <c:pt idx="545">
                <c:v>-0.52029999999999998</c:v>
              </c:pt>
              <c:pt idx="546">
                <c:v>0.1739</c:v>
              </c:pt>
              <c:pt idx="547">
                <c:v>-0.20319999999999999</c:v>
              </c:pt>
              <c:pt idx="548">
                <c:v>0.76239999999999997</c:v>
              </c:pt>
              <c:pt idx="549">
                <c:v>9.9999999999999829E-5</c:v>
              </c:pt>
              <c:pt idx="550">
                <c:v>0.47649999999999998</c:v>
              </c:pt>
              <c:pt idx="551">
                <c:v>-0.34870000000000001</c:v>
              </c:pt>
              <c:pt idx="552">
                <c:v>0.65239999999999998</c:v>
              </c:pt>
              <c:pt idx="553">
                <c:v>-0.24790000000000001</c:v>
              </c:pt>
              <c:pt idx="554">
                <c:v>0.17330000000000001</c:v>
              </c:pt>
              <c:pt idx="555">
                <c:v>0.3649</c:v>
              </c:pt>
              <c:pt idx="556">
                <c:v>-2.4186000000000001</c:v>
              </c:pt>
              <c:pt idx="557">
                <c:v>-0.31630000000000003</c:v>
              </c:pt>
              <c:pt idx="558">
                <c:v>0.31040000000000001</c:v>
              </c:pt>
              <c:pt idx="559">
                <c:v>1.3446</c:v>
              </c:pt>
              <c:pt idx="560">
                <c:v>-0.4667</c:v>
              </c:pt>
              <c:pt idx="561">
                <c:v>-0.74860000000000004</c:v>
              </c:pt>
              <c:pt idx="562">
                <c:v>0.47909999999999997</c:v>
              </c:pt>
              <c:pt idx="563">
                <c:v>9.98E-2</c:v>
              </c:pt>
              <c:pt idx="564">
                <c:v>-0.23020000000000002</c:v>
              </c:pt>
              <c:pt idx="565">
                <c:v>1.7710000000000001</c:v>
              </c:pt>
              <c:pt idx="566">
                <c:v>0.49480000000000002</c:v>
              </c:pt>
              <c:pt idx="567">
                <c:v>-0.35</c:v>
              </c:pt>
              <c:pt idx="568">
                <c:v>1.0109000000000001</c:v>
              </c:pt>
              <c:pt idx="569">
                <c:v>-2.7400000000000001E-2</c:v>
              </c:pt>
              <c:pt idx="570">
                <c:v>8.9999999999999976E-4</c:v>
              </c:pt>
              <c:pt idx="571">
                <c:v>9.2699999999999991E-2</c:v>
              </c:pt>
              <c:pt idx="572">
                <c:v>0.78990000000000005</c:v>
              </c:pt>
              <c:pt idx="573">
                <c:v>0.42670000000000002</c:v>
              </c:pt>
              <c:pt idx="574">
                <c:v>7.7199999999999991E-2</c:v>
              </c:pt>
              <c:pt idx="575">
                <c:v>0.4143</c:v>
              </c:pt>
              <c:pt idx="576">
                <c:v>-7.640000000000001E-2</c:v>
              </c:pt>
              <c:pt idx="577">
                <c:v>1.2633000000000001</c:v>
              </c:pt>
              <c:pt idx="578">
                <c:v>0.22409999999999999</c:v>
              </c:pt>
              <c:pt idx="579">
                <c:v>-7.1000000000000008E-2</c:v>
              </c:pt>
              <c:pt idx="580">
                <c:v>-0.38950000000000001</c:v>
              </c:pt>
              <c:pt idx="581">
                <c:v>3.9399999999999998E-2</c:v>
              </c:pt>
              <c:pt idx="582">
                <c:v>0.80289999999999995</c:v>
              </c:pt>
              <c:pt idx="583">
                <c:v>0.85240000000000005</c:v>
              </c:pt>
              <c:pt idx="584">
                <c:v>-0.26390000000000002</c:v>
              </c:pt>
              <c:pt idx="585">
                <c:v>0.1028</c:v>
              </c:pt>
              <c:pt idx="586">
                <c:v>6.8599999999999994E-2</c:v>
              </c:pt>
              <c:pt idx="587">
                <c:v>0.1852</c:v>
              </c:pt>
              <c:pt idx="588">
                <c:v>-1.9386999999999999</c:v>
              </c:pt>
              <c:pt idx="589">
                <c:v>-0.34410000000000002</c:v>
              </c:pt>
              <c:pt idx="590">
                <c:v>0.84989999999999999</c:v>
              </c:pt>
              <c:pt idx="591">
                <c:v>-0.20910000000000001</c:v>
              </c:pt>
              <c:pt idx="592">
                <c:v>0.89880000000000004</c:v>
              </c:pt>
              <c:pt idx="593">
                <c:v>-1.1441999999999999</c:v>
              </c:pt>
              <c:pt idx="594">
                <c:v>0.13650000000000001</c:v>
              </c:pt>
              <c:pt idx="595">
                <c:v>-0.65659999999999996</c:v>
              </c:pt>
              <c:pt idx="596">
                <c:v>-0.1226</c:v>
              </c:pt>
              <c:pt idx="597">
                <c:v>-0.1167</c:v>
              </c:pt>
              <c:pt idx="598">
                <c:v>-1.0568</c:v>
              </c:pt>
              <c:pt idx="599">
                <c:v>-1.4599999999999998E-2</c:v>
              </c:pt>
              <c:pt idx="600">
                <c:v>0.80100000000000005</c:v>
              </c:pt>
              <c:pt idx="601">
                <c:v>-0.54859999999999998</c:v>
              </c:pt>
              <c:pt idx="602">
                <c:v>-2.0505</c:v>
              </c:pt>
              <c:pt idx="603">
                <c:v>-0.1782</c:v>
              </c:pt>
              <c:pt idx="604">
                <c:v>0.68940000000000001</c:v>
              </c:pt>
              <c:pt idx="605">
                <c:v>0.22359999999999999</c:v>
              </c:pt>
              <c:pt idx="606">
                <c:v>-4.8300000000000003E-2</c:v>
              </c:pt>
              <c:pt idx="607">
                <c:v>-1.367</c:v>
              </c:pt>
              <c:pt idx="608">
                <c:v>-1.3489</c:v>
              </c:pt>
              <c:pt idx="609">
                <c:v>-0.45669999999999999</c:v>
              </c:pt>
              <c:pt idx="610">
                <c:v>-1.2324999999999999</c:v>
              </c:pt>
              <c:pt idx="611">
                <c:v>1.5710000000000002</c:v>
              </c:pt>
              <c:pt idx="612">
                <c:v>1.262</c:v>
              </c:pt>
              <c:pt idx="613">
                <c:v>2.2334999999999998</c:v>
              </c:pt>
              <c:pt idx="614">
                <c:v>-0.3286</c:v>
              </c:pt>
              <c:pt idx="615">
                <c:v>-0.25390000000000001</c:v>
              </c:pt>
              <c:pt idx="616">
                <c:v>-1.3145</c:v>
              </c:pt>
              <c:pt idx="617">
                <c:v>-0.22700000000000001</c:v>
              </c:pt>
              <c:pt idx="618">
                <c:v>1.3572000000000002</c:v>
              </c:pt>
              <c:pt idx="619">
                <c:v>-1.4566999999999999</c:v>
              </c:pt>
              <c:pt idx="620">
                <c:v>1.0670000000000002</c:v>
              </c:pt>
              <c:pt idx="621">
                <c:v>0.50390000000000001</c:v>
              </c:pt>
              <c:pt idx="622">
                <c:v>2.0703999999999998</c:v>
              </c:pt>
              <c:pt idx="623">
                <c:v>0.49640000000000001</c:v>
              </c:pt>
              <c:pt idx="624">
                <c:v>0.41199999999999998</c:v>
              </c:pt>
              <c:pt idx="625">
                <c:v>6.2799999999999995E-2</c:v>
              </c:pt>
              <c:pt idx="626">
                <c:v>-1.7000000000000001E-2</c:v>
              </c:pt>
              <c:pt idx="627">
                <c:v>-0.78180000000000005</c:v>
              </c:pt>
              <c:pt idx="628">
                <c:v>-1.6374</c:v>
              </c:pt>
              <c:pt idx="629">
                <c:v>0.53410000000000002</c:v>
              </c:pt>
              <c:pt idx="630">
                <c:v>1.3352000000000002</c:v>
              </c:pt>
              <c:pt idx="631">
                <c:v>-0.22800000000000001</c:v>
              </c:pt>
              <c:pt idx="632">
                <c:v>-0.4017</c:v>
              </c:pt>
              <c:pt idx="633">
                <c:v>-0.17680000000000001</c:v>
              </c:pt>
              <c:pt idx="634">
                <c:v>-0.80259999999999998</c:v>
              </c:pt>
              <c:pt idx="635">
                <c:v>0.97</c:v>
              </c:pt>
              <c:pt idx="636">
                <c:v>-0.6865</c:v>
              </c:pt>
              <c:pt idx="637">
                <c:v>-0.64290000000000003</c:v>
              </c:pt>
              <c:pt idx="638">
                <c:v>0.53749999999999998</c:v>
              </c:pt>
              <c:pt idx="639">
                <c:v>0.4743</c:v>
              </c:pt>
              <c:pt idx="640">
                <c:v>-1.2357999999999998</c:v>
              </c:pt>
              <c:pt idx="641">
                <c:v>-1.4768999999999999</c:v>
              </c:pt>
              <c:pt idx="642">
                <c:v>-0.17510000000000001</c:v>
              </c:pt>
              <c:pt idx="643">
                <c:v>-0.65680000000000005</c:v>
              </c:pt>
              <c:pt idx="644">
                <c:v>0.59650000000000003</c:v>
              </c:pt>
              <c:pt idx="645">
                <c:v>1.0403</c:v>
              </c:pt>
              <c:pt idx="646">
                <c:v>-0.4415</c:v>
              </c:pt>
              <c:pt idx="647">
                <c:v>-0.81200000000000006</c:v>
              </c:pt>
              <c:pt idx="648">
                <c:v>0.47439999999999999</c:v>
              </c:pt>
              <c:pt idx="649">
                <c:v>-0.31630000000000003</c:v>
              </c:pt>
              <c:pt idx="650">
                <c:v>-0.86180000000000001</c:v>
              </c:pt>
              <c:pt idx="651">
                <c:v>-0.23650000000000002</c:v>
              </c:pt>
              <c:pt idx="652">
                <c:v>0.74829999999999997</c:v>
              </c:pt>
              <c:pt idx="653">
                <c:v>0.2717</c:v>
              </c:pt>
              <c:pt idx="654">
                <c:v>-0.94640000000000002</c:v>
              </c:pt>
              <c:pt idx="655">
                <c:v>4.4299999999999999E-2</c:v>
              </c:pt>
              <c:pt idx="656">
                <c:v>1.1801000000000001</c:v>
              </c:pt>
              <c:pt idx="657">
                <c:v>1.3048000000000002</c:v>
              </c:pt>
              <c:pt idx="658">
                <c:v>0.20829999999999999</c:v>
              </c:pt>
              <c:pt idx="659">
                <c:v>0.61099999999999999</c:v>
              </c:pt>
              <c:pt idx="660">
                <c:v>-6.4000000000000001E-2</c:v>
              </c:pt>
              <c:pt idx="661">
                <c:v>1.0511000000000001</c:v>
              </c:pt>
              <c:pt idx="662">
                <c:v>-6.3E-2</c:v>
              </c:pt>
              <c:pt idx="663">
                <c:v>0.33829999999999999</c:v>
              </c:pt>
              <c:pt idx="664">
                <c:v>0.20019999999999999</c:v>
              </c:pt>
              <c:pt idx="665">
                <c:v>-2.9999999999999992E-4</c:v>
              </c:pt>
              <c:pt idx="666">
                <c:v>0.19619999999999999</c:v>
              </c:pt>
              <c:pt idx="667">
                <c:v>-0.70030000000000003</c:v>
              </c:pt>
              <c:pt idx="668">
                <c:v>-0.31840000000000002</c:v>
              </c:pt>
              <c:pt idx="669">
                <c:v>1.3735000000000002</c:v>
              </c:pt>
              <c:pt idx="670">
                <c:v>-7.0400000000000004E-2</c:v>
              </c:pt>
              <c:pt idx="671">
                <c:v>-0.49630000000000002</c:v>
              </c:pt>
              <c:pt idx="672">
                <c:v>1.0108000000000001</c:v>
              </c:pt>
              <c:pt idx="673">
                <c:v>7.2800000000000004E-2</c:v>
              </c:pt>
              <c:pt idx="674">
                <c:v>-0.18660000000000002</c:v>
              </c:pt>
              <c:pt idx="675">
                <c:v>-1.208</c:v>
              </c:pt>
              <c:pt idx="676">
                <c:v>0.5575</c:v>
              </c:pt>
              <c:pt idx="677">
                <c:v>-0.6956</c:v>
              </c:pt>
              <c:pt idx="678">
                <c:v>0.15770000000000001</c:v>
              </c:pt>
              <c:pt idx="679">
                <c:v>0.35670000000000002</c:v>
              </c:pt>
              <c:pt idx="680">
                <c:v>1.7164000000000001</c:v>
              </c:pt>
              <c:pt idx="681">
                <c:v>6.3100000000000003E-2</c:v>
              </c:pt>
              <c:pt idx="682">
                <c:v>-0.373</c:v>
              </c:pt>
              <c:pt idx="683">
                <c:v>0.49960000000000004</c:v>
              </c:pt>
              <c:pt idx="684">
                <c:v>-0.37280000000000002</c:v>
              </c:pt>
              <c:pt idx="685">
                <c:v>5.2599999999999994E-2</c:v>
              </c:pt>
              <c:pt idx="686">
                <c:v>-0.9103</c:v>
              </c:pt>
              <c:pt idx="687">
                <c:v>1.1257000000000001</c:v>
              </c:pt>
              <c:pt idx="688">
                <c:v>-0.43049999999999999</c:v>
              </c:pt>
              <c:pt idx="689">
                <c:v>0.50580000000000003</c:v>
              </c:pt>
              <c:pt idx="690">
                <c:v>0.78800000000000003</c:v>
              </c:pt>
              <c:pt idx="691">
                <c:v>-0.26240000000000002</c:v>
              </c:pt>
              <c:pt idx="692">
                <c:v>-1.55E-2</c:v>
              </c:pt>
              <c:pt idx="693">
                <c:v>-0.29620000000000002</c:v>
              </c:pt>
              <c:pt idx="694">
                <c:v>0.23619999999999999</c:v>
              </c:pt>
              <c:pt idx="695">
                <c:v>-0.80369999999999997</c:v>
              </c:pt>
              <c:pt idx="696">
                <c:v>0.72770000000000001</c:v>
              </c:pt>
              <c:pt idx="697">
                <c:v>0.15329999999999999</c:v>
              </c:pt>
              <c:pt idx="698">
                <c:v>0.51910000000000001</c:v>
              </c:pt>
              <c:pt idx="699">
                <c:v>-0.1804</c:v>
              </c:pt>
              <c:pt idx="700">
                <c:v>-0.73799999999999999</c:v>
              </c:pt>
              <c:pt idx="701">
                <c:v>-0.40960000000000002</c:v>
              </c:pt>
              <c:pt idx="702">
                <c:v>-1.1095999999999999</c:v>
              </c:pt>
              <c:pt idx="703">
                <c:v>0.23599999999999999</c:v>
              </c:pt>
              <c:pt idx="704">
                <c:v>1.8000000000000002E-2</c:v>
              </c:pt>
              <c:pt idx="705">
                <c:v>-0.65849999999999997</c:v>
              </c:pt>
              <c:pt idx="706">
                <c:v>-0.57610000000000006</c:v>
              </c:pt>
              <c:pt idx="707">
                <c:v>0.15209999999999999</c:v>
              </c:pt>
              <c:pt idx="708">
                <c:v>-1.1195999999999999</c:v>
              </c:pt>
              <c:pt idx="709">
                <c:v>0.3745</c:v>
              </c:pt>
              <c:pt idx="710">
                <c:v>0.51449999999999996</c:v>
              </c:pt>
              <c:pt idx="711">
                <c:v>0.17219999999999999</c:v>
              </c:pt>
              <c:pt idx="712">
                <c:v>0.83279999999999998</c:v>
              </c:pt>
              <c:pt idx="713">
                <c:v>-0.68020000000000003</c:v>
              </c:pt>
              <c:pt idx="714">
                <c:v>-1.2911999999999999</c:v>
              </c:pt>
              <c:pt idx="715">
                <c:v>0.2107</c:v>
              </c:pt>
              <c:pt idx="716">
                <c:v>0.86460000000000004</c:v>
              </c:pt>
              <c:pt idx="717">
                <c:v>0.73329999999999995</c:v>
              </c:pt>
              <c:pt idx="718">
                <c:v>0.5756</c:v>
              </c:pt>
              <c:pt idx="719">
                <c:v>0.79600000000000004</c:v>
              </c:pt>
              <c:pt idx="720">
                <c:v>0.52649999999999997</c:v>
              </c:pt>
              <c:pt idx="721">
                <c:v>8.9499999999999996E-2</c:v>
              </c:pt>
              <c:pt idx="722">
                <c:v>-0.26550000000000001</c:v>
              </c:pt>
              <c:pt idx="723">
                <c:v>0.29980000000000001</c:v>
              </c:pt>
              <c:pt idx="724">
                <c:v>-0.50870000000000004</c:v>
              </c:pt>
              <c:pt idx="725">
                <c:v>-9.64E-2</c:v>
              </c:pt>
              <c:pt idx="726">
                <c:v>0.91179999999999994</c:v>
              </c:pt>
              <c:pt idx="727">
                <c:v>-1.7600000000000001E-2</c:v>
              </c:pt>
              <c:pt idx="728">
                <c:v>-0.11700000000000001</c:v>
              </c:pt>
              <c:pt idx="729">
                <c:v>-0.86560000000000004</c:v>
              </c:pt>
              <c:pt idx="730">
                <c:v>0.1835</c:v>
              </c:pt>
              <c:pt idx="731">
                <c:v>-0.75870000000000004</c:v>
              </c:pt>
              <c:pt idx="732">
                <c:v>0.4657</c:v>
              </c:pt>
              <c:pt idx="733">
                <c:v>-4.9600000000000005E-2</c:v>
              </c:pt>
              <c:pt idx="734">
                <c:v>0.69359999999999999</c:v>
              </c:pt>
              <c:pt idx="735">
                <c:v>1.04E-2</c:v>
              </c:pt>
              <c:pt idx="736">
                <c:v>0.56540000000000001</c:v>
              </c:pt>
              <c:pt idx="737">
                <c:v>-7.3599999999999999E-2</c:v>
              </c:pt>
              <c:pt idx="738">
                <c:v>0.20119999999999999</c:v>
              </c:pt>
              <c:pt idx="739">
                <c:v>0.2109</c:v>
              </c:pt>
              <c:pt idx="740">
                <c:v>0.57450000000000001</c:v>
              </c:pt>
              <c:pt idx="741">
                <c:v>1.0273000000000001</c:v>
              </c:pt>
              <c:pt idx="742">
                <c:v>-0.14130000000000001</c:v>
              </c:pt>
              <c:pt idx="743">
                <c:v>9.0000000000000011E-3</c:v>
              </c:pt>
              <c:pt idx="744">
                <c:v>-0.77229999999999999</c:v>
              </c:pt>
              <c:pt idx="745">
                <c:v>-0.54890000000000005</c:v>
              </c:pt>
              <c:pt idx="746">
                <c:v>0.14149999999999999</c:v>
              </c:pt>
              <c:pt idx="747">
                <c:v>0.50919999999999999</c:v>
              </c:pt>
              <c:pt idx="748">
                <c:v>-0.48720000000000002</c:v>
              </c:pt>
              <c:pt idx="749">
                <c:v>0.1691</c:v>
              </c:pt>
              <c:pt idx="750">
                <c:v>0.42809999999999998</c:v>
              </c:pt>
              <c:pt idx="751">
                <c:v>-0.21410000000000001</c:v>
              </c:pt>
              <c:pt idx="752">
                <c:v>0.63149999999999995</c:v>
              </c:pt>
              <c:pt idx="753">
                <c:v>0.1081</c:v>
              </c:pt>
              <c:pt idx="754">
                <c:v>-0.19020000000000001</c:v>
              </c:pt>
              <c:pt idx="755">
                <c:v>0.29389999999999999</c:v>
              </c:pt>
              <c:pt idx="756">
                <c:v>-0.2545</c:v>
              </c:pt>
              <c:pt idx="757">
                <c:v>0.29189999999999999</c:v>
              </c:pt>
              <c:pt idx="758">
                <c:v>-0.35370000000000001</c:v>
              </c:pt>
              <c:pt idx="759">
                <c:v>3.4299999999999997E-2</c:v>
              </c:pt>
              <c:pt idx="760">
                <c:v>-1.5942999999999998</c:v>
              </c:pt>
              <c:pt idx="761">
                <c:v>-2.3715999999999999</c:v>
              </c:pt>
              <c:pt idx="762">
                <c:v>0.55840000000000001</c:v>
              </c:pt>
              <c:pt idx="763">
                <c:v>0.9113</c:v>
              </c:pt>
              <c:pt idx="764">
                <c:v>5.1799999999999999E-2</c:v>
              </c:pt>
              <c:pt idx="765">
                <c:v>0.45600000000000002</c:v>
              </c:pt>
              <c:pt idx="766">
                <c:v>0.94510000000000005</c:v>
              </c:pt>
              <c:pt idx="767">
                <c:v>-0.51149999999999995</c:v>
              </c:pt>
              <c:pt idx="768">
                <c:v>0.53849999999999998</c:v>
              </c:pt>
              <c:pt idx="769">
                <c:v>6.59E-2</c:v>
              </c:pt>
              <c:pt idx="770">
                <c:v>0.42659999999999998</c:v>
              </c:pt>
              <c:pt idx="771">
                <c:v>0.23960000000000001</c:v>
              </c:pt>
              <c:pt idx="772">
                <c:v>-0.61570000000000003</c:v>
              </c:pt>
              <c:pt idx="773">
                <c:v>0.89900000000000002</c:v>
              </c:pt>
              <c:pt idx="774">
                <c:v>-0.48370000000000002</c:v>
              </c:pt>
              <c:pt idx="775">
                <c:v>0.17219999999999999</c:v>
              </c:pt>
              <c:pt idx="776">
                <c:v>0.29089999999999999</c:v>
              </c:pt>
              <c:pt idx="777">
                <c:v>0.44619999999999999</c:v>
              </c:pt>
              <c:pt idx="778">
                <c:v>-0.43919999999999998</c:v>
              </c:pt>
              <c:pt idx="779">
                <c:v>-0.55600000000000005</c:v>
              </c:pt>
              <c:pt idx="780">
                <c:v>0.90920000000000001</c:v>
              </c:pt>
              <c:pt idx="781">
                <c:v>0.92930000000000001</c:v>
              </c:pt>
              <c:pt idx="782">
                <c:v>-1E-3</c:v>
              </c:pt>
              <c:pt idx="783">
                <c:v>-0.56369999999999998</c:v>
              </c:pt>
              <c:pt idx="784">
                <c:v>0.42409999999999998</c:v>
              </c:pt>
              <c:pt idx="785">
                <c:v>-0.2054</c:v>
              </c:pt>
              <c:pt idx="786">
                <c:v>0.72050000000000003</c:v>
              </c:pt>
              <c:pt idx="787">
                <c:v>-0.69310000000000005</c:v>
              </c:pt>
              <c:pt idx="788">
                <c:v>0.1404</c:v>
              </c:pt>
              <c:pt idx="789">
                <c:v>0.36230000000000001</c:v>
              </c:pt>
              <c:pt idx="790">
                <c:v>-0.49070000000000003</c:v>
              </c:pt>
              <c:pt idx="791">
                <c:v>-1.0689</c:v>
              </c:pt>
              <c:pt idx="792">
                <c:v>-0.23780000000000001</c:v>
              </c:pt>
              <c:pt idx="793">
                <c:v>0.32540000000000002</c:v>
              </c:pt>
              <c:pt idx="794">
                <c:v>0.96750000000000003</c:v>
              </c:pt>
              <c:pt idx="795">
                <c:v>0.54749999999999999</c:v>
              </c:pt>
              <c:pt idx="796">
                <c:v>0.48</c:v>
              </c:pt>
              <c:pt idx="797">
                <c:v>-5.9200000000000003E-2</c:v>
              </c:pt>
              <c:pt idx="798">
                <c:v>0.84399999999999997</c:v>
              </c:pt>
              <c:pt idx="799">
                <c:v>0.26639999999999997</c:v>
              </c:pt>
              <c:pt idx="800">
                <c:v>0.3604</c:v>
              </c:pt>
              <c:pt idx="801">
                <c:v>-0.19309999999999999</c:v>
              </c:pt>
              <c:pt idx="802">
                <c:v>-0.13919999999999999</c:v>
              </c:pt>
              <c:pt idx="803">
                <c:v>0.13</c:v>
              </c:pt>
              <c:pt idx="804">
                <c:v>0.47199999999999998</c:v>
              </c:pt>
              <c:pt idx="805">
                <c:v>0.19309999999999999</c:v>
              </c:pt>
              <c:pt idx="806">
                <c:v>-0.4516</c:v>
              </c:pt>
              <c:pt idx="807">
                <c:v>-0.57299999999999995</c:v>
              </c:pt>
              <c:pt idx="808">
                <c:v>0.66420000000000001</c:v>
              </c:pt>
              <c:pt idx="809">
                <c:v>7.669999999999999E-2</c:v>
              </c:pt>
              <c:pt idx="810">
                <c:v>0.22470000000000001</c:v>
              </c:pt>
              <c:pt idx="811">
                <c:v>0.24819999999999998</c:v>
              </c:pt>
              <c:pt idx="812">
                <c:v>-0.1757</c:v>
              </c:pt>
              <c:pt idx="813">
                <c:v>0.25940000000000002</c:v>
              </c:pt>
              <c:pt idx="814">
                <c:v>-0.2014</c:v>
              </c:pt>
              <c:pt idx="815">
                <c:v>-0.13109999999999999</c:v>
              </c:pt>
              <c:pt idx="816">
                <c:v>-1.9368999999999998</c:v>
              </c:pt>
              <c:pt idx="817">
                <c:v>0.40179999999999999</c:v>
              </c:pt>
              <c:pt idx="818">
                <c:v>0.70279999999999998</c:v>
              </c:pt>
              <c:pt idx="819">
                <c:v>-0.91639999999999999</c:v>
              </c:pt>
              <c:pt idx="820">
                <c:v>0.85640000000000005</c:v>
              </c:pt>
              <c:pt idx="821">
                <c:v>3.2099999999999997E-2</c:v>
              </c:pt>
              <c:pt idx="822">
                <c:v>0.46889999999999998</c:v>
              </c:pt>
              <c:pt idx="823">
                <c:v>-0.21829999999999999</c:v>
              </c:pt>
              <c:pt idx="824">
                <c:v>0.41980000000000001</c:v>
              </c:pt>
              <c:pt idx="825">
                <c:v>-0.46550000000000002</c:v>
              </c:pt>
              <c:pt idx="826">
                <c:v>-0.91930000000000001</c:v>
              </c:pt>
              <c:pt idx="827">
                <c:v>0.10289999999999999</c:v>
              </c:pt>
              <c:pt idx="828">
                <c:v>0.64380000000000004</c:v>
              </c:pt>
              <c:pt idx="829">
                <c:v>5.8799999999999998E-2</c:v>
              </c:pt>
              <c:pt idx="830">
                <c:v>8.48E-2</c:v>
              </c:pt>
              <c:pt idx="831">
                <c:v>0.12570000000000001</c:v>
              </c:pt>
              <c:pt idx="832">
                <c:v>-0.13919999999999999</c:v>
              </c:pt>
              <c:pt idx="833">
                <c:v>-0.28889999999999999</c:v>
              </c:pt>
              <c:pt idx="834">
                <c:v>1.1995</c:v>
              </c:pt>
              <c:pt idx="835">
                <c:v>0.42630000000000001</c:v>
              </c:pt>
              <c:pt idx="836">
                <c:v>0.30619999999999997</c:v>
              </c:pt>
              <c:pt idx="837">
                <c:v>0.2089</c:v>
              </c:pt>
              <c:pt idx="838">
                <c:v>0.7278</c:v>
              </c:pt>
              <c:pt idx="839">
                <c:v>-0.1424</c:v>
              </c:pt>
              <c:pt idx="840">
                <c:v>-0.3669</c:v>
              </c:pt>
              <c:pt idx="841">
                <c:v>0.51949999999999996</c:v>
              </c:pt>
              <c:pt idx="842">
                <c:v>-4.1399999999999999E-2</c:v>
              </c:pt>
              <c:pt idx="843">
                <c:v>0.22439999999999999</c:v>
              </c:pt>
              <c:pt idx="844">
                <c:v>-7.1500000000000008E-2</c:v>
              </c:pt>
              <c:pt idx="845">
                <c:v>0.30609999999999998</c:v>
              </c:pt>
              <c:pt idx="846">
                <c:v>0.64570000000000005</c:v>
              </c:pt>
              <c:pt idx="847">
                <c:v>7.7499999999999999E-2</c:v>
              </c:pt>
              <c:pt idx="848">
                <c:v>-0.27589999999999998</c:v>
              </c:pt>
              <c:pt idx="849">
                <c:v>-9.2800000000000007E-2</c:v>
              </c:pt>
              <c:pt idx="850">
                <c:v>6.8099999999999994E-2</c:v>
              </c:pt>
              <c:pt idx="851">
                <c:v>0.40549999999999997</c:v>
              </c:pt>
              <c:pt idx="852">
                <c:v>0.42170000000000002</c:v>
              </c:pt>
              <c:pt idx="853">
                <c:v>0.39360000000000001</c:v>
              </c:pt>
              <c:pt idx="854">
                <c:v>-0.46579999999999999</c:v>
              </c:pt>
              <c:pt idx="855">
                <c:v>-0.49420000000000003</c:v>
              </c:pt>
              <c:pt idx="856">
                <c:v>0.19020000000000001</c:v>
              </c:pt>
              <c:pt idx="857">
                <c:v>-4.6700000000000005E-2</c:v>
              </c:pt>
              <c:pt idx="858">
                <c:v>0.8458</c:v>
              </c:pt>
              <c:pt idx="859">
                <c:v>-0.1545</c:v>
              </c:pt>
              <c:pt idx="860">
                <c:v>0.9194</c:v>
              </c:pt>
              <c:pt idx="861">
                <c:v>0.51570000000000005</c:v>
              </c:pt>
              <c:pt idx="862">
                <c:v>0.45179999999999998</c:v>
              </c:pt>
              <c:pt idx="863">
                <c:v>0.43119999999999997</c:v>
              </c:pt>
              <c:pt idx="864">
                <c:v>-0.17300000000000001</c:v>
              </c:pt>
              <c:pt idx="865">
                <c:v>0.1037</c:v>
              </c:pt>
              <c:pt idx="866">
                <c:v>0.11019999999999999</c:v>
              </c:pt>
              <c:pt idx="867">
                <c:v>-0.43409999999999999</c:v>
              </c:pt>
              <c:pt idx="868">
                <c:v>0.78569999999999995</c:v>
              </c:pt>
              <c:pt idx="869">
                <c:v>-0.72989999999999999</c:v>
              </c:pt>
              <c:pt idx="870">
                <c:v>0.25429999999999997</c:v>
              </c:pt>
              <c:pt idx="871">
                <c:v>0.50900000000000001</c:v>
              </c:pt>
              <c:pt idx="872">
                <c:v>-0.88929999999999998</c:v>
              </c:pt>
              <c:pt idx="873">
                <c:v>-0.81269999999999998</c:v>
              </c:pt>
              <c:pt idx="874">
                <c:v>-8.0299999999999996E-2</c:v>
              </c:pt>
              <c:pt idx="875">
                <c:v>0.42159999999999997</c:v>
              </c:pt>
              <c:pt idx="876">
                <c:v>0.61360000000000003</c:v>
              </c:pt>
              <c:pt idx="877">
                <c:v>0.29320000000000002</c:v>
              </c:pt>
              <c:pt idx="878">
                <c:v>-0.93359999999999999</c:v>
              </c:pt>
              <c:pt idx="879">
                <c:v>-0.20569999999999999</c:v>
              </c:pt>
              <c:pt idx="880">
                <c:v>-0.3039</c:v>
              </c:pt>
              <c:pt idx="881">
                <c:v>0.58240000000000003</c:v>
              </c:pt>
              <c:pt idx="882">
                <c:v>-1.4012</c:v>
              </c:pt>
              <c:pt idx="883">
                <c:v>-0.53400000000000003</c:v>
              </c:pt>
              <c:pt idx="884">
                <c:v>0.68189999999999995</c:v>
              </c:pt>
              <c:pt idx="885">
                <c:v>-2.0467</c:v>
              </c:pt>
              <c:pt idx="886">
                <c:v>2.47E-2</c:v>
              </c:pt>
              <c:pt idx="887">
                <c:v>-0.1401</c:v>
              </c:pt>
              <c:pt idx="888">
                <c:v>-0.50229999999999997</c:v>
              </c:pt>
              <c:pt idx="889">
                <c:v>0.94940000000000002</c:v>
              </c:pt>
              <c:pt idx="890">
                <c:v>-0.10980000000000001</c:v>
              </c:pt>
              <c:pt idx="891">
                <c:v>0.73839999999999995</c:v>
              </c:pt>
              <c:pt idx="892">
                <c:v>-1.06E-2</c:v>
              </c:pt>
              <c:pt idx="893">
                <c:v>-0.26119999999999999</c:v>
              </c:pt>
              <c:pt idx="894">
                <c:v>-0.71699999999999997</c:v>
              </c:pt>
              <c:pt idx="895">
                <c:v>1.1117000000000001</c:v>
              </c:pt>
              <c:pt idx="896">
                <c:v>0.4748</c:v>
              </c:pt>
              <c:pt idx="897">
                <c:v>-0.377</c:v>
              </c:pt>
              <c:pt idx="898">
                <c:v>1.3572000000000002</c:v>
              </c:pt>
              <c:pt idx="899">
                <c:v>0.1091</c:v>
              </c:pt>
              <c:pt idx="900">
                <c:v>3.2599999999999997E-2</c:v>
              </c:pt>
              <c:pt idx="901">
                <c:v>0.9677</c:v>
              </c:pt>
              <c:pt idx="902">
                <c:v>-7.9100000000000004E-2</c:v>
              </c:pt>
              <c:pt idx="903">
                <c:v>-0.44819999999999999</c:v>
              </c:pt>
              <c:pt idx="904">
                <c:v>0.8075</c:v>
              </c:pt>
              <c:pt idx="905">
                <c:v>-1.2016</c:v>
              </c:pt>
              <c:pt idx="906">
                <c:v>0.53420000000000001</c:v>
              </c:pt>
              <c:pt idx="907">
                <c:v>-0.2303</c:v>
              </c:pt>
              <c:pt idx="908">
                <c:v>-0.22539999999999999</c:v>
              </c:pt>
              <c:pt idx="909">
                <c:v>0.28179999999999999</c:v>
              </c:pt>
              <c:pt idx="910">
                <c:v>-0.82420000000000004</c:v>
              </c:pt>
              <c:pt idx="911">
                <c:v>-0.37409999999999999</c:v>
              </c:pt>
              <c:pt idx="912">
                <c:v>-1.0789</c:v>
              </c:pt>
              <c:pt idx="913">
                <c:v>-6.5000000000000002E-2</c:v>
              </c:pt>
              <c:pt idx="914">
                <c:v>-0.91910000000000003</c:v>
              </c:pt>
              <c:pt idx="915">
                <c:v>0.67100000000000004</c:v>
              </c:pt>
              <c:pt idx="916">
                <c:v>0.45119999999999999</c:v>
              </c:pt>
              <c:pt idx="917">
                <c:v>3.3999999999999996E-2</c:v>
              </c:pt>
              <c:pt idx="918">
                <c:v>-1.1545999999999998</c:v>
              </c:pt>
              <c:pt idx="919">
                <c:v>-0.54910000000000003</c:v>
              </c:pt>
              <c:pt idx="920">
                <c:v>0.14649999999999999</c:v>
              </c:pt>
              <c:pt idx="921">
                <c:v>-0.9627</c:v>
              </c:pt>
              <c:pt idx="922">
                <c:v>-0.24490000000000001</c:v>
              </c:pt>
              <c:pt idx="923">
                <c:v>-0.32679999999999998</c:v>
              </c:pt>
              <c:pt idx="924">
                <c:v>6.5699999999999995E-2</c:v>
              </c:pt>
              <c:pt idx="925">
                <c:v>0.25700000000000001</c:v>
              </c:pt>
              <c:pt idx="926">
                <c:v>-0.17080000000000001</c:v>
              </c:pt>
              <c:pt idx="927">
                <c:v>1.4470000000000001</c:v>
              </c:pt>
              <c:pt idx="928">
                <c:v>-0.12539999999999998</c:v>
              </c:pt>
              <c:pt idx="929">
                <c:v>-0.60209999999999997</c:v>
              </c:pt>
              <c:pt idx="930">
                <c:v>-0.95469999999999999</c:v>
              </c:pt>
              <c:pt idx="931">
                <c:v>0.1227</c:v>
              </c:pt>
              <c:pt idx="932">
                <c:v>-2.8887</c:v>
              </c:pt>
              <c:pt idx="933">
                <c:v>0.6492</c:v>
              </c:pt>
              <c:pt idx="934">
                <c:v>-1.2987</c:v>
              </c:pt>
              <c:pt idx="935">
                <c:v>-0.25540000000000002</c:v>
              </c:pt>
              <c:pt idx="936">
                <c:v>-1.4121999999999999</c:v>
              </c:pt>
              <c:pt idx="937">
                <c:v>1.7467000000000001</c:v>
              </c:pt>
              <c:pt idx="938">
                <c:v>-0.1012</c:v>
              </c:pt>
              <c:pt idx="939">
                <c:v>1.0794000000000001</c:v>
              </c:pt>
              <c:pt idx="940">
                <c:v>-0.20619999999999999</c:v>
              </c:pt>
              <c:pt idx="941">
                <c:v>-0.98199999999999998</c:v>
              </c:pt>
              <c:pt idx="942">
                <c:v>-0.21410000000000001</c:v>
              </c:pt>
              <c:pt idx="943">
                <c:v>1.6724000000000001</c:v>
              </c:pt>
              <c:pt idx="944">
                <c:v>1.4693000000000001</c:v>
              </c:pt>
              <c:pt idx="945">
                <c:v>-0.17849999999999999</c:v>
              </c:pt>
              <c:pt idx="946">
                <c:v>0.96760000000000002</c:v>
              </c:pt>
              <c:pt idx="947">
                <c:v>0.33179999999999998</c:v>
              </c:pt>
              <c:pt idx="948">
                <c:v>-0.17730000000000001</c:v>
              </c:pt>
              <c:pt idx="949">
                <c:v>-0.29909999999999998</c:v>
              </c:pt>
              <c:pt idx="950">
                <c:v>-0.80489999999999995</c:v>
              </c:pt>
              <c:pt idx="951">
                <c:v>0.23960000000000001</c:v>
              </c:pt>
              <c:pt idx="952">
                <c:v>1.5264000000000002</c:v>
              </c:pt>
              <c:pt idx="953">
                <c:v>-0.1782</c:v>
              </c:pt>
              <c:pt idx="954">
                <c:v>-1.2863</c:v>
              </c:pt>
              <c:pt idx="955">
                <c:v>0.68659999999999999</c:v>
              </c:pt>
              <c:pt idx="956">
                <c:v>2.1600000000000001E-2</c:v>
              </c:pt>
              <c:pt idx="957">
                <c:v>-1.1054999999999999</c:v>
              </c:pt>
              <c:pt idx="958">
                <c:v>-0.28839999999999999</c:v>
              </c:pt>
              <c:pt idx="959">
                <c:v>1.1660000000000001</c:v>
              </c:pt>
              <c:pt idx="960">
                <c:v>1.2788000000000002</c:v>
              </c:pt>
              <c:pt idx="961">
                <c:v>0.1363</c:v>
              </c:pt>
              <c:pt idx="962">
                <c:v>0.3352</c:v>
              </c:pt>
              <c:pt idx="963">
                <c:v>-6.9800000000000001E-2</c:v>
              </c:pt>
              <c:pt idx="964">
                <c:v>6.4399999999999999E-2</c:v>
              </c:pt>
              <c:pt idx="965">
                <c:v>0.46639999999999998</c:v>
              </c:pt>
              <c:pt idx="966">
                <c:v>0.23499999999999999</c:v>
              </c:pt>
              <c:pt idx="967">
                <c:v>-0.76170000000000004</c:v>
              </c:pt>
              <c:pt idx="968">
                <c:v>-0.91659999999999997</c:v>
              </c:pt>
              <c:pt idx="969">
                <c:v>1.5398000000000001</c:v>
              </c:pt>
              <c:pt idx="970">
                <c:v>0.53879999999999995</c:v>
              </c:pt>
              <c:pt idx="971">
                <c:v>-0.20419999999999999</c:v>
              </c:pt>
              <c:pt idx="972">
                <c:v>-0.21260000000000001</c:v>
              </c:pt>
              <c:pt idx="973">
                <c:v>-0.64059999999999995</c:v>
              </c:pt>
              <c:pt idx="974">
                <c:v>-1.0683999999999998</c:v>
              </c:pt>
              <c:pt idx="975">
                <c:v>-0.21460000000000001</c:v>
              </c:pt>
              <c:pt idx="976">
                <c:v>0.15509999999999999</c:v>
              </c:pt>
              <c:pt idx="977">
                <c:v>-0.46600000000000003</c:v>
              </c:pt>
              <c:pt idx="978">
                <c:v>-0.3901</c:v>
              </c:pt>
              <c:pt idx="979">
                <c:v>-1.3815999999999999</c:v>
              </c:pt>
              <c:pt idx="980">
                <c:v>0.56479999999999997</c:v>
              </c:pt>
              <c:pt idx="981">
                <c:v>1.3494000000000002</c:v>
              </c:pt>
              <c:pt idx="982">
                <c:v>1.0524</c:v>
              </c:pt>
              <c:pt idx="983">
                <c:v>2.6800000000000001E-2</c:v>
              </c:pt>
              <c:pt idx="984">
                <c:v>0.9647</c:v>
              </c:pt>
              <c:pt idx="985">
                <c:v>-0.30259999999999998</c:v>
              </c:pt>
              <c:pt idx="986">
                <c:v>0.59970000000000001</c:v>
              </c:pt>
              <c:pt idx="987">
                <c:v>4.5099999999999994E-2</c:v>
              </c:pt>
              <c:pt idx="988">
                <c:v>0.72960000000000003</c:v>
              </c:pt>
              <c:pt idx="989">
                <c:v>-0.19539999999999999</c:v>
              </c:pt>
              <c:pt idx="990">
                <c:v>0.41510000000000002</c:v>
              </c:pt>
              <c:pt idx="991">
                <c:v>-0.35980000000000001</c:v>
              </c:pt>
              <c:pt idx="992">
                <c:v>-2.4675000000000002</c:v>
              </c:pt>
              <c:pt idx="993">
                <c:v>0.3473</c:v>
              </c:pt>
              <c:pt idx="994">
                <c:v>1.7215</c:v>
              </c:pt>
              <c:pt idx="995">
                <c:v>-0.24629999999999999</c:v>
              </c:pt>
              <c:pt idx="996">
                <c:v>-0.40839999999999999</c:v>
              </c:pt>
              <c:pt idx="997">
                <c:v>0.57820000000000005</c:v>
              </c:pt>
              <c:pt idx="998">
                <c:v>-0.56320000000000003</c:v>
              </c:pt>
              <c:pt idx="999">
                <c:v>-0.1681</c:v>
              </c:pt>
              <c:pt idx="1000">
                <c:v>-0.29580000000000001</c:v>
              </c:pt>
              <c:pt idx="1001">
                <c:v>0.38769999999999999</c:v>
              </c:pt>
              <c:pt idx="1002">
                <c:v>0.83960000000000001</c:v>
              </c:pt>
              <c:pt idx="1003">
                <c:v>0.72950000000000004</c:v>
              </c:pt>
              <c:pt idx="1004">
                <c:v>0.52990000000000004</c:v>
              </c:pt>
              <c:pt idx="1005">
                <c:v>1.0737000000000001</c:v>
              </c:pt>
              <c:pt idx="1006">
                <c:v>6.7999999999999991E-2</c:v>
              </c:pt>
              <c:pt idx="1007">
                <c:v>0.45929999999999999</c:v>
              </c:pt>
              <c:pt idx="1008">
                <c:v>-0.11510000000000001</c:v>
              </c:pt>
              <c:pt idx="1009">
                <c:v>-0.89029999999999998</c:v>
              </c:pt>
              <c:pt idx="1010">
                <c:v>-0.69479999999999997</c:v>
              </c:pt>
              <c:pt idx="1011">
                <c:v>0.26450000000000001</c:v>
              </c:pt>
              <c:pt idx="1012">
                <c:v>0.65259999999999996</c:v>
              </c:pt>
              <c:pt idx="1013">
                <c:v>0.68459999999999999</c:v>
              </c:pt>
              <c:pt idx="1014">
                <c:v>-2.2699999999999998E-2</c:v>
              </c:pt>
              <c:pt idx="1015">
                <c:v>-0.59209999999999996</c:v>
              </c:pt>
              <c:pt idx="1016">
                <c:v>-0.37040000000000001</c:v>
              </c:pt>
              <c:pt idx="1017">
                <c:v>-0.29849999999999999</c:v>
              </c:pt>
              <c:pt idx="1018">
                <c:v>0.7238</c:v>
              </c:pt>
              <c:pt idx="1019">
                <c:v>0.35659999999999997</c:v>
              </c:pt>
              <c:pt idx="1020">
                <c:v>0.34599999999999997</c:v>
              </c:pt>
              <c:pt idx="1021">
                <c:v>1.0395000000000001</c:v>
              </c:pt>
              <c:pt idx="1022">
                <c:v>0.72309999999999997</c:v>
              </c:pt>
              <c:pt idx="1023">
                <c:v>-0.80459999999999998</c:v>
              </c:pt>
              <c:pt idx="1024">
                <c:v>-0.21879999999999999</c:v>
              </c:pt>
              <c:pt idx="1025">
                <c:v>4.2900000000000001E-2</c:v>
              </c:pt>
              <c:pt idx="1026">
                <c:v>0.16300000000000001</c:v>
              </c:pt>
              <c:pt idx="1027">
                <c:v>-0.28029999999999999</c:v>
              </c:pt>
              <c:pt idx="1028">
                <c:v>0.52380000000000004</c:v>
              </c:pt>
              <c:pt idx="1029">
                <c:v>-0.86499999999999999</c:v>
              </c:pt>
              <c:pt idx="1030">
                <c:v>-0.28000000000000003</c:v>
              </c:pt>
              <c:pt idx="1031">
                <c:v>-0.1431</c:v>
              </c:pt>
              <c:pt idx="1032">
                <c:v>0.75880000000000003</c:v>
              </c:pt>
              <c:pt idx="1033">
                <c:v>-0.1767</c:v>
              </c:pt>
              <c:pt idx="1034">
                <c:v>-0.69899999999999995</c:v>
              </c:pt>
              <c:pt idx="1035">
                <c:v>0.27550000000000002</c:v>
              </c:pt>
              <c:pt idx="1036">
                <c:v>1.1849000000000001</c:v>
              </c:pt>
              <c:pt idx="1037">
                <c:v>0.85619999999999996</c:v>
              </c:pt>
              <c:pt idx="1038">
                <c:v>0.13</c:v>
              </c:pt>
              <c:pt idx="1039">
                <c:v>8.3099999999999993E-2</c:v>
              </c:pt>
              <c:pt idx="1040">
                <c:v>-0.2742</c:v>
              </c:pt>
              <c:pt idx="1041">
                <c:v>-0.66110000000000002</c:v>
              </c:pt>
              <c:pt idx="1042">
                <c:v>-0.5081</c:v>
              </c:pt>
              <c:pt idx="1043">
                <c:v>-1.2099</c:v>
              </c:pt>
              <c:pt idx="1044">
                <c:v>0.18779999999999999</c:v>
              </c:pt>
              <c:pt idx="1045">
                <c:v>0.67279999999999995</c:v>
              </c:pt>
              <c:pt idx="1046">
                <c:v>-0.82820000000000005</c:v>
              </c:pt>
              <c:pt idx="1047">
                <c:v>0.96689999999999998</c:v>
              </c:pt>
              <c:pt idx="1048">
                <c:v>0.42919999999999997</c:v>
              </c:pt>
              <c:pt idx="1049">
                <c:v>-0.73089999999999999</c:v>
              </c:pt>
              <c:pt idx="1050">
                <c:v>-4.41E-2</c:v>
              </c:pt>
              <c:pt idx="1051">
                <c:v>0.51470000000000005</c:v>
              </c:pt>
              <c:pt idx="1052">
                <c:v>0.50329999999999997</c:v>
              </c:pt>
              <c:pt idx="1053">
                <c:v>-0.25469999999999998</c:v>
              </c:pt>
              <c:pt idx="1054">
                <c:v>-1.0681999999999998</c:v>
              </c:pt>
              <c:pt idx="1055">
                <c:v>1.2140000000000002</c:v>
              </c:pt>
              <c:pt idx="1056">
                <c:v>-0.89690000000000003</c:v>
              </c:pt>
              <c:pt idx="1057">
                <c:v>-0.19209999999999999</c:v>
              </c:pt>
              <c:pt idx="1058">
                <c:v>-0.20069999999999999</c:v>
              </c:pt>
              <c:pt idx="1059">
                <c:v>0.82240000000000002</c:v>
              </c:pt>
              <c:pt idx="1060">
                <c:v>1.8980000000000001</c:v>
              </c:pt>
              <c:pt idx="1061">
                <c:v>1.1719000000000002</c:v>
              </c:pt>
              <c:pt idx="1062">
                <c:v>0.5988</c:v>
              </c:pt>
              <c:pt idx="1063">
                <c:v>-0.16650000000000001</c:v>
              </c:pt>
              <c:pt idx="1064">
                <c:v>-1.0428999999999999</c:v>
              </c:pt>
              <c:pt idx="1065">
                <c:v>-0.34639999999999999</c:v>
              </c:pt>
              <c:pt idx="1066">
                <c:v>0.25119999999999998</c:v>
              </c:pt>
              <c:pt idx="1067">
                <c:v>-0.25630000000000003</c:v>
              </c:pt>
              <c:pt idx="1068">
                <c:v>-2.2699999999999998E-2</c:v>
              </c:pt>
              <c:pt idx="1069">
                <c:v>-1.1718</c:v>
              </c:pt>
              <c:pt idx="1070">
                <c:v>-0.12789999999999999</c:v>
              </c:pt>
              <c:pt idx="1071">
                <c:v>-0.29520000000000002</c:v>
              </c:pt>
              <c:pt idx="1072">
                <c:v>0.1729</c:v>
              </c:pt>
              <c:pt idx="1073">
                <c:v>0.44409999999999999</c:v>
              </c:pt>
              <c:pt idx="1074">
                <c:v>-1.1747999999999998</c:v>
              </c:pt>
              <c:pt idx="1075">
                <c:v>-0.32969999999999999</c:v>
              </c:pt>
              <c:pt idx="1076">
                <c:v>0.27450000000000002</c:v>
              </c:pt>
              <c:pt idx="1077">
                <c:v>1.1425000000000001</c:v>
              </c:pt>
              <c:pt idx="1078">
                <c:v>-0.32729999999999998</c:v>
              </c:pt>
              <c:pt idx="1079">
                <c:v>-1.1113</c:v>
              </c:pt>
              <c:pt idx="1080">
                <c:v>0.62390000000000001</c:v>
              </c:pt>
              <c:pt idx="1081">
                <c:v>6.3100000000000003E-2</c:v>
              </c:pt>
              <c:pt idx="1082">
                <c:v>0.248</c:v>
              </c:pt>
              <c:pt idx="1083">
                <c:v>0.2462</c:v>
              </c:pt>
              <c:pt idx="1084">
                <c:v>0.19589999999999999</c:v>
              </c:pt>
              <c:pt idx="1085">
                <c:v>-0.12430000000000001</c:v>
              </c:pt>
              <c:pt idx="1086">
                <c:v>-0.78310000000000002</c:v>
              </c:pt>
              <c:pt idx="1087">
                <c:v>-0.12180000000000001</c:v>
              </c:pt>
              <c:pt idx="1088">
                <c:v>-0.60540000000000005</c:v>
              </c:pt>
              <c:pt idx="1089">
                <c:v>-2.2023999999999999</c:v>
              </c:pt>
              <c:pt idx="1090">
                <c:v>-9.4E-2</c:v>
              </c:pt>
              <c:pt idx="1091">
                <c:v>0.29949999999999999</c:v>
              </c:pt>
              <c:pt idx="1092">
                <c:v>-1.9056</c:v>
              </c:pt>
              <c:pt idx="1093">
                <c:v>1.1504000000000001</c:v>
              </c:pt>
              <c:pt idx="1094">
                <c:v>3.9899999999999998E-2</c:v>
              </c:pt>
              <c:pt idx="1095">
                <c:v>-9.0000000000000011E-3</c:v>
              </c:pt>
              <c:pt idx="1096">
                <c:v>-0.46039999999999998</c:v>
              </c:pt>
              <c:pt idx="1097">
                <c:v>-0.50860000000000005</c:v>
              </c:pt>
              <c:pt idx="1098">
                <c:v>-0.25240000000000001</c:v>
              </c:pt>
              <c:pt idx="1099">
                <c:v>0.30709999999999998</c:v>
              </c:pt>
              <c:pt idx="1100">
                <c:v>1.3268000000000002</c:v>
              </c:pt>
              <c:pt idx="1101">
                <c:v>0.52410000000000001</c:v>
              </c:pt>
              <c:pt idx="1102">
                <c:v>6.2699999999999992E-2</c:v>
              </c:pt>
              <c:pt idx="1103">
                <c:v>0.83450000000000002</c:v>
              </c:pt>
              <c:pt idx="1104">
                <c:v>-0.1484</c:v>
              </c:pt>
              <c:pt idx="1105">
                <c:v>-2.4254000000000002</c:v>
              </c:pt>
              <c:pt idx="1106">
                <c:v>0.93369999999999997</c:v>
              </c:pt>
              <c:pt idx="1107">
                <c:v>0.5554</c:v>
              </c:pt>
              <c:pt idx="1108">
                <c:v>3.9799999999999995E-2</c:v>
              </c:pt>
              <c:pt idx="1109">
                <c:v>-0.2273</c:v>
              </c:pt>
              <c:pt idx="1110">
                <c:v>-1.1018999999999999</c:v>
              </c:pt>
              <c:pt idx="1111">
                <c:v>-6.5700000000000008E-2</c:v>
              </c:pt>
              <c:pt idx="1112">
                <c:v>-3.0104000000000002</c:v>
              </c:pt>
              <c:pt idx="1113">
                <c:v>-0.69589999999999996</c:v>
              </c:pt>
              <c:pt idx="1114">
                <c:v>1.3319000000000001</c:v>
              </c:pt>
              <c:pt idx="1115">
                <c:v>8.3699999999999997E-2</c:v>
              </c:pt>
              <c:pt idx="1116">
                <c:v>0.13450000000000001</c:v>
              </c:pt>
              <c:pt idx="1117">
                <c:v>-0.13550000000000001</c:v>
              </c:pt>
              <c:pt idx="1118">
                <c:v>3.8699999999999998E-2</c:v>
              </c:pt>
              <c:pt idx="1119">
                <c:v>-0.79079999999999995</c:v>
              </c:pt>
              <c:pt idx="1120">
                <c:v>0.34139999999999998</c:v>
              </c:pt>
              <c:pt idx="1121">
                <c:v>-0.97660000000000002</c:v>
              </c:pt>
              <c:pt idx="1122">
                <c:v>-1.4438</c:v>
              </c:pt>
              <c:pt idx="1123">
                <c:v>-0.26790000000000003</c:v>
              </c:pt>
              <c:pt idx="1124">
                <c:v>-2.4410000000000003</c:v>
              </c:pt>
              <c:pt idx="1125">
                <c:v>0.29820000000000002</c:v>
              </c:pt>
              <c:pt idx="1126">
                <c:v>-0.22470000000000001</c:v>
              </c:pt>
              <c:pt idx="1127">
                <c:v>1.0195000000000001</c:v>
              </c:pt>
              <c:pt idx="1128">
                <c:v>0.157</c:v>
              </c:pt>
              <c:pt idx="1129">
                <c:v>-1.6426999999999998</c:v>
              </c:pt>
              <c:pt idx="1130">
                <c:v>-0.16209999999999999</c:v>
              </c:pt>
              <c:pt idx="1131">
                <c:v>0.3654</c:v>
              </c:pt>
              <c:pt idx="1132">
                <c:v>-1.0941999999999998</c:v>
              </c:pt>
              <c:pt idx="1133">
                <c:v>-8.9099999999999999E-2</c:v>
              </c:pt>
              <c:pt idx="1134">
                <c:v>0.28739999999999999</c:v>
              </c:pt>
              <c:pt idx="1135">
                <c:v>-0.86540000000000006</c:v>
              </c:pt>
              <c:pt idx="1136">
                <c:v>-1.3312999999999999</c:v>
              </c:pt>
              <c:pt idx="1137">
                <c:v>0.33879999999999999</c:v>
              </c:pt>
              <c:pt idx="1138">
                <c:v>-7.640000000000001E-2</c:v>
              </c:pt>
              <c:pt idx="1139">
                <c:v>-1.1194999999999999</c:v>
              </c:pt>
              <c:pt idx="1140">
                <c:v>-0.44469999999999998</c:v>
              </c:pt>
              <c:pt idx="1141">
                <c:v>-1.9214</c:v>
              </c:pt>
              <c:pt idx="1142">
                <c:v>9.6299999999999997E-2</c:v>
              </c:pt>
              <c:pt idx="1143">
                <c:v>-3.0745</c:v>
              </c:pt>
              <c:pt idx="1144">
                <c:v>-4.9599000000000002</c:v>
              </c:pt>
              <c:pt idx="1145">
                <c:v>3.5145</c:v>
              </c:pt>
              <c:pt idx="1146">
                <c:v>0.5161</c:v>
              </c:pt>
              <c:pt idx="1147">
                <c:v>1.3993000000000002</c:v>
              </c:pt>
              <c:pt idx="1148">
                <c:v>2.4539999999999997</c:v>
              </c:pt>
              <c:pt idx="1149">
                <c:v>1.9205000000000001</c:v>
              </c:pt>
              <c:pt idx="1150">
                <c:v>-1.9466999999999999</c:v>
              </c:pt>
              <c:pt idx="1151">
                <c:v>0.21790000000000001</c:v>
              </c:pt>
              <c:pt idx="1152">
                <c:v>0.74909999999999999</c:v>
              </c:pt>
              <c:pt idx="1153">
                <c:v>-1.1877</c:v>
              </c:pt>
              <c:pt idx="1154">
                <c:v>-0.17860000000000001</c:v>
              </c:pt>
              <c:pt idx="1155">
                <c:v>0.18390000000000001</c:v>
              </c:pt>
              <c:pt idx="1156">
                <c:v>3.5019</c:v>
              </c:pt>
              <c:pt idx="1157">
                <c:v>-0.2233</c:v>
              </c:pt>
              <c:pt idx="1158">
                <c:v>0.44519999999999998</c:v>
              </c:pt>
              <c:pt idx="1159">
                <c:v>1.4700000000000001E-2</c:v>
              </c:pt>
              <c:pt idx="1160">
                <c:v>-0.57399999999999995</c:v>
              </c:pt>
              <c:pt idx="1161">
                <c:v>0.88049999999999995</c:v>
              </c:pt>
              <c:pt idx="1162">
                <c:v>1.3345</c:v>
              </c:pt>
              <c:pt idx="1163">
                <c:v>0.1938</c:v>
              </c:pt>
              <c:pt idx="1164">
                <c:v>-1.8529</c:v>
              </c:pt>
              <c:pt idx="1165">
                <c:v>0.70330000000000004</c:v>
              </c:pt>
              <c:pt idx="1166">
                <c:v>-2.0865</c:v>
              </c:pt>
              <c:pt idx="1167">
                <c:v>-0.86499999999999999</c:v>
              </c:pt>
              <c:pt idx="1168">
                <c:v>0.1108</c:v>
              </c:pt>
              <c:pt idx="1169">
                <c:v>0.59640000000000004</c:v>
              </c:pt>
              <c:pt idx="1170">
                <c:v>1.3893000000000002</c:v>
              </c:pt>
              <c:pt idx="1171">
                <c:v>0.1065</c:v>
              </c:pt>
              <c:pt idx="1172">
                <c:v>0.56530000000000002</c:v>
              </c:pt>
              <c:pt idx="1173">
                <c:v>0.4955</c:v>
              </c:pt>
              <c:pt idx="1174">
                <c:v>1.1946000000000001</c:v>
              </c:pt>
              <c:pt idx="1175">
                <c:v>-0.5847</c:v>
              </c:pt>
              <c:pt idx="1176">
                <c:v>1.4983000000000002</c:v>
              </c:pt>
              <c:pt idx="1177">
                <c:v>-7.0699999999999999E-2</c:v>
              </c:pt>
              <c:pt idx="1178">
                <c:v>-0.53439999999999999</c:v>
              </c:pt>
              <c:pt idx="1179">
                <c:v>0.91979999999999995</c:v>
              </c:pt>
              <c:pt idx="1180">
                <c:v>3.6899999999999995E-2</c:v>
              </c:pt>
              <c:pt idx="1181">
                <c:v>0.30509999999999998</c:v>
              </c:pt>
              <c:pt idx="1182">
                <c:v>0.25269999999999998</c:v>
              </c:pt>
              <c:pt idx="1183">
                <c:v>-0.5171</c:v>
              </c:pt>
              <c:pt idx="1184">
                <c:v>-1.1900000000000001E-2</c:v>
              </c:pt>
              <c:pt idx="1185">
                <c:v>0.75329999999999997</c:v>
              </c:pt>
              <c:pt idx="1186">
                <c:v>0.81850000000000001</c:v>
              </c:pt>
              <c:pt idx="1187">
                <c:v>-0.50790000000000002</c:v>
              </c:pt>
              <c:pt idx="1188">
                <c:v>-0.40989999999999999</c:v>
              </c:pt>
              <c:pt idx="1189">
                <c:v>-1.1041999999999998</c:v>
              </c:pt>
              <c:pt idx="1190">
                <c:v>-0.1988</c:v>
              </c:pt>
              <c:pt idx="1191">
                <c:v>0.70130000000000003</c:v>
              </c:pt>
              <c:pt idx="1192">
                <c:v>1.133</c:v>
              </c:pt>
              <c:pt idx="1193">
                <c:v>1.6342000000000001</c:v>
              </c:pt>
              <c:pt idx="1194">
                <c:v>-8.0299999999999996E-2</c:v>
              </c:pt>
              <c:pt idx="1195">
                <c:v>-1.7884</c:v>
              </c:pt>
              <c:pt idx="1196">
                <c:v>-0.59240000000000004</c:v>
              </c:pt>
              <c:pt idx="1197">
                <c:v>-1.2322</c:v>
              </c:pt>
              <c:pt idx="1198">
                <c:v>-1.4410999999999998</c:v>
              </c:pt>
              <c:pt idx="1199">
                <c:v>0.15229999999999999</c:v>
              </c:pt>
              <c:pt idx="1200">
                <c:v>-1.1797</c:v>
              </c:pt>
              <c:pt idx="1201">
                <c:v>-0.41320000000000001</c:v>
              </c:pt>
              <c:pt idx="1202">
                <c:v>1.4810000000000001</c:v>
              </c:pt>
              <c:pt idx="1203">
                <c:v>-0.94510000000000005</c:v>
              </c:pt>
              <c:pt idx="1204">
                <c:v>1.6231000000000002</c:v>
              </c:pt>
              <c:pt idx="1205">
                <c:v>-0.14169999999999999</c:v>
              </c:pt>
              <c:pt idx="1206">
                <c:v>0.23630000000000001</c:v>
              </c:pt>
              <c:pt idx="1207">
                <c:v>-1.0167999999999999</c:v>
              </c:pt>
              <c:pt idx="1208">
                <c:v>-0.1699</c:v>
              </c:pt>
              <c:pt idx="1209">
                <c:v>1.1679000000000002</c:v>
              </c:pt>
              <c:pt idx="1210">
                <c:v>-1.0276999999999998</c:v>
              </c:pt>
              <c:pt idx="1211">
                <c:v>-0.93359999999999999</c:v>
              </c:pt>
              <c:pt idx="1212">
                <c:v>1.6974</c:v>
              </c:pt>
              <c:pt idx="1213">
                <c:v>-7.2700000000000001E-2</c:v>
              </c:pt>
              <c:pt idx="1214">
                <c:v>-1.8800000000000001E-2</c:v>
              </c:pt>
              <c:pt idx="1215">
                <c:v>-0.68479999999999996</c:v>
              </c:pt>
              <c:pt idx="1216">
                <c:v>0.65769999999999995</c:v>
              </c:pt>
              <c:pt idx="1217">
                <c:v>-1.3175999999999999</c:v>
              </c:pt>
              <c:pt idx="1218">
                <c:v>-1.3815999999999999</c:v>
              </c:pt>
              <c:pt idx="1219">
                <c:v>-0.1666</c:v>
              </c:pt>
              <c:pt idx="1220">
                <c:v>-1.2309999999999999</c:v>
              </c:pt>
              <c:pt idx="1221">
                <c:v>-0.9405</c:v>
              </c:pt>
              <c:pt idx="1222">
                <c:v>0.40899999999999997</c:v>
              </c:pt>
              <c:pt idx="1223">
                <c:v>1.3663000000000001</c:v>
              </c:pt>
              <c:pt idx="1224">
                <c:v>1.6331000000000002</c:v>
              </c:pt>
              <c:pt idx="1225">
                <c:v>-0.75529999999999997</c:v>
              </c:pt>
              <c:pt idx="1226">
                <c:v>0.29749999999999999</c:v>
              </c:pt>
              <c:pt idx="1227">
                <c:v>0.1245</c:v>
              </c:pt>
              <c:pt idx="1228">
                <c:v>0.27350000000000002</c:v>
              </c:pt>
              <c:pt idx="1229">
                <c:v>0.1011</c:v>
              </c:pt>
              <c:pt idx="1230">
                <c:v>0.46350000000000002</c:v>
              </c:pt>
              <c:pt idx="1231">
                <c:v>-6.0299999999999999E-2</c:v>
              </c:pt>
              <c:pt idx="1232">
                <c:v>-0.77859999999999996</c:v>
              </c:pt>
              <c:pt idx="1233">
                <c:v>-0.17100000000000001</c:v>
              </c:pt>
              <c:pt idx="1234">
                <c:v>0.69589999999999996</c:v>
              </c:pt>
              <c:pt idx="1235">
                <c:v>-2.7238000000000002</c:v>
              </c:pt>
              <c:pt idx="1236">
                <c:v>-0.48670000000000002</c:v>
              </c:pt>
              <c:pt idx="1237">
                <c:v>-1.0576999999999999</c:v>
              </c:pt>
              <c:pt idx="1238">
                <c:v>-1.7493999999999998</c:v>
              </c:pt>
              <c:pt idx="1239">
                <c:v>0.52929999999999999</c:v>
              </c:pt>
              <c:pt idx="1240">
                <c:v>-1.3491</c:v>
              </c:pt>
              <c:pt idx="1241">
                <c:v>-0.25969999999999999</c:v>
              </c:pt>
              <c:pt idx="1242">
                <c:v>0.71730000000000005</c:v>
              </c:pt>
              <c:pt idx="1243">
                <c:v>-1.0529999999999999</c:v>
              </c:pt>
              <c:pt idx="1244">
                <c:v>0.24379999999999999</c:v>
              </c:pt>
              <c:pt idx="1245">
                <c:v>0.62849999999999995</c:v>
              </c:pt>
              <c:pt idx="1246">
                <c:v>0.55489999999999995</c:v>
              </c:pt>
              <c:pt idx="1247">
                <c:v>-2.0059</c:v>
              </c:pt>
              <c:pt idx="1248">
                <c:v>-0.46010000000000001</c:v>
              </c:pt>
              <c:pt idx="1249">
                <c:v>1.1925000000000001</c:v>
              </c:pt>
              <c:pt idx="1250">
                <c:v>1.7602000000000002</c:v>
              </c:pt>
              <c:pt idx="1251">
                <c:v>-0.83589999999999998</c:v>
              </c:pt>
              <c:pt idx="1252">
                <c:v>0.26689999999999997</c:v>
              </c:pt>
              <c:pt idx="1253">
                <c:v>0.6986</c:v>
              </c:pt>
              <c:pt idx="1254">
                <c:v>2.1928000000000001</c:v>
              </c:pt>
              <c:pt idx="1255">
                <c:v>0.79339999999999999</c:v>
              </c:pt>
              <c:pt idx="1256">
                <c:v>0.14119999999999999</c:v>
              </c:pt>
              <c:pt idx="1257">
                <c:v>-0.31880000000000003</c:v>
              </c:pt>
              <c:pt idx="1258">
                <c:v>-0.8458</c:v>
              </c:pt>
              <c:pt idx="1259">
                <c:v>4.0499999999999994E-2</c:v>
              </c:pt>
              <c:pt idx="1260">
                <c:v>1.7854000000000001</c:v>
              </c:pt>
              <c:pt idx="1261">
                <c:v>2.35E-2</c:v>
              </c:pt>
              <c:pt idx="1262">
                <c:v>1.2121000000000002</c:v>
              </c:pt>
              <c:pt idx="1263">
                <c:v>0.1216</c:v>
              </c:pt>
              <c:pt idx="1264">
                <c:v>1.67E-2</c:v>
              </c:pt>
              <c:pt idx="1265">
                <c:v>9.2600000000000002E-2</c:v>
              </c:pt>
              <c:pt idx="1266">
                <c:v>-0.62619999999999998</c:v>
              </c:pt>
              <c:pt idx="1267">
                <c:v>0.99409999999999998</c:v>
              </c:pt>
              <c:pt idx="1268">
                <c:v>0.53700000000000003</c:v>
              </c:pt>
              <c:pt idx="1269">
                <c:v>0.87919999999999998</c:v>
              </c:pt>
              <c:pt idx="1270">
                <c:v>0.68240000000000001</c:v>
              </c:pt>
              <c:pt idx="1271">
                <c:v>0.78669999999999995</c:v>
              </c:pt>
              <c:pt idx="1272">
                <c:v>0.36509999999999998</c:v>
              </c:pt>
              <c:pt idx="1273">
                <c:v>0.18190000000000001</c:v>
              </c:pt>
              <c:pt idx="1274">
                <c:v>5.1999999999999998E-2</c:v>
              </c:pt>
              <c:pt idx="1275">
                <c:v>-0.35220000000000001</c:v>
              </c:pt>
              <c:pt idx="1276">
                <c:v>0.30449999999999999</c:v>
              </c:pt>
              <c:pt idx="1277">
                <c:v>0.52029999999999998</c:v>
              </c:pt>
              <c:pt idx="1278">
                <c:v>0.47549999999999998</c:v>
              </c:pt>
              <c:pt idx="1279">
                <c:v>-1.5781999999999998</c:v>
              </c:pt>
              <c:pt idx="1280">
                <c:v>1.0133000000000001</c:v>
              </c:pt>
              <c:pt idx="1281">
                <c:v>0.40310000000000001</c:v>
              </c:pt>
              <c:pt idx="1282">
                <c:v>0.86529999999999996</c:v>
              </c:pt>
              <c:pt idx="1283">
                <c:v>1.9599999999999999E-2</c:v>
              </c:pt>
              <c:pt idx="1284">
                <c:v>-0.31009999999999999</c:v>
              </c:pt>
              <c:pt idx="1285">
                <c:v>-0.22620000000000001</c:v>
              </c:pt>
              <c:pt idx="1286">
                <c:v>-0.26240000000000002</c:v>
              </c:pt>
              <c:pt idx="1287">
                <c:v>-0.44330000000000003</c:v>
              </c:pt>
              <c:pt idx="1288">
                <c:v>-0.1699</c:v>
              </c:pt>
              <c:pt idx="1289">
                <c:v>-0.84770000000000001</c:v>
              </c:pt>
              <c:pt idx="1290">
                <c:v>1.3764000000000001</c:v>
              </c:pt>
              <c:pt idx="1291">
                <c:v>8.6099999999999996E-2</c:v>
              </c:pt>
              <c:pt idx="1292">
                <c:v>-1.0061</c:v>
              </c:pt>
              <c:pt idx="1293">
                <c:v>-1.6831999999999998</c:v>
              </c:pt>
              <c:pt idx="1294">
                <c:v>-0.27410000000000001</c:v>
              </c:pt>
              <c:pt idx="1295">
                <c:v>0.5988</c:v>
              </c:pt>
              <c:pt idx="1296">
                <c:v>0.24360000000000001</c:v>
              </c:pt>
              <c:pt idx="1297">
                <c:v>-0.3705</c:v>
              </c:pt>
              <c:pt idx="1298">
                <c:v>1.4042000000000001</c:v>
              </c:pt>
              <c:pt idx="1299">
                <c:v>0.17749999999999999</c:v>
              </c:pt>
              <c:pt idx="1300">
                <c:v>0.37330000000000002</c:v>
              </c:pt>
              <c:pt idx="1301">
                <c:v>-0.39889999999999998</c:v>
              </c:pt>
              <c:pt idx="1302">
                <c:v>-0.37630000000000002</c:v>
              </c:pt>
              <c:pt idx="1303">
                <c:v>-1.3936999999999999</c:v>
              </c:pt>
              <c:pt idx="1304">
                <c:v>0.63119999999999998</c:v>
              </c:pt>
              <c:pt idx="1305">
                <c:v>-0.38769999999999999</c:v>
              </c:pt>
              <c:pt idx="1306">
                <c:v>0.28399999999999997</c:v>
              </c:pt>
              <c:pt idx="1307">
                <c:v>0.24540000000000001</c:v>
              </c:pt>
              <c:pt idx="1308">
                <c:v>-0.219</c:v>
              </c:pt>
              <c:pt idx="1309">
                <c:v>-1.0498999999999998</c:v>
              </c:pt>
              <c:pt idx="1310">
                <c:v>-1.1419999999999999</c:v>
              </c:pt>
              <c:pt idx="1311">
                <c:v>-1.0079999999999998</c:v>
              </c:pt>
              <c:pt idx="1312">
                <c:v>-1.3215999999999999</c:v>
              </c:pt>
              <c:pt idx="1313">
                <c:v>-0.21710000000000002</c:v>
              </c:pt>
              <c:pt idx="1314">
                <c:v>-0.26690000000000003</c:v>
              </c:pt>
              <c:pt idx="1315">
                <c:v>-0.18240000000000001</c:v>
              </c:pt>
              <c:pt idx="1316">
                <c:v>0.29730000000000001</c:v>
              </c:pt>
              <c:pt idx="1317">
                <c:v>-0.25750000000000001</c:v>
              </c:pt>
              <c:pt idx="1318">
                <c:v>-0.3417</c:v>
              </c:pt>
              <c:pt idx="1319">
                <c:v>-0.67569999999999997</c:v>
              </c:pt>
              <c:pt idx="1320">
                <c:v>0.1696</c:v>
              </c:pt>
              <c:pt idx="1321">
                <c:v>0.89629999999999999</c:v>
              </c:pt>
              <c:pt idx="1322">
                <c:v>0.2326</c:v>
              </c:pt>
              <c:pt idx="1323">
                <c:v>-0.78669999999999995</c:v>
              </c:pt>
              <c:pt idx="1324">
                <c:v>0.43180000000000002</c:v>
              </c:pt>
              <c:pt idx="1325">
                <c:v>2.585</c:v>
              </c:pt>
              <c:pt idx="1326">
                <c:v>-0.52900000000000003</c:v>
              </c:pt>
              <c:pt idx="1327">
                <c:v>1.1414000000000002</c:v>
              </c:pt>
              <c:pt idx="1328">
                <c:v>-2.7799999999999998E-2</c:v>
              </c:pt>
              <c:pt idx="1329">
                <c:v>0.82140000000000002</c:v>
              </c:pt>
              <c:pt idx="1330">
                <c:v>0.84709999999999996</c:v>
              </c:pt>
              <c:pt idx="1331">
                <c:v>-6.3E-3</c:v>
              </c:pt>
              <c:pt idx="1332">
                <c:v>0.7157</c:v>
              </c:pt>
              <c:pt idx="1333">
                <c:v>-0.48270000000000002</c:v>
              </c:pt>
              <c:pt idx="1334">
                <c:v>0.36259999999999998</c:v>
              </c:pt>
              <c:pt idx="1335">
                <c:v>4.5999999999999999E-2</c:v>
              </c:pt>
              <c:pt idx="1336">
                <c:v>6.1499999999999999E-2</c:v>
              </c:pt>
              <c:pt idx="1337">
                <c:v>0.95540000000000003</c:v>
              </c:pt>
              <c:pt idx="1338">
                <c:v>0.40610000000000002</c:v>
              </c:pt>
              <c:pt idx="1339">
                <c:v>-2.0811999999999999</c:v>
              </c:pt>
              <c:pt idx="1340">
                <c:v>0.46329999999999999</c:v>
              </c:pt>
              <c:pt idx="1341">
                <c:v>0.34910000000000002</c:v>
              </c:pt>
              <c:pt idx="1342">
                <c:v>-1.3155999999999999</c:v>
              </c:pt>
              <c:pt idx="1343">
                <c:v>0.86370000000000002</c:v>
              </c:pt>
              <c:pt idx="1344">
                <c:v>0.66979999999999995</c:v>
              </c:pt>
              <c:pt idx="1345">
                <c:v>0.67789999999999995</c:v>
              </c:pt>
              <c:pt idx="1346">
                <c:v>0.3579</c:v>
              </c:pt>
              <c:pt idx="1347">
                <c:v>-0.45800000000000002</c:v>
              </c:pt>
              <c:pt idx="1348">
                <c:v>-2.3313999999999999</c:v>
              </c:pt>
              <c:pt idx="1349">
                <c:v>-0.217</c:v>
              </c:pt>
              <c:pt idx="1350">
                <c:v>0.54690000000000005</c:v>
              </c:pt>
              <c:pt idx="1351">
                <c:v>0.94540000000000002</c:v>
              </c:pt>
              <c:pt idx="1352">
                <c:v>0.92459999999999998</c:v>
              </c:pt>
              <c:pt idx="1353">
                <c:v>0.82050000000000001</c:v>
              </c:pt>
              <c:pt idx="1354">
                <c:v>0.25230000000000002</c:v>
              </c:pt>
              <c:pt idx="1355">
                <c:v>-0.51239999999999997</c:v>
              </c:pt>
              <c:pt idx="1356">
                <c:v>-1.6259999999999999</c:v>
              </c:pt>
              <c:pt idx="1357">
                <c:v>0.75390000000000001</c:v>
              </c:pt>
              <c:pt idx="1358">
                <c:v>1.6675000000000002</c:v>
              </c:pt>
              <c:pt idx="1359">
                <c:v>0.62090000000000001</c:v>
              </c:pt>
              <c:pt idx="1360">
                <c:v>0.18110000000000001</c:v>
              </c:pt>
              <c:pt idx="1361">
                <c:v>9.4199999999999992E-2</c:v>
              </c:pt>
              <c:pt idx="1362">
                <c:v>0.93420000000000003</c:v>
              </c:pt>
              <c:pt idx="1363">
                <c:v>0.64700000000000002</c:v>
              </c:pt>
              <c:pt idx="1364">
                <c:v>0.29249999999999998</c:v>
              </c:pt>
              <c:pt idx="1365">
                <c:v>-0.3044</c:v>
              </c:pt>
              <c:pt idx="1366">
                <c:v>0.53820000000000001</c:v>
              </c:pt>
              <c:pt idx="1367">
                <c:v>-0.48360000000000003</c:v>
              </c:pt>
              <c:pt idx="1368">
                <c:v>-0.24149999999999999</c:v>
              </c:pt>
              <c:pt idx="1369">
                <c:v>0.36470000000000002</c:v>
              </c:pt>
              <c:pt idx="1370">
                <c:v>0.42380000000000001</c:v>
              </c:pt>
              <c:pt idx="1371">
                <c:v>0.1431</c:v>
              </c:pt>
              <c:pt idx="1372">
                <c:v>-1.0243</c:v>
              </c:pt>
              <c:pt idx="1373">
                <c:v>1.0632000000000001</c:v>
              </c:pt>
              <c:pt idx="1374">
                <c:v>-0.13470000000000001</c:v>
              </c:pt>
              <c:pt idx="1375">
                <c:v>-0.74509999999999998</c:v>
              </c:pt>
              <c:pt idx="1376">
                <c:v>0.25219999999999998</c:v>
              </c:pt>
              <c:pt idx="1377">
                <c:v>0.74119999999999997</c:v>
              </c:pt>
              <c:pt idx="1378">
                <c:v>0.63439999999999996</c:v>
              </c:pt>
              <c:pt idx="1379">
                <c:v>4.9699999999999994E-2</c:v>
              </c:pt>
              <c:pt idx="1380">
                <c:v>0.49099999999999999</c:v>
              </c:pt>
              <c:pt idx="1381">
                <c:v>-0.75129999999999997</c:v>
              </c:pt>
              <c:pt idx="1382">
                <c:v>0.2</c:v>
              </c:pt>
              <c:pt idx="1383">
                <c:v>-2.35E-2</c:v>
              </c:pt>
              <c:pt idx="1384">
                <c:v>-0.4209</c:v>
              </c:pt>
              <c:pt idx="1385">
                <c:v>7.7499999999999999E-2</c:v>
              </c:pt>
              <c:pt idx="1386">
                <c:v>4.9599999999999998E-2</c:v>
              </c:pt>
              <c:pt idx="1387">
                <c:v>-0.97489999999999999</c:v>
              </c:pt>
              <c:pt idx="1388">
                <c:v>-0.58540000000000003</c:v>
              </c:pt>
              <c:pt idx="1389">
                <c:v>0.54239999999999999</c:v>
              </c:pt>
              <c:pt idx="1390">
                <c:v>-0.1532</c:v>
              </c:pt>
              <c:pt idx="1391">
                <c:v>1.0789000000000002</c:v>
              </c:pt>
              <c:pt idx="1392">
                <c:v>0.17510000000000001</c:v>
              </c:pt>
              <c:pt idx="1393">
                <c:v>-0.23930000000000001</c:v>
              </c:pt>
              <c:pt idx="1394">
                <c:v>1.2999999999999999E-3</c:v>
              </c:pt>
              <c:pt idx="1395">
                <c:v>-0.46189999999999998</c:v>
              </c:pt>
              <c:pt idx="1396">
                <c:v>-0.75229999999999997</c:v>
              </c:pt>
              <c:pt idx="1397">
                <c:v>-0.1542</c:v>
              </c:pt>
              <c:pt idx="1398">
                <c:v>1.1319000000000001</c:v>
              </c:pt>
              <c:pt idx="1399">
                <c:v>1.0009000000000001</c:v>
              </c:pt>
              <c:pt idx="1400">
                <c:v>0.83450000000000002</c:v>
              </c:pt>
              <c:pt idx="1401">
                <c:v>3.8199999999999998E-2</c:v>
              </c:pt>
              <c:pt idx="1402">
                <c:v>-1.0667</c:v>
              </c:pt>
              <c:pt idx="1403">
                <c:v>-1.2235999999999998</c:v>
              </c:pt>
              <c:pt idx="1404">
                <c:v>-1.1877</c:v>
              </c:pt>
              <c:pt idx="1405">
                <c:v>-7.2700000000000001E-2</c:v>
              </c:pt>
              <c:pt idx="1406">
                <c:v>-0.43490000000000001</c:v>
              </c:pt>
              <c:pt idx="1407">
                <c:v>2.7728999999999999</c:v>
              </c:pt>
              <c:pt idx="1408">
                <c:v>9.1999999999999998E-2</c:v>
              </c:pt>
              <c:pt idx="1409">
                <c:v>0.7248</c:v>
              </c:pt>
              <c:pt idx="1410">
                <c:v>7.0199999999999999E-2</c:v>
              </c:pt>
              <c:pt idx="1411">
                <c:v>0.53010000000000002</c:v>
              </c:pt>
              <c:pt idx="1412">
                <c:v>-0.97819999999999996</c:v>
              </c:pt>
              <c:pt idx="1413">
                <c:v>0.82430000000000003</c:v>
              </c:pt>
              <c:pt idx="1414">
                <c:v>-1.1316999999999999</c:v>
              </c:pt>
              <c:pt idx="1415">
                <c:v>0.72899999999999998</c:v>
              </c:pt>
              <c:pt idx="1416">
                <c:v>0.57540000000000002</c:v>
              </c:pt>
              <c:pt idx="1417">
                <c:v>-0.1699</c:v>
              </c:pt>
              <c:pt idx="1418">
                <c:v>0.12670000000000001</c:v>
              </c:pt>
              <c:pt idx="1419">
                <c:v>-0.20250000000000001</c:v>
              </c:pt>
              <c:pt idx="1420">
                <c:v>-0.50059999999999993</c:v>
              </c:pt>
              <c:pt idx="1421">
                <c:v>0.35189999999999999</c:v>
              </c:pt>
              <c:pt idx="1422">
                <c:v>-0.36499999999999999</c:v>
              </c:pt>
              <c:pt idx="1423">
                <c:v>-0.59050000000000002</c:v>
              </c:pt>
              <c:pt idx="1424">
                <c:v>0.11749999999999999</c:v>
              </c:pt>
              <c:pt idx="1425">
                <c:v>0.50090000000000001</c:v>
              </c:pt>
              <c:pt idx="1426">
                <c:v>0.66069999999999995</c:v>
              </c:pt>
              <c:pt idx="1427">
                <c:v>0.35449999999999998</c:v>
              </c:pt>
              <c:pt idx="1428">
                <c:v>-0.1176</c:v>
              </c:pt>
              <c:pt idx="1429">
                <c:v>0.16800000000000001</c:v>
              </c:pt>
              <c:pt idx="1430">
                <c:v>0.67210000000000003</c:v>
              </c:pt>
              <c:pt idx="1431">
                <c:v>-0.25259999999999999</c:v>
              </c:pt>
              <c:pt idx="1432">
                <c:v>-0.67500000000000004</c:v>
              </c:pt>
              <c:pt idx="1433">
                <c:v>7.6200000000000004E-2</c:v>
              </c:pt>
              <c:pt idx="1434">
                <c:v>-0.1837</c:v>
              </c:pt>
              <c:pt idx="1435">
                <c:v>-0.19070000000000001</c:v>
              </c:pt>
              <c:pt idx="1436">
                <c:v>-1.4548999999999999</c:v>
              </c:pt>
              <c:pt idx="1437">
                <c:v>-0.79139999999999999</c:v>
              </c:pt>
              <c:pt idx="1438">
                <c:v>6.7000000000000002E-3</c:v>
              </c:pt>
              <c:pt idx="1439">
                <c:v>1.33</c:v>
              </c:pt>
              <c:pt idx="1440">
                <c:v>0.29680000000000001</c:v>
              </c:pt>
              <c:pt idx="1441">
                <c:v>-3.0233000000000003</c:v>
              </c:pt>
              <c:pt idx="1442">
                <c:v>2.3068999999999997</c:v>
              </c:pt>
              <c:pt idx="1443">
                <c:v>-2.1502000000000003</c:v>
              </c:pt>
              <c:pt idx="1444">
                <c:v>-0.19700000000000001</c:v>
              </c:pt>
              <c:pt idx="1445">
                <c:v>-0.1079</c:v>
              </c:pt>
              <c:pt idx="1446">
                <c:v>0.34560000000000002</c:v>
              </c:pt>
              <c:pt idx="1447">
                <c:v>0.36499999999999999</c:v>
              </c:pt>
              <c:pt idx="1448">
                <c:v>0.14729999999999999</c:v>
              </c:pt>
              <c:pt idx="1449">
                <c:v>0.35509999999999997</c:v>
              </c:pt>
              <c:pt idx="1450">
                <c:v>1.0125000000000002</c:v>
              </c:pt>
              <c:pt idx="1451">
                <c:v>0.48670000000000002</c:v>
              </c:pt>
              <c:pt idx="1452">
                <c:v>-0.28799999999999998</c:v>
              </c:pt>
              <c:pt idx="1453">
                <c:v>7.2999999999999995E-2</c:v>
              </c:pt>
              <c:pt idx="1454">
                <c:v>0.68430000000000002</c:v>
              </c:pt>
              <c:pt idx="1455">
                <c:v>-0.32729999999999998</c:v>
              </c:pt>
              <c:pt idx="1456">
                <c:v>0.52139999999999997</c:v>
              </c:pt>
              <c:pt idx="1457">
                <c:v>0.24360000000000001</c:v>
              </c:pt>
              <c:pt idx="1458">
                <c:v>-0.80549999999999999</c:v>
              </c:pt>
              <c:pt idx="1459">
                <c:v>-0.31719999999999998</c:v>
              </c:pt>
              <c:pt idx="1460">
                <c:v>0.97589999999999999</c:v>
              </c:pt>
              <c:pt idx="1461">
                <c:v>0.13869999999999999</c:v>
              </c:pt>
              <c:pt idx="1462">
                <c:v>1.1984000000000001</c:v>
              </c:pt>
              <c:pt idx="1463">
                <c:v>0.1762</c:v>
              </c:pt>
              <c:pt idx="1464">
                <c:v>-0.45910000000000001</c:v>
              </c:pt>
              <c:pt idx="1465">
                <c:v>0.34079999999999999</c:v>
              </c:pt>
              <c:pt idx="1466">
                <c:v>-0.14830000000000002</c:v>
              </c:pt>
              <c:pt idx="1467">
                <c:v>-9.0200000000000002E-2</c:v>
              </c:pt>
              <c:pt idx="1468">
                <c:v>-0.36230000000000001</c:v>
              </c:pt>
              <c:pt idx="1469">
                <c:v>-0.94520000000000004</c:v>
              </c:pt>
              <c:pt idx="1470">
                <c:v>3.04E-2</c:v>
              </c:pt>
              <c:pt idx="1471">
                <c:v>-0.41660000000000003</c:v>
              </c:pt>
              <c:pt idx="1472">
                <c:v>-0.93640000000000001</c:v>
              </c:pt>
              <c:pt idx="1473">
                <c:v>-0.44380000000000003</c:v>
              </c:pt>
              <c:pt idx="1474">
                <c:v>0.3478</c:v>
              </c:pt>
              <c:pt idx="1475">
                <c:v>-1.6899999999999998E-2</c:v>
              </c:pt>
              <c:pt idx="1476">
                <c:v>1.0033000000000001</c:v>
              </c:pt>
              <c:pt idx="1477">
                <c:v>-0.52939999999999998</c:v>
              </c:pt>
              <c:pt idx="1478">
                <c:v>1.0880000000000001</c:v>
              </c:pt>
              <c:pt idx="1479">
                <c:v>0.20619999999999999</c:v>
              </c:pt>
              <c:pt idx="1480">
                <c:v>0.1487</c:v>
              </c:pt>
              <c:pt idx="1481">
                <c:v>0.76049999999999995</c:v>
              </c:pt>
              <c:pt idx="1482">
                <c:v>0.14729999999999999</c:v>
              </c:pt>
              <c:pt idx="1483">
                <c:v>-0.32150000000000001</c:v>
              </c:pt>
              <c:pt idx="1484">
                <c:v>7.4299999999999991E-2</c:v>
              </c:pt>
              <c:pt idx="1485">
                <c:v>-4.4700000000000004E-2</c:v>
              </c:pt>
              <c:pt idx="1486">
                <c:v>0.68410000000000004</c:v>
              </c:pt>
              <c:pt idx="1487">
                <c:v>-0.3367</c:v>
              </c:pt>
              <c:pt idx="1488">
                <c:v>-0.92959999999999998</c:v>
              </c:pt>
              <c:pt idx="1489">
                <c:v>0.66410000000000002</c:v>
              </c:pt>
              <c:pt idx="1490">
                <c:v>-0.13739999999999999</c:v>
              </c:pt>
              <c:pt idx="1491">
                <c:v>-0.2586</c:v>
              </c:pt>
              <c:pt idx="1492">
                <c:v>0.1401</c:v>
              </c:pt>
              <c:pt idx="1493">
                <c:v>0.98429999999999995</c:v>
              </c:pt>
              <c:pt idx="1494">
                <c:v>0.25030000000000002</c:v>
              </c:pt>
              <c:pt idx="1495">
                <c:v>-0.2041</c:v>
              </c:pt>
              <c:pt idx="1496">
                <c:v>0.27860000000000001</c:v>
              </c:pt>
              <c:pt idx="1497">
                <c:v>0.86519999999999997</c:v>
              </c:pt>
              <c:pt idx="1498">
                <c:v>0.1704</c:v>
              </c:pt>
              <c:pt idx="1499">
                <c:v>-0.12140000000000001</c:v>
              </c:pt>
              <c:pt idx="1500">
                <c:v>0.48759999999999998</c:v>
              </c:pt>
              <c:pt idx="1501">
                <c:v>0.7802</c:v>
              </c:pt>
              <c:pt idx="1502">
                <c:v>0.4587</c:v>
              </c:pt>
              <c:pt idx="1503">
                <c:v>8.4099999999999994E-2</c:v>
              </c:pt>
              <c:pt idx="1504">
                <c:v>0.82679999999999998</c:v>
              </c:pt>
              <c:pt idx="1505">
                <c:v>-0.29430000000000001</c:v>
              </c:pt>
              <c:pt idx="1506">
                <c:v>-0.1207</c:v>
              </c:pt>
              <c:pt idx="1507">
                <c:v>0.20330000000000001</c:v>
              </c:pt>
              <c:pt idx="1508">
                <c:v>-0.27660000000000001</c:v>
              </c:pt>
              <c:pt idx="1509">
                <c:v>0.107</c:v>
              </c:pt>
              <c:pt idx="1510">
                <c:v>0.14899999999999999</c:v>
              </c:pt>
              <c:pt idx="1511">
                <c:v>-9.9900000000000003E-2</c:v>
              </c:pt>
              <c:pt idx="1512">
                <c:v>-0.19600000000000001</c:v>
              </c:pt>
              <c:pt idx="1513">
                <c:v>-0.7823</c:v>
              </c:pt>
              <c:pt idx="1514">
                <c:v>0.17280000000000001</c:v>
              </c:pt>
              <c:pt idx="1515">
                <c:v>-0.45379999999999998</c:v>
              </c:pt>
              <c:pt idx="1516">
                <c:v>0.35310000000000002</c:v>
              </c:pt>
              <c:pt idx="1517">
                <c:v>0.56789999999999996</c:v>
              </c:pt>
              <c:pt idx="1518">
                <c:v>0.15479999999999999</c:v>
              </c:pt>
              <c:pt idx="1519">
                <c:v>-0.98009999999999997</c:v>
              </c:pt>
              <c:pt idx="1520">
                <c:v>-0.3216</c:v>
              </c:pt>
              <c:pt idx="1521">
                <c:v>0.71579999999999999</c:v>
              </c:pt>
              <c:pt idx="1522">
                <c:v>0.47920000000000001</c:v>
              </c:pt>
              <c:pt idx="1523">
                <c:v>-4.3000000000000003E-2</c:v>
              </c:pt>
              <c:pt idx="1524">
                <c:v>0.99319999999999997</c:v>
              </c:pt>
              <c:pt idx="1525">
                <c:v>0.7147</c:v>
              </c:pt>
              <c:pt idx="1526">
                <c:v>4.02E-2</c:v>
              </c:pt>
              <c:pt idx="1527">
                <c:v>0.59560000000000002</c:v>
              </c:pt>
              <c:pt idx="1528">
                <c:v>-0.50390000000000001</c:v>
              </c:pt>
              <c:pt idx="1529">
                <c:v>7.8399999999999997E-2</c:v>
              </c:pt>
              <c:pt idx="1530">
                <c:v>-0.28289999999999998</c:v>
              </c:pt>
              <c:pt idx="1531">
                <c:v>-0.26800000000000002</c:v>
              </c:pt>
              <c:pt idx="1532">
                <c:v>-6.2000000000000006E-3</c:v>
              </c:pt>
              <c:pt idx="1533">
                <c:v>-0.2077</c:v>
              </c:pt>
              <c:pt idx="1534">
                <c:v>-8.5199999999999998E-2</c:v>
              </c:pt>
              <c:pt idx="1535">
                <c:v>-0.37559999999999999</c:v>
              </c:pt>
              <c:pt idx="1536">
                <c:v>1.3933000000000002</c:v>
              </c:pt>
              <c:pt idx="1537">
                <c:v>-0.52380000000000004</c:v>
              </c:pt>
              <c:pt idx="1538">
                <c:v>-0.25009999999999999</c:v>
              </c:pt>
              <c:pt idx="1539">
                <c:v>8.9799999999999991E-2</c:v>
              </c:pt>
              <c:pt idx="1540">
                <c:v>-0.51139999999999997</c:v>
              </c:pt>
              <c:pt idx="1541">
                <c:v>-0.153</c:v>
              </c:pt>
              <c:pt idx="1542">
                <c:v>0.1903</c:v>
              </c:pt>
              <c:pt idx="1543">
                <c:v>-1.0632999999999999</c:v>
              </c:pt>
              <c:pt idx="1544">
                <c:v>-0.17300000000000001</c:v>
              </c:pt>
              <c:pt idx="1545">
                <c:v>0.30690000000000001</c:v>
              </c:pt>
              <c:pt idx="1546">
                <c:v>-1.103</c:v>
              </c:pt>
              <c:pt idx="1547">
                <c:v>-7.8200000000000006E-2</c:v>
              </c:pt>
              <c:pt idx="1548">
                <c:v>0.87270000000000003</c:v>
              </c:pt>
              <c:pt idx="1549">
                <c:v>2.5999999999999999E-3</c:v>
              </c:pt>
              <c:pt idx="1550">
                <c:v>1.2625000000000002</c:v>
              </c:pt>
              <c:pt idx="1551">
                <c:v>0.1467</c:v>
              </c:pt>
              <c:pt idx="1552">
                <c:v>3.9299999999999995E-2</c:v>
              </c:pt>
              <c:pt idx="1553">
                <c:v>0.1123</c:v>
              </c:pt>
              <c:pt idx="1554">
                <c:v>0.69620000000000004</c:v>
              </c:pt>
              <c:pt idx="1555">
                <c:v>0.13830000000000001</c:v>
              </c:pt>
              <c:pt idx="1556">
                <c:v>0.1206</c:v>
              </c:pt>
              <c:pt idx="1557">
                <c:v>-0.6845</c:v>
              </c:pt>
              <c:pt idx="1558">
                <c:v>0.37319999999999998</c:v>
              </c:pt>
              <c:pt idx="1559">
                <c:v>-0.2223</c:v>
              </c:pt>
              <c:pt idx="1560">
                <c:v>0.52849999999999997</c:v>
              </c:pt>
              <c:pt idx="1561">
                <c:v>0.3291</c:v>
              </c:pt>
              <c:pt idx="1562">
                <c:v>-0.1497</c:v>
              </c:pt>
              <c:pt idx="1563">
                <c:v>0.49640000000000001</c:v>
              </c:pt>
              <c:pt idx="1564">
                <c:v>-5.6100000000000004E-2</c:v>
              </c:pt>
              <c:pt idx="1565">
                <c:v>-0.18080000000000002</c:v>
              </c:pt>
              <c:pt idx="1566">
                <c:v>-0.4456</c:v>
              </c:pt>
              <c:pt idx="1567">
                <c:v>-0.22220000000000001</c:v>
              </c:pt>
            </c:numLit>
          </c:xVal>
          <c:yVal>
            <c:numLit>
              <c:formatCode>General</c:formatCode>
              <c:ptCount val="1568"/>
              <c:pt idx="0">
                <c:v>-0.58350243517069678</c:v>
              </c:pt>
              <c:pt idx="1">
                <c:v>0.41481218850407953</c:v>
              </c:pt>
              <c:pt idx="2">
                <c:v>-0.17892453480482451</c:v>
              </c:pt>
              <c:pt idx="3">
                <c:v>1.1697442061315309</c:v>
              </c:pt>
              <c:pt idx="4">
                <c:v>3.2826322377257915</c:v>
              </c:pt>
              <c:pt idx="5">
                <c:v>1.8016121848514688</c:v>
              </c:pt>
              <c:pt idx="6">
                <c:v>-1.0896453681586173</c:v>
              </c:pt>
              <c:pt idx="7">
                <c:v>4.5536250196143602E-2</c:v>
              </c:pt>
              <c:pt idx="8">
                <c:v>-0.60457693374766641</c:v>
              </c:pt>
              <c:pt idx="9">
                <c:v>0.23343494502034323</c:v>
              </c:pt>
              <c:pt idx="10">
                <c:v>1.844551436179465</c:v>
              </c:pt>
              <c:pt idx="11">
                <c:v>0.45783297328782568</c:v>
              </c:pt>
              <c:pt idx="12">
                <c:v>0.27282533848828527</c:v>
              </c:pt>
              <c:pt idx="13">
                <c:v>-1.3612570953916587</c:v>
              </c:pt>
              <c:pt idx="14">
                <c:v>-1.6184088241251731</c:v>
              </c:pt>
              <c:pt idx="15">
                <c:v>0.94351579987543588</c:v>
              </c:pt>
              <c:pt idx="16">
                <c:v>-1.0116168006929731</c:v>
              </c:pt>
              <c:pt idx="17">
                <c:v>-1.3976788485188074</c:v>
              </c:pt>
              <c:pt idx="18">
                <c:v>0.15679206899379949</c:v>
              </c:pt>
              <c:pt idx="19">
                <c:v>0.85600656176602052</c:v>
              </c:pt>
              <c:pt idx="20">
                <c:v>-0.71368317245042556</c:v>
              </c:pt>
              <c:pt idx="21">
                <c:v>-1.0661330700285587</c:v>
              </c:pt>
              <c:pt idx="22">
                <c:v>-0.42097423849705518</c:v>
              </c:pt>
              <c:pt idx="23">
                <c:v>1.9789130295975375</c:v>
              </c:pt>
              <c:pt idx="24">
                <c:v>0.48511954817131775</c:v>
              </c:pt>
              <c:pt idx="25">
                <c:v>-0.53774488581322144</c:v>
              </c:pt>
              <c:pt idx="26">
                <c:v>-0.51122635628562474</c:v>
              </c:pt>
              <c:pt idx="27">
                <c:v>0.85250282679733003</c:v>
              </c:pt>
              <c:pt idx="28">
                <c:v>-1.4132213900823127</c:v>
              </c:pt>
              <c:pt idx="29">
                <c:v>0.53224746971265735</c:v>
              </c:pt>
              <c:pt idx="30">
                <c:v>0.79495771249443892</c:v>
              </c:pt>
              <c:pt idx="31">
                <c:v>-0.29316964308574534</c:v>
              </c:pt>
              <c:pt idx="32">
                <c:v>-0.94431268032183802</c:v>
              </c:pt>
              <c:pt idx="33">
                <c:v>-0.82432058294845922</c:v>
              </c:pt>
              <c:pt idx="34">
                <c:v>-0.4443274748807442</c:v>
              </c:pt>
              <c:pt idx="35">
                <c:v>-0.10355967908887664</c:v>
              </c:pt>
              <c:pt idx="36">
                <c:v>-1.0224409969402033</c:v>
              </c:pt>
              <c:pt idx="37">
                <c:v>0.74641346337288639</c:v>
              </c:pt>
              <c:pt idx="38">
                <c:v>-0.43682691494155901</c:v>
              </c:pt>
              <c:pt idx="39">
                <c:v>0.33817967155143003</c:v>
              </c:pt>
              <c:pt idx="40">
                <c:v>-0.24104752647181577</c:v>
              </c:pt>
              <c:pt idx="41">
                <c:v>2.7995142341634249E-2</c:v>
              </c:pt>
              <c:pt idx="42">
                <c:v>0.18554485936105669</c:v>
              </c:pt>
              <c:pt idx="43">
                <c:v>0.97714263678126034</c:v>
              </c:pt>
              <c:pt idx="44">
                <c:v>0.38515377031265441</c:v>
              </c:pt>
              <c:pt idx="45">
                <c:v>-0.54486354259076275</c:v>
              </c:pt>
              <c:pt idx="46">
                <c:v>-1.1305727697423462</c:v>
              </c:pt>
              <c:pt idx="47">
                <c:v>-0.23909490461932892</c:v>
              </c:pt>
              <c:pt idx="48">
                <c:v>-1.4190867863953072E-2</c:v>
              </c:pt>
              <c:pt idx="49">
                <c:v>-1.181593719388252</c:v>
              </c:pt>
              <c:pt idx="50">
                <c:v>-0.40926831856078322</c:v>
              </c:pt>
              <c:pt idx="51">
                <c:v>0.5349481422913448</c:v>
              </c:pt>
              <c:pt idx="52">
                <c:v>2.0488569416895492</c:v>
              </c:pt>
              <c:pt idx="53">
                <c:v>0.3887066660141929</c:v>
              </c:pt>
              <c:pt idx="54">
                <c:v>-0.9181851308557516</c:v>
              </c:pt>
              <c:pt idx="55">
                <c:v>-1.4220127809173997</c:v>
              </c:pt>
              <c:pt idx="56">
                <c:v>-0.12083439948938229</c:v>
              </c:pt>
              <c:pt idx="57">
                <c:v>-0.2097873364557459</c:v>
              </c:pt>
              <c:pt idx="58">
                <c:v>1.1331238454485526</c:v>
              </c:pt>
              <c:pt idx="59">
                <c:v>-0.83216704003936581</c:v>
              </c:pt>
              <c:pt idx="60">
                <c:v>0.15470524326302865</c:v>
              </c:pt>
              <c:pt idx="61">
                <c:v>-2.3939107388963143</c:v>
              </c:pt>
              <c:pt idx="62">
                <c:v>0.37469657841998982</c:v>
              </c:pt>
              <c:pt idx="63">
                <c:v>0.17587870083866808</c:v>
              </c:pt>
              <c:pt idx="64">
                <c:v>-1.6382655203452503</c:v>
              </c:pt>
              <c:pt idx="65">
                <c:v>0.13761881260928344</c:v>
              </c:pt>
              <c:pt idx="66">
                <c:v>-0.3152200169873039</c:v>
              </c:pt>
              <c:pt idx="67">
                <c:v>-0.41276604869419109</c:v>
              </c:pt>
              <c:pt idx="68">
                <c:v>0.16827588199072263</c:v>
              </c:pt>
              <c:pt idx="69">
                <c:v>-0.59652795357352972</c:v>
              </c:pt>
              <c:pt idx="70">
                <c:v>6.4222011923811995E-2</c:v>
              </c:pt>
              <c:pt idx="71">
                <c:v>-0.69048477576030054</c:v>
              </c:pt>
              <c:pt idx="72">
                <c:v>-3.9821001027257351E-2</c:v>
              </c:pt>
              <c:pt idx="73">
                <c:v>1.4844000782379529</c:v>
              </c:pt>
              <c:pt idx="74">
                <c:v>0.99546182190774213</c:v>
              </c:pt>
              <c:pt idx="75">
                <c:v>0.60647185984578966</c:v>
              </c:pt>
              <c:pt idx="76">
                <c:v>2.5870638069674512</c:v>
              </c:pt>
              <c:pt idx="77">
                <c:v>-1.1662466127204305</c:v>
              </c:pt>
              <c:pt idx="78">
                <c:v>0.39212587414244726</c:v>
              </c:pt>
              <c:pt idx="79">
                <c:v>0.7057681915130567</c:v>
              </c:pt>
              <c:pt idx="80">
                <c:v>-0.12648490666285594</c:v>
              </c:pt>
              <c:pt idx="81">
                <c:v>-1.389846063739077</c:v>
              </c:pt>
              <c:pt idx="82">
                <c:v>0.76637920983844698</c:v>
              </c:pt>
              <c:pt idx="83">
                <c:v>0.69327634133434624</c:v>
              </c:pt>
              <c:pt idx="84">
                <c:v>0.52510015583174208</c:v>
              </c:pt>
              <c:pt idx="85">
                <c:v>-0.22148499630058605</c:v>
              </c:pt>
              <c:pt idx="86">
                <c:v>1.2028454046897994</c:v>
              </c:pt>
              <c:pt idx="87">
                <c:v>-1.2271431722332038</c:v>
              </c:pt>
              <c:pt idx="88">
                <c:v>0.44221110752117487</c:v>
              </c:pt>
              <c:pt idx="89">
                <c:v>1.0258814760524284</c:v>
              </c:pt>
              <c:pt idx="90">
                <c:v>0.52794512718813735</c:v>
              </c:pt>
              <c:pt idx="91">
                <c:v>-0.58813140373533679</c:v>
              </c:pt>
              <c:pt idx="92">
                <c:v>-9.8919129890301494E-2</c:v>
              </c:pt>
              <c:pt idx="93">
                <c:v>-1.2537112915302779</c:v>
              </c:pt>
              <c:pt idx="94">
                <c:v>-0.61496467688243328</c:v>
              </c:pt>
              <c:pt idx="95">
                <c:v>1.2307757087372333</c:v>
              </c:pt>
              <c:pt idx="96">
                <c:v>-2.4868115000300506E-2</c:v>
              </c:pt>
              <c:pt idx="97">
                <c:v>-0.58693133709937939</c:v>
              </c:pt>
              <c:pt idx="98">
                <c:v>1.9271468421374616E-2</c:v>
              </c:pt>
              <c:pt idx="99">
                <c:v>0.29271804545700464</c:v>
              </c:pt>
              <c:pt idx="100">
                <c:v>0.18274516351710135</c:v>
              </c:pt>
              <c:pt idx="101">
                <c:v>0.53755291223939494</c:v>
              </c:pt>
              <c:pt idx="102">
                <c:v>-0.7681286758083723</c:v>
              </c:pt>
              <c:pt idx="103">
                <c:v>-0.14261378065390451</c:v>
              </c:pt>
              <c:pt idx="104">
                <c:v>0.70895451920188046</c:v>
              </c:pt>
              <c:pt idx="105">
                <c:v>0.44295097683584128</c:v>
              </c:pt>
              <c:pt idx="106">
                <c:v>0.94390806813294437</c:v>
              </c:pt>
              <c:pt idx="107">
                <c:v>0.2103681854910866</c:v>
              </c:pt>
              <c:pt idx="108">
                <c:v>-1.5735956135269802</c:v>
              </c:pt>
              <c:pt idx="109">
                <c:v>2.2314948611873615</c:v>
              </c:pt>
              <c:pt idx="110">
                <c:v>0.38552678789383255</c:v>
              </c:pt>
              <c:pt idx="111">
                <c:v>-1.5674111909347164</c:v>
              </c:pt>
              <c:pt idx="112">
                <c:v>-0.44961887539041212</c:v>
              </c:pt>
              <c:pt idx="113">
                <c:v>-1.3921695934295899</c:v>
              </c:pt>
              <c:pt idx="114">
                <c:v>-0.88831554517332811</c:v>
              </c:pt>
              <c:pt idx="115">
                <c:v>0.89852964672335234</c:v>
              </c:pt>
              <c:pt idx="116">
                <c:v>1.2821679163807544</c:v>
              </c:pt>
              <c:pt idx="117">
                <c:v>1.9971558059104666E-2</c:v>
              </c:pt>
              <c:pt idx="118">
                <c:v>-0.35930162201487337</c:v>
              </c:pt>
              <c:pt idx="119">
                <c:v>0.44182337406098893</c:v>
              </c:pt>
              <c:pt idx="120">
                <c:v>-0.60427637143912161</c:v>
              </c:pt>
              <c:pt idx="121">
                <c:v>-1.1249809838302336</c:v>
              </c:pt>
              <c:pt idx="122">
                <c:v>-1.0901002222654812</c:v>
              </c:pt>
              <c:pt idx="123">
                <c:v>1.4795202147280349</c:v>
              </c:pt>
              <c:pt idx="124">
                <c:v>-0.67319265775450909</c:v>
              </c:pt>
              <c:pt idx="125">
                <c:v>0.78005812089865589</c:v>
              </c:pt>
              <c:pt idx="126">
                <c:v>2.633090539625103</c:v>
              </c:pt>
              <c:pt idx="127">
                <c:v>-2.0837726594722037</c:v>
              </c:pt>
              <c:pt idx="128">
                <c:v>-2.429353407709764</c:v>
              </c:pt>
              <c:pt idx="129">
                <c:v>0.11315433133794867</c:v>
              </c:pt>
              <c:pt idx="130">
                <c:v>-1.6266215766629937</c:v>
              </c:pt>
              <c:pt idx="131">
                <c:v>2.0115565393073025</c:v>
              </c:pt>
              <c:pt idx="132">
                <c:v>-0.21216644742382734</c:v>
              </c:pt>
              <c:pt idx="133">
                <c:v>-0.12765521823273274</c:v>
              </c:pt>
              <c:pt idx="134">
                <c:v>0.96969439582176808</c:v>
              </c:pt>
              <c:pt idx="135">
                <c:v>0.85344442667181597</c:v>
              </c:pt>
              <c:pt idx="136">
                <c:v>-0.77352167725855536</c:v>
              </c:pt>
              <c:pt idx="137">
                <c:v>1.6932501900261632E-2</c:v>
              </c:pt>
              <c:pt idx="138">
                <c:v>0.11865374602763135</c:v>
              </c:pt>
              <c:pt idx="139">
                <c:v>2.4802990376238676E-2</c:v>
              </c:pt>
              <c:pt idx="140">
                <c:v>-0.23908453093499205</c:v>
              </c:pt>
              <c:pt idx="141">
                <c:v>-0.24231719813935859</c:v>
              </c:pt>
              <c:pt idx="142">
                <c:v>1.6343955943800366</c:v>
              </c:pt>
              <c:pt idx="143">
                <c:v>1.3293029529611671</c:v>
              </c:pt>
              <c:pt idx="144">
                <c:v>2.1362034776574963</c:v>
              </c:pt>
              <c:pt idx="145">
                <c:v>-2.1481613260329366</c:v>
              </c:pt>
              <c:pt idx="146">
                <c:v>0.25198281992655236</c:v>
              </c:pt>
              <c:pt idx="147">
                <c:v>1.0832274677777411</c:v>
              </c:pt>
              <c:pt idx="148">
                <c:v>-0.86181757988919272</c:v>
              </c:pt>
              <c:pt idx="149">
                <c:v>-0.11666314149176671</c:v>
              </c:pt>
              <c:pt idx="150">
                <c:v>-0.98104692052908593</c:v>
              </c:pt>
              <c:pt idx="151">
                <c:v>0.43695606189776826</c:v>
              </c:pt>
              <c:pt idx="152">
                <c:v>-0.38796098426467696</c:v>
              </c:pt>
              <c:pt idx="153">
                <c:v>3.1901719047632255</c:v>
              </c:pt>
              <c:pt idx="154">
                <c:v>2.0951202014008437</c:v>
              </c:pt>
              <c:pt idx="155">
                <c:v>-0.89436193691152832</c:v>
              </c:pt>
              <c:pt idx="156">
                <c:v>1.6685035733171962</c:v>
              </c:pt>
              <c:pt idx="157">
                <c:v>0.55610647212829045</c:v>
              </c:pt>
              <c:pt idx="158">
                <c:v>0.74999628630788584</c:v>
              </c:pt>
              <c:pt idx="159">
                <c:v>0.14658296780890945</c:v>
              </c:pt>
              <c:pt idx="160">
                <c:v>-1.6455599009124127</c:v>
              </c:pt>
              <c:pt idx="161">
                <c:v>-0.8688087781216286</c:v>
              </c:pt>
              <c:pt idx="162">
                <c:v>-1.4667953626797012</c:v>
              </c:pt>
              <c:pt idx="163">
                <c:v>-1.6787670230595637</c:v>
              </c:pt>
              <c:pt idx="164">
                <c:v>1.5687530637743634</c:v>
              </c:pt>
              <c:pt idx="165">
                <c:v>1.9208808810675309</c:v>
              </c:pt>
              <c:pt idx="166">
                <c:v>1.2258514785303993</c:v>
              </c:pt>
              <c:pt idx="167">
                <c:v>-0.21192111495001054</c:v>
              </c:pt>
              <c:pt idx="168">
                <c:v>-0.11450959127745197</c:v>
              </c:pt>
              <c:pt idx="169">
                <c:v>1.8679827388772949</c:v>
              </c:pt>
              <c:pt idx="170">
                <c:v>0.63412854639128646</c:v>
              </c:pt>
              <c:pt idx="171">
                <c:v>0.32499757085127357</c:v>
              </c:pt>
              <c:pt idx="172">
                <c:v>-6.6612313182446314E-2</c:v>
              </c:pt>
              <c:pt idx="173">
                <c:v>1.4927768406595441</c:v>
              </c:pt>
              <c:pt idx="174">
                <c:v>-1.2379468805475113</c:v>
              </c:pt>
              <c:pt idx="175">
                <c:v>1.396765332683537</c:v>
              </c:pt>
              <c:pt idx="176">
                <c:v>-0.87824746822718813</c:v>
              </c:pt>
              <c:pt idx="177">
                <c:v>1.7452256015766472</c:v>
              </c:pt>
              <c:pt idx="178">
                <c:v>2.1815219829000698</c:v>
              </c:pt>
              <c:pt idx="179">
                <c:v>0.48024980127934525</c:v>
              </c:pt>
              <c:pt idx="180">
                <c:v>-0.39195252061276176</c:v>
              </c:pt>
              <c:pt idx="181">
                <c:v>-0.6248621198395985</c:v>
              </c:pt>
              <c:pt idx="182">
                <c:v>-1.1596807596373377</c:v>
              </c:pt>
              <c:pt idx="183">
                <c:v>1.2072197506456916</c:v>
              </c:pt>
              <c:pt idx="184">
                <c:v>0.11811683722415522</c:v>
              </c:pt>
              <c:pt idx="185">
                <c:v>0.85735316673928441</c:v>
              </c:pt>
              <c:pt idx="186">
                <c:v>-2.4653368535672953</c:v>
              </c:pt>
              <c:pt idx="187">
                <c:v>-1.1663325756392222</c:v>
              </c:pt>
              <c:pt idx="188">
                <c:v>-1.6189229400834215</c:v>
              </c:pt>
              <c:pt idx="189">
                <c:v>0.74354956504250902</c:v>
              </c:pt>
              <c:pt idx="190">
                <c:v>-0.76220510613628478</c:v>
              </c:pt>
              <c:pt idx="191">
                <c:v>0.84148426094076967</c:v>
              </c:pt>
              <c:pt idx="192">
                <c:v>-0.48599855962487037</c:v>
              </c:pt>
              <c:pt idx="193">
                <c:v>0.88763939383254642</c:v>
              </c:pt>
              <c:pt idx="194">
                <c:v>0.58427209736587693</c:v>
              </c:pt>
              <c:pt idx="195">
                <c:v>-0.40073992800123936</c:v>
              </c:pt>
              <c:pt idx="196">
                <c:v>0.62859907119622693</c:v>
              </c:pt>
              <c:pt idx="197">
                <c:v>-1.3574855368906091</c:v>
              </c:pt>
              <c:pt idx="198">
                <c:v>-0.6621451100061172</c:v>
              </c:pt>
              <c:pt idx="199">
                <c:v>-0.17408075963733771</c:v>
              </c:pt>
              <c:pt idx="200">
                <c:v>-0.50474256629047398</c:v>
              </c:pt>
              <c:pt idx="201">
                <c:v>0.83854662259722945</c:v>
              </c:pt>
              <c:pt idx="202">
                <c:v>1.0241280870476626</c:v>
              </c:pt>
              <c:pt idx="203">
                <c:v>-0.30234741620167316</c:v>
              </c:pt>
              <c:pt idx="204">
                <c:v>0.4071564533221832</c:v>
              </c:pt>
              <c:pt idx="205">
                <c:v>1.4237311167613123</c:v>
              </c:pt>
              <c:pt idx="206">
                <c:v>-0.69536036993061723</c:v>
              </c:pt>
              <c:pt idx="207">
                <c:v>0.19262441506231914</c:v>
              </c:pt>
              <c:pt idx="208">
                <c:v>-0.43559069332721279</c:v>
              </c:pt>
              <c:pt idx="209">
                <c:v>-4.0072066856665089E-2</c:v>
              </c:pt>
              <c:pt idx="210">
                <c:v>1.6667871270755108</c:v>
              </c:pt>
              <c:pt idx="211">
                <c:v>0.13612545241103868</c:v>
              </c:pt>
              <c:pt idx="212">
                <c:v>0.91386618216832449</c:v>
              </c:pt>
              <c:pt idx="213">
                <c:v>0.57135714288067285</c:v>
              </c:pt>
              <c:pt idx="214">
                <c:v>0.68168541586485265</c:v>
              </c:pt>
              <c:pt idx="215">
                <c:v>0.3204986361376268</c:v>
              </c:pt>
              <c:pt idx="216">
                <c:v>0.26760793851364051</c:v>
              </c:pt>
              <c:pt idx="217">
                <c:v>1.6829858582286745</c:v>
              </c:pt>
              <c:pt idx="218">
                <c:v>1.5525130053125138</c:v>
              </c:pt>
              <c:pt idx="219">
                <c:v>2.2301846499958247</c:v>
              </c:pt>
              <c:pt idx="220">
                <c:v>-1.8352450566973513</c:v>
              </c:pt>
              <c:pt idx="221">
                <c:v>-0.43383187512290067</c:v>
              </c:pt>
              <c:pt idx="222">
                <c:v>0.82693517523520921</c:v>
              </c:pt>
              <c:pt idx="223">
                <c:v>-1.5104799198271313</c:v>
              </c:pt>
              <c:pt idx="224">
                <c:v>2.6294384231197845</c:v>
              </c:pt>
              <c:pt idx="225">
                <c:v>-1.7600945241527453</c:v>
              </c:pt>
              <c:pt idx="226">
                <c:v>-0.26873737461101499</c:v>
              </c:pt>
              <c:pt idx="227">
                <c:v>0.98666789703159286</c:v>
              </c:pt>
              <c:pt idx="228">
                <c:v>0.98340097994539755</c:v>
              </c:pt>
              <c:pt idx="229">
                <c:v>2.6368830132139642E-2</c:v>
              </c:pt>
              <c:pt idx="230">
                <c:v>0.59112143994068622</c:v>
              </c:pt>
              <c:pt idx="231">
                <c:v>-1.5629779807709667</c:v>
              </c:pt>
              <c:pt idx="232">
                <c:v>0.24008048470725374</c:v>
              </c:pt>
              <c:pt idx="233">
                <c:v>1.0404250949462277</c:v>
              </c:pt>
              <c:pt idx="234">
                <c:v>-1.429830744483841</c:v>
              </c:pt>
              <c:pt idx="235">
                <c:v>-0.22838743576805642</c:v>
              </c:pt>
              <c:pt idx="236">
                <c:v>-0.13301358074603181</c:v>
              </c:pt>
              <c:pt idx="237">
                <c:v>2.1658533849102102</c:v>
              </c:pt>
              <c:pt idx="238">
                <c:v>-0.149291048422664</c:v>
              </c:pt>
              <c:pt idx="239">
                <c:v>-0.72580488687924927</c:v>
              </c:pt>
              <c:pt idx="240">
                <c:v>-1.3946564664471566</c:v>
              </c:pt>
              <c:pt idx="241">
                <c:v>-1.8197501514338585</c:v>
              </c:pt>
              <c:pt idx="242">
                <c:v>-0.32014776399190309</c:v>
              </c:pt>
              <c:pt idx="243">
                <c:v>0.71057392486864757</c:v>
              </c:pt>
              <c:pt idx="244">
                <c:v>0.63803026599327395</c:v>
              </c:pt>
              <c:pt idx="245">
                <c:v>-0.22573223387096258</c:v>
              </c:pt>
              <c:pt idx="246">
                <c:v>-2.926470353681624E-2</c:v>
              </c:pt>
              <c:pt idx="247">
                <c:v>0.76631022772939383</c:v>
              </c:pt>
              <c:pt idx="248">
                <c:v>-0.74860277693895672</c:v>
              </c:pt>
              <c:pt idx="249">
                <c:v>-0.40541152905036537</c:v>
              </c:pt>
              <c:pt idx="250">
                <c:v>-0.55759813424085092</c:v>
              </c:pt>
              <c:pt idx="251">
                <c:v>-0.43862305272292385</c:v>
              </c:pt>
              <c:pt idx="252">
                <c:v>0.3572069035342802</c:v>
              </c:pt>
              <c:pt idx="253">
                <c:v>-0.2254061071560407</c:v>
              </c:pt>
              <c:pt idx="254">
                <c:v>-0.21672232318285983</c:v>
              </c:pt>
              <c:pt idx="255">
                <c:v>0.60445626911086192</c:v>
              </c:pt>
              <c:pt idx="256">
                <c:v>0.6530377565630674</c:v>
              </c:pt>
              <c:pt idx="257">
                <c:v>-1.73987141727975</c:v>
              </c:pt>
              <c:pt idx="258">
                <c:v>-1.4970180295582352</c:v>
              </c:pt>
              <c:pt idx="259">
                <c:v>1.178329756993495</c:v>
              </c:pt>
              <c:pt idx="260">
                <c:v>-0.13524195797838434</c:v>
              </c:pt>
              <c:pt idx="261">
                <c:v>-1.9598825071769594</c:v>
              </c:pt>
              <c:pt idx="262">
                <c:v>-2.4754899238055743</c:v>
              </c:pt>
              <c:pt idx="263">
                <c:v>-1.8418071481573706</c:v>
              </c:pt>
              <c:pt idx="264">
                <c:v>-1.1832573535441588</c:v>
              </c:pt>
              <c:pt idx="265">
                <c:v>-0.63443485152778467</c:v>
              </c:pt>
              <c:pt idx="266">
                <c:v>1.8644973043074433</c:v>
              </c:pt>
              <c:pt idx="267">
                <c:v>-0.3531763581119301</c:v>
              </c:pt>
              <c:pt idx="268">
                <c:v>-2.261219535925159</c:v>
              </c:pt>
              <c:pt idx="269">
                <c:v>-4.7637364766648371E-3</c:v>
              </c:pt>
              <c:pt idx="270">
                <c:v>-0.80907524316942125</c:v>
              </c:pt>
              <c:pt idx="271">
                <c:v>-1.1765511984571593</c:v>
              </c:pt>
              <c:pt idx="272">
                <c:v>1.2430163355295976</c:v>
              </c:pt>
              <c:pt idx="273">
                <c:v>-0.22644238938437389</c:v>
              </c:pt>
              <c:pt idx="274">
                <c:v>1.8251989682313055</c:v>
              </c:pt>
              <c:pt idx="275">
                <c:v>1.472841170395911</c:v>
              </c:pt>
              <c:pt idx="276">
                <c:v>-0.9199939738881413</c:v>
              </c:pt>
              <c:pt idx="277">
                <c:v>0.39409838529034802</c:v>
              </c:pt>
              <c:pt idx="278">
                <c:v>-1.5670463788529538</c:v>
              </c:pt>
              <c:pt idx="279">
                <c:v>-1.202649082494895</c:v>
              </c:pt>
              <c:pt idx="280">
                <c:v>0.89189950625482706</c:v>
              </c:pt>
              <c:pt idx="281">
                <c:v>0.18446370874124929</c:v>
              </c:pt>
              <c:pt idx="282">
                <c:v>-1.2705202981415762</c:v>
              </c:pt>
              <c:pt idx="283">
                <c:v>-0.54841463507455346</c:v>
              </c:pt>
              <c:pt idx="284">
                <c:v>-0.54658373475897049</c:v>
              </c:pt>
              <c:pt idx="285">
                <c:v>0.9344719071325851</c:v>
              </c:pt>
              <c:pt idx="286">
                <c:v>1.6160643559488046</c:v>
              </c:pt>
              <c:pt idx="287">
                <c:v>-8.7188879151633536E-2</c:v>
              </c:pt>
              <c:pt idx="288">
                <c:v>-0.456314498150028</c:v>
              </c:pt>
              <c:pt idx="289">
                <c:v>-0.13337620420760238</c:v>
              </c:pt>
              <c:pt idx="290">
                <c:v>1.1608189398592279</c:v>
              </c:pt>
              <c:pt idx="291">
                <c:v>9.1863852970996085E-2</c:v>
              </c:pt>
              <c:pt idx="292">
                <c:v>0.94829719640666021</c:v>
              </c:pt>
              <c:pt idx="293">
                <c:v>-2.2486449358743534E-2</c:v>
              </c:pt>
              <c:pt idx="294">
                <c:v>-1.7126033416168611</c:v>
              </c:pt>
              <c:pt idx="295">
                <c:v>3.2354540768380593</c:v>
              </c:pt>
              <c:pt idx="296">
                <c:v>0.3167128380809946</c:v>
              </c:pt>
              <c:pt idx="297">
                <c:v>1.8217565635923259</c:v>
              </c:pt>
              <c:pt idx="298">
                <c:v>-0.8001992322035576</c:v>
              </c:pt>
              <c:pt idx="299">
                <c:v>-6.7339416632100746E-2</c:v>
              </c:pt>
              <c:pt idx="300">
                <c:v>-0.69290606589121517</c:v>
              </c:pt>
              <c:pt idx="301">
                <c:v>1.6661718961747536</c:v>
              </c:pt>
              <c:pt idx="302">
                <c:v>-0.54168720920580116</c:v>
              </c:pt>
              <c:pt idx="303">
                <c:v>0.58722799740993259</c:v>
              </c:pt>
              <c:pt idx="304">
                <c:v>2.6139312586146657E-2</c:v>
              </c:pt>
              <c:pt idx="305">
                <c:v>1.1493238164248103</c:v>
              </c:pt>
              <c:pt idx="306">
                <c:v>1.2617898573718349</c:v>
              </c:pt>
              <c:pt idx="307">
                <c:v>-0.58640052642152618</c:v>
              </c:pt>
              <c:pt idx="308">
                <c:v>-0.19564646246871331</c:v>
              </c:pt>
              <c:pt idx="309">
                <c:v>0.49863981556395509</c:v>
              </c:pt>
              <c:pt idx="310">
                <c:v>-1.8648529689985534</c:v>
              </c:pt>
              <c:pt idx="311">
                <c:v>0.18198261034409896</c:v>
              </c:pt>
              <c:pt idx="312">
                <c:v>7.9459234557913788E-2</c:v>
              </c:pt>
              <c:pt idx="313">
                <c:v>0.87111666268741472</c:v>
              </c:pt>
              <c:pt idx="314">
                <c:v>0.76423551098149878</c:v>
              </c:pt>
              <c:pt idx="315">
                <c:v>0.71300134471542975</c:v>
              </c:pt>
              <c:pt idx="316">
                <c:v>1.0696237121766381</c:v>
              </c:pt>
              <c:pt idx="317">
                <c:v>0.60640302068323226</c:v>
              </c:pt>
              <c:pt idx="318">
                <c:v>-0.13884844624517134</c:v>
              </c:pt>
              <c:pt idx="319">
                <c:v>0.31409276220489968</c:v>
              </c:pt>
              <c:pt idx="320">
                <c:v>1.9580431398487808E-2</c:v>
              </c:pt>
              <c:pt idx="321">
                <c:v>-1.4954566676382799</c:v>
              </c:pt>
              <c:pt idx="322">
                <c:v>0.30619780965461163</c:v>
              </c:pt>
              <c:pt idx="323">
                <c:v>2.8858859175594107</c:v>
              </c:pt>
              <c:pt idx="324">
                <c:v>0.53883237099770631</c:v>
              </c:pt>
              <c:pt idx="325">
                <c:v>-0.8095034701500563</c:v>
              </c:pt>
              <c:pt idx="326">
                <c:v>0.74208320295963737</c:v>
              </c:pt>
              <c:pt idx="327">
                <c:v>-2.1446320666394434</c:v>
              </c:pt>
              <c:pt idx="328">
                <c:v>-6.5896716750444284E-3</c:v>
              </c:pt>
              <c:pt idx="329">
                <c:v>-1.5965200739486805</c:v>
              </c:pt>
              <c:pt idx="330">
                <c:v>1.2000606173275035</c:v>
              </c:pt>
              <c:pt idx="331">
                <c:v>0.62839027179802232</c:v>
              </c:pt>
              <c:pt idx="332">
                <c:v>1.3957967723058922</c:v>
              </c:pt>
              <c:pt idx="333">
                <c:v>0.17453562125164135</c:v>
              </c:pt>
              <c:pt idx="334">
                <c:v>-0.23295390940432176</c:v>
              </c:pt>
              <c:pt idx="335">
                <c:v>-0.11222908658194886</c:v>
              </c:pt>
              <c:pt idx="336">
                <c:v>8.4390348108560609E-2</c:v>
              </c:pt>
              <c:pt idx="337">
                <c:v>-0.87793526832333146</c:v>
              </c:pt>
              <c:pt idx="338">
                <c:v>0.14389868944639272</c:v>
              </c:pt>
              <c:pt idx="339">
                <c:v>-1.7063236356638816</c:v>
              </c:pt>
              <c:pt idx="340">
                <c:v>-1.9573300306403281</c:v>
              </c:pt>
              <c:pt idx="341">
                <c:v>2.1622461778640485</c:v>
              </c:pt>
              <c:pt idx="342">
                <c:v>1.4257537957698352E-2</c:v>
              </c:pt>
              <c:pt idx="343">
                <c:v>0.90118373130857798</c:v>
              </c:pt>
              <c:pt idx="344">
                <c:v>-2.3847347352356718</c:v>
              </c:pt>
              <c:pt idx="345">
                <c:v>0.42089613970877915</c:v>
              </c:pt>
              <c:pt idx="346">
                <c:v>3.3992119170243882</c:v>
              </c:pt>
              <c:pt idx="347">
                <c:v>-3.362933638359074</c:v>
              </c:pt>
              <c:pt idx="348">
                <c:v>-1.0644207185897332</c:v>
              </c:pt>
              <c:pt idx="349">
                <c:v>0.4336244647184746</c:v>
              </c:pt>
              <c:pt idx="350">
                <c:v>-1.4656851744899368</c:v>
              </c:pt>
              <c:pt idx="351">
                <c:v>2.0861278022407794</c:v>
              </c:pt>
              <c:pt idx="352">
                <c:v>-1.2088671296770961</c:v>
              </c:pt>
              <c:pt idx="353">
                <c:v>1.1886211041943966</c:v>
              </c:pt>
              <c:pt idx="354">
                <c:v>-0.56992584728584594</c:v>
              </c:pt>
              <c:pt idx="355">
                <c:v>0.41762490708229583</c:v>
              </c:pt>
              <c:pt idx="356">
                <c:v>-0.86180813821929414</c:v>
              </c:pt>
              <c:pt idx="357">
                <c:v>-2.731623003066769</c:v>
              </c:pt>
              <c:pt idx="358">
                <c:v>1.3919629792011849</c:v>
              </c:pt>
              <c:pt idx="359">
                <c:v>-0.31648096685043137</c:v>
              </c:pt>
              <c:pt idx="360">
                <c:v>0.34931095963881753</c:v>
              </c:pt>
              <c:pt idx="361">
                <c:v>-0.46008609426329239</c:v>
              </c:pt>
              <c:pt idx="362">
                <c:v>0.17904923057947064</c:v>
              </c:pt>
              <c:pt idx="363">
                <c:v>0.16137048438142121</c:v>
              </c:pt>
              <c:pt idx="364">
                <c:v>-0.76733665839814247</c:v>
              </c:pt>
              <c:pt idx="365">
                <c:v>-1.2372452259109989E-2</c:v>
              </c:pt>
              <c:pt idx="366">
                <c:v>0.88899129947216093</c:v>
              </c:pt>
              <c:pt idx="367">
                <c:v>-0.28129338857782438</c:v>
              </c:pt>
              <c:pt idx="368">
                <c:v>1.6160912388581736</c:v>
              </c:pt>
              <c:pt idx="369">
                <c:v>-9.9522946105391918E-2</c:v>
              </c:pt>
              <c:pt idx="370">
                <c:v>-0.13620551088789135</c:v>
              </c:pt>
              <c:pt idx="371">
                <c:v>0.20350232145016192</c:v>
              </c:pt>
              <c:pt idx="372">
                <c:v>9.3252587450937507E-2</c:v>
              </c:pt>
              <c:pt idx="373">
                <c:v>-0.30323866645962394</c:v>
              </c:pt>
              <c:pt idx="374">
                <c:v>-0.30916041228155111</c:v>
              </c:pt>
              <c:pt idx="375">
                <c:v>-1.4450192304858631</c:v>
              </c:pt>
              <c:pt idx="376">
                <c:v>-1.2322187711422399</c:v>
              </c:pt>
              <c:pt idx="377">
                <c:v>0.4759837519409908</c:v>
              </c:pt>
              <c:pt idx="378">
                <c:v>-0.24607428943646142</c:v>
              </c:pt>
              <c:pt idx="379">
                <c:v>-1.5814749959747532</c:v>
              </c:pt>
              <c:pt idx="380">
                <c:v>1.1498181666849789</c:v>
              </c:pt>
              <c:pt idx="381">
                <c:v>1.9159561212285043</c:v>
              </c:pt>
              <c:pt idx="382">
                <c:v>-1.3599964170082228</c:v>
              </c:pt>
              <c:pt idx="383">
                <c:v>-1.1226625572675584</c:v>
              </c:pt>
              <c:pt idx="384">
                <c:v>0.92112162049939694</c:v>
              </c:pt>
              <c:pt idx="385">
                <c:v>0.12428712579225981</c:v>
              </c:pt>
              <c:pt idx="386">
                <c:v>2.3153861684066892</c:v>
              </c:pt>
              <c:pt idx="387">
                <c:v>1.3591729431980539</c:v>
              </c:pt>
              <c:pt idx="388">
                <c:v>-0.98630533032918066</c:v>
              </c:pt>
              <c:pt idx="389">
                <c:v>0.70882256692713574</c:v>
              </c:pt>
              <c:pt idx="390">
                <c:v>-1.2758983414539447</c:v>
              </c:pt>
              <c:pt idx="391">
                <c:v>0.45148667740646814</c:v>
              </c:pt>
              <c:pt idx="392">
                <c:v>0.24221371422016502</c:v>
              </c:pt>
              <c:pt idx="393">
                <c:v>0.40471138502283671</c:v>
              </c:pt>
              <c:pt idx="394">
                <c:v>-1.5542048516363953</c:v>
              </c:pt>
              <c:pt idx="395">
                <c:v>0.42334501563474358</c:v>
              </c:pt>
              <c:pt idx="396">
                <c:v>-0.54836440905535233</c:v>
              </c:pt>
              <c:pt idx="397">
                <c:v>0.84973733483165881</c:v>
              </c:pt>
              <c:pt idx="398">
                <c:v>-0.10940159170787955</c:v>
              </c:pt>
              <c:pt idx="399">
                <c:v>-0.14184458767914687</c:v>
              </c:pt>
              <c:pt idx="400">
                <c:v>-0.5266689644850876</c:v>
              </c:pt>
              <c:pt idx="401">
                <c:v>-0.83273334150825007</c:v>
              </c:pt>
              <c:pt idx="402">
                <c:v>0.95148113793677935</c:v>
              </c:pt>
              <c:pt idx="403">
                <c:v>0.25923173474798289</c:v>
              </c:pt>
              <c:pt idx="404">
                <c:v>-1.3665015177667008</c:v>
              </c:pt>
              <c:pt idx="405">
                <c:v>0.16390110956470197</c:v>
              </c:pt>
              <c:pt idx="406">
                <c:v>-0.51223890763232183</c:v>
              </c:pt>
              <c:pt idx="407">
                <c:v>1.2782864495609616</c:v>
              </c:pt>
              <c:pt idx="408">
                <c:v>0.79489976805993767</c:v>
              </c:pt>
              <c:pt idx="409">
                <c:v>-0.14889865291521071</c:v>
              </c:pt>
              <c:pt idx="410">
                <c:v>0.22441979299662629</c:v>
              </c:pt>
              <c:pt idx="411">
                <c:v>0.265049618351275</c:v>
              </c:pt>
              <c:pt idx="412">
                <c:v>-0.15495731356258446</c:v>
              </c:pt>
              <c:pt idx="413">
                <c:v>3.4609192750033976E-2</c:v>
              </c:pt>
              <c:pt idx="414">
                <c:v>-1.2236459461637135</c:v>
              </c:pt>
              <c:pt idx="415">
                <c:v>-0.56004666602919628</c:v>
              </c:pt>
              <c:pt idx="416">
                <c:v>1.7234060794206245</c:v>
              </c:pt>
              <c:pt idx="417">
                <c:v>-1.2929283146909509</c:v>
              </c:pt>
              <c:pt idx="418">
                <c:v>0.96438533827106365</c:v>
              </c:pt>
              <c:pt idx="419">
                <c:v>-1.2132895760153444</c:v>
              </c:pt>
              <c:pt idx="420">
                <c:v>0.39527922316563846</c:v>
              </c:pt>
              <c:pt idx="421">
                <c:v>-0.63368568714232576</c:v>
              </c:pt>
              <c:pt idx="422">
                <c:v>-0.41884764039456895</c:v>
              </c:pt>
              <c:pt idx="423">
                <c:v>-0.60043954022943491</c:v>
              </c:pt>
              <c:pt idx="424">
                <c:v>-0.40536013843250002</c:v>
              </c:pt>
              <c:pt idx="425">
                <c:v>-0.11062409007164342</c:v>
              </c:pt>
              <c:pt idx="426">
                <c:v>7.3938831693787233E-3</c:v>
              </c:pt>
              <c:pt idx="427">
                <c:v>0.19719625965350274</c:v>
              </c:pt>
              <c:pt idx="428">
                <c:v>0.18494447761122249</c:v>
              </c:pt>
              <c:pt idx="429">
                <c:v>1.4387532370278526</c:v>
              </c:pt>
              <c:pt idx="430">
                <c:v>1.1019067459773417</c:v>
              </c:pt>
              <c:pt idx="431">
                <c:v>1.9555449090172119</c:v>
              </c:pt>
              <c:pt idx="432">
                <c:v>-0.51008325606618532</c:v>
              </c:pt>
              <c:pt idx="433">
                <c:v>9.1877576221578439E-2</c:v>
              </c:pt>
              <c:pt idx="434">
                <c:v>0.64198902358359866</c:v>
              </c:pt>
              <c:pt idx="435">
                <c:v>0.84774571249845476</c:v>
              </c:pt>
              <c:pt idx="436">
                <c:v>0.24811272050563071</c:v>
              </c:pt>
              <c:pt idx="437">
                <c:v>-1.0968581060859952</c:v>
              </c:pt>
              <c:pt idx="438">
                <c:v>-1.9935543141559282</c:v>
              </c:pt>
              <c:pt idx="439">
                <c:v>0.14622238765167572</c:v>
              </c:pt>
              <c:pt idx="440">
                <c:v>1.0781587861721222</c:v>
              </c:pt>
              <c:pt idx="441">
                <c:v>0.31488467901956763</c:v>
              </c:pt>
              <c:pt idx="442">
                <c:v>0.41488870846972192</c:v>
              </c:pt>
              <c:pt idx="443">
                <c:v>-8.8216361981762456E-2</c:v>
              </c:pt>
              <c:pt idx="444">
                <c:v>0.71043121972623369</c:v>
              </c:pt>
              <c:pt idx="445">
                <c:v>-0.82777490505377227</c:v>
              </c:pt>
              <c:pt idx="446">
                <c:v>-0.3459299809841726</c:v>
              </c:pt>
              <c:pt idx="447">
                <c:v>0.11559225685773139</c:v>
              </c:pt>
              <c:pt idx="448">
                <c:v>-8.0165854808288917E-2</c:v>
              </c:pt>
              <c:pt idx="449">
                <c:v>2.7577737431127458E-2</c:v>
              </c:pt>
              <c:pt idx="450">
                <c:v>4.8095934021072333</c:v>
              </c:pt>
              <c:pt idx="451">
                <c:v>1.5022010429287445</c:v>
              </c:pt>
              <c:pt idx="452">
                <c:v>-1.6014116599529207</c:v>
              </c:pt>
              <c:pt idx="453">
                <c:v>0.97616138684914211</c:v>
              </c:pt>
              <c:pt idx="454">
                <c:v>0.27926191885069329</c:v>
              </c:pt>
              <c:pt idx="455">
                <c:v>0.23328769777538549</c:v>
              </c:pt>
              <c:pt idx="456">
                <c:v>0.75942618925632377</c:v>
              </c:pt>
              <c:pt idx="457">
                <c:v>-0.75240108636071135</c:v>
              </c:pt>
              <c:pt idx="458">
                <c:v>-0.18348870224553349</c:v>
              </c:pt>
              <c:pt idx="459">
                <c:v>5.8113497332490383E-2</c:v>
              </c:pt>
              <c:pt idx="460">
                <c:v>-0.51486653469219767</c:v>
              </c:pt>
              <c:pt idx="461">
                <c:v>0.86562625954489192</c:v>
              </c:pt>
              <c:pt idx="462">
                <c:v>0.85846398150419145</c:v>
              </c:pt>
              <c:pt idx="463">
                <c:v>-0.21953806782211521</c:v>
              </c:pt>
              <c:pt idx="464">
                <c:v>-0.15702812682701889</c:v>
              </c:pt>
              <c:pt idx="465">
                <c:v>0.14208067257118567</c:v>
              </c:pt>
              <c:pt idx="466">
                <c:v>-0.27826660132815506</c:v>
              </c:pt>
              <c:pt idx="467">
                <c:v>0.11076952334324008</c:v>
              </c:pt>
              <c:pt idx="468">
                <c:v>0.93261734987654477</c:v>
              </c:pt>
              <c:pt idx="469">
                <c:v>0.53747993937851102</c:v>
              </c:pt>
              <c:pt idx="470">
                <c:v>1.0333272119946004</c:v>
              </c:pt>
              <c:pt idx="471">
                <c:v>-1.5090650889392612</c:v>
              </c:pt>
              <c:pt idx="472">
                <c:v>0.62971935428541559</c:v>
              </c:pt>
              <c:pt idx="473">
                <c:v>-0.55913935967072415</c:v>
              </c:pt>
              <c:pt idx="474">
                <c:v>-0.46941725273137525</c:v>
              </c:pt>
              <c:pt idx="475">
                <c:v>1.0530751561032692</c:v>
              </c:pt>
              <c:pt idx="476">
                <c:v>-1.1750880393414269</c:v>
              </c:pt>
              <c:pt idx="477">
                <c:v>-1.4247354937994783</c:v>
              </c:pt>
              <c:pt idx="478">
                <c:v>-0.46266140362672586</c:v>
              </c:pt>
              <c:pt idx="479">
                <c:v>-7.119129890301501E-3</c:v>
              </c:pt>
              <c:pt idx="480">
                <c:v>1.1920572798051983</c:v>
              </c:pt>
              <c:pt idx="481">
                <c:v>-1.239300841535403</c:v>
              </c:pt>
              <c:pt idx="482">
                <c:v>1.7147168675311488</c:v>
              </c:pt>
              <c:pt idx="483">
                <c:v>-1.081534697623457</c:v>
              </c:pt>
              <c:pt idx="484">
                <c:v>-0.22507981923156939</c:v>
              </c:pt>
              <c:pt idx="485">
                <c:v>-4.3353229520412984E-2</c:v>
              </c:pt>
              <c:pt idx="486">
                <c:v>-0.52686562696278261</c:v>
              </c:pt>
              <c:pt idx="487">
                <c:v>-0.56330268601797573</c:v>
              </c:pt>
              <c:pt idx="488">
                <c:v>5.7075665103048179E-2</c:v>
              </c:pt>
              <c:pt idx="489">
                <c:v>-0.22406163384159195</c:v>
              </c:pt>
              <c:pt idx="490">
                <c:v>-0.21964522995084068</c:v>
              </c:pt>
              <c:pt idx="491">
                <c:v>0.57438909021955609</c:v>
              </c:pt>
              <c:pt idx="492">
                <c:v>-0.52795182740166169</c:v>
              </c:pt>
              <c:pt idx="493">
                <c:v>-0.19618287194699158</c:v>
              </c:pt>
              <c:pt idx="494">
                <c:v>-0.55709862260821708</c:v>
              </c:pt>
              <c:pt idx="495">
                <c:v>-0.69656003783693832</c:v>
              </c:pt>
              <c:pt idx="496">
                <c:v>0.64170249835626203</c:v>
              </c:pt>
              <c:pt idx="497">
                <c:v>1.4281962693280832</c:v>
              </c:pt>
              <c:pt idx="498">
                <c:v>0.50347463742890952</c:v>
              </c:pt>
              <c:pt idx="499">
                <c:v>0.85978529828948913</c:v>
              </c:pt>
              <c:pt idx="500">
                <c:v>-0.33542774507718476</c:v>
              </c:pt>
              <c:pt idx="501">
                <c:v>-0.39143398743255459</c:v>
              </c:pt>
              <c:pt idx="502">
                <c:v>-1.589599527681429E-2</c:v>
              </c:pt>
              <c:pt idx="503">
                <c:v>-0.12056327476368167</c:v>
              </c:pt>
              <c:pt idx="504">
                <c:v>-0.17905300898012788</c:v>
              </c:pt>
              <c:pt idx="505">
                <c:v>0.84448301874831611</c:v>
              </c:pt>
              <c:pt idx="506">
                <c:v>-0.71337532678518101</c:v>
              </c:pt>
              <c:pt idx="507">
                <c:v>-0.44609137923309172</c:v>
              </c:pt>
              <c:pt idx="508">
                <c:v>1.2442843881907142</c:v>
              </c:pt>
              <c:pt idx="509">
                <c:v>0.43613621623653942</c:v>
              </c:pt>
              <c:pt idx="510">
                <c:v>-0.94802635628562482</c:v>
              </c:pt>
              <c:pt idx="511">
                <c:v>-6.6557761948375982E-2</c:v>
              </c:pt>
              <c:pt idx="512">
                <c:v>0.14163619688737761</c:v>
              </c:pt>
              <c:pt idx="513">
                <c:v>-0.47376342136278826</c:v>
              </c:pt>
              <c:pt idx="514">
                <c:v>-0.63879949272541747</c:v>
              </c:pt>
              <c:pt idx="515">
                <c:v>-0.37759934247370031</c:v>
              </c:pt>
              <c:pt idx="516">
                <c:v>0.37447769981891255</c:v>
              </c:pt>
              <c:pt idx="517">
                <c:v>-1.8832009678066752E-2</c:v>
              </c:pt>
              <c:pt idx="518">
                <c:v>-0.31372914117396594</c:v>
              </c:pt>
              <c:pt idx="519">
                <c:v>-0.15649586802686954</c:v>
              </c:pt>
              <c:pt idx="520">
                <c:v>0.4484435432274243</c:v>
              </c:pt>
              <c:pt idx="521">
                <c:v>0.43687916985687247</c:v>
              </c:pt>
              <c:pt idx="522">
                <c:v>1.5734794473585343</c:v>
              </c:pt>
              <c:pt idx="523">
                <c:v>1.2973848159440933</c:v>
              </c:pt>
              <c:pt idx="524">
                <c:v>-0.31472921146253408</c:v>
              </c:pt>
              <c:pt idx="525">
                <c:v>0.83145452157124033</c:v>
              </c:pt>
              <c:pt idx="526">
                <c:v>-0.92820883745236471</c:v>
              </c:pt>
              <c:pt idx="527">
                <c:v>-1.3479470477790305</c:v>
              </c:pt>
              <c:pt idx="528">
                <c:v>0.7932716586546662</c:v>
              </c:pt>
              <c:pt idx="529">
                <c:v>-1.4122515159403957</c:v>
              </c:pt>
              <c:pt idx="530">
                <c:v>-0.57354627095217081</c:v>
              </c:pt>
              <c:pt idx="531">
                <c:v>0.64865981019365015</c:v>
              </c:pt>
              <c:pt idx="532">
                <c:v>-0.52870001870499839</c:v>
              </c:pt>
              <c:pt idx="533">
                <c:v>-1.6054161874450221</c:v>
              </c:pt>
              <c:pt idx="534">
                <c:v>0.95002320317685918</c:v>
              </c:pt>
              <c:pt idx="535">
                <c:v>-0.31839613585395043</c:v>
              </c:pt>
              <c:pt idx="536">
                <c:v>-1.1810333015266756</c:v>
              </c:pt>
              <c:pt idx="537">
                <c:v>-0.34791002633605211</c:v>
              </c:pt>
              <c:pt idx="538">
                <c:v>-1.8586351157022549</c:v>
              </c:pt>
              <c:pt idx="539">
                <c:v>1.0267751500812992</c:v>
              </c:pt>
              <c:pt idx="540">
                <c:v>1.8490203819595541</c:v>
              </c:pt>
              <c:pt idx="541">
                <c:v>5.7841793318442969E-2</c:v>
              </c:pt>
              <c:pt idx="542">
                <c:v>-0.69877718459494509</c:v>
              </c:pt>
              <c:pt idx="543">
                <c:v>-0.88925245269355346</c:v>
              </c:pt>
              <c:pt idx="544">
                <c:v>-0.956317024885869</c:v>
              </c:pt>
              <c:pt idx="545">
                <c:v>-0.70474954786048871</c:v>
              </c:pt>
              <c:pt idx="546">
                <c:v>-0.37013709710935327</c:v>
              </c:pt>
              <c:pt idx="547">
                <c:v>-0.56150764619931748</c:v>
              </c:pt>
              <c:pt idx="548">
                <c:v>0.59622805308805837</c:v>
              </c:pt>
              <c:pt idx="549">
                <c:v>-0.57951241249475716</c:v>
              </c:pt>
              <c:pt idx="550">
                <c:v>0.89871704808985964</c:v>
              </c:pt>
              <c:pt idx="551">
                <c:v>-0.18692961621414061</c:v>
              </c:pt>
              <c:pt idx="552">
                <c:v>-0.30174113386472878</c:v>
              </c:pt>
              <c:pt idx="553">
                <c:v>0.69616251146623176</c:v>
              </c:pt>
              <c:pt idx="554">
                <c:v>-0.76447038358364128</c:v>
              </c:pt>
              <c:pt idx="555">
                <c:v>-0.48107423612769545</c:v>
              </c:pt>
              <c:pt idx="556">
                <c:v>0.60182092857154768</c:v>
              </c:pt>
              <c:pt idx="557">
                <c:v>-0.74453214660259226</c:v>
              </c:pt>
              <c:pt idx="558">
                <c:v>0.39668557579115094</c:v>
              </c:pt>
              <c:pt idx="559">
                <c:v>1.6337936953054468</c:v>
              </c:pt>
              <c:pt idx="560">
                <c:v>-0.54710928949076687</c:v>
              </c:pt>
              <c:pt idx="561">
                <c:v>-0.34436505132704609</c:v>
              </c:pt>
              <c:pt idx="562">
                <c:v>0.49262795614510735</c:v>
              </c:pt>
              <c:pt idx="563">
                <c:v>-0.68529797668391268</c:v>
              </c:pt>
              <c:pt idx="564">
                <c:v>8.0094462457725696E-2</c:v>
              </c:pt>
              <c:pt idx="565">
                <c:v>4.3539826163660695</c:v>
              </c:pt>
              <c:pt idx="566">
                <c:v>1.2350822855556416</c:v>
              </c:pt>
              <c:pt idx="567">
                <c:v>-2.0177850702417648</c:v>
              </c:pt>
              <c:pt idx="568">
                <c:v>-1.1989024654776905</c:v>
              </c:pt>
              <c:pt idx="569">
                <c:v>0.893845290767046</c:v>
              </c:pt>
              <c:pt idx="570">
                <c:v>1.3154986361376266</c:v>
              </c:pt>
              <c:pt idx="571">
                <c:v>-0.64050853329631985</c:v>
              </c:pt>
              <c:pt idx="572">
                <c:v>0.42597034982625515</c:v>
              </c:pt>
              <c:pt idx="573">
                <c:v>0.35935427072396131</c:v>
              </c:pt>
              <c:pt idx="574">
                <c:v>-0.61488510054875811</c:v>
              </c:pt>
              <c:pt idx="575">
                <c:v>0.81843301692201087</c:v>
              </c:pt>
              <c:pt idx="576">
                <c:v>0.90219356203353185</c:v>
              </c:pt>
              <c:pt idx="577">
                <c:v>0.28283337803943209</c:v>
              </c:pt>
              <c:pt idx="578">
                <c:v>0.11108120457273685</c:v>
              </c:pt>
              <c:pt idx="579">
                <c:v>-0.43240685969787679</c:v>
              </c:pt>
              <c:pt idx="580">
                <c:v>0.3572069035342802</c:v>
              </c:pt>
              <c:pt idx="581">
                <c:v>0.75021785157110243</c:v>
              </c:pt>
              <c:pt idx="582">
                <c:v>-1.4015751098975062</c:v>
              </c:pt>
              <c:pt idx="583">
                <c:v>-2.3356789757687522</c:v>
              </c:pt>
              <c:pt idx="584">
                <c:v>0.21764153881855358</c:v>
              </c:pt>
              <c:pt idx="585">
                <c:v>0.24976845568752698</c:v>
              </c:pt>
              <c:pt idx="586">
                <c:v>-1.4763288733468851</c:v>
              </c:pt>
              <c:pt idx="587">
                <c:v>-0.72679353517693057</c:v>
              </c:pt>
              <c:pt idx="588">
                <c:v>-1.5581387730771561</c:v>
              </c:pt>
              <c:pt idx="589">
                <c:v>1.6860589134220669</c:v>
              </c:pt>
              <c:pt idx="590">
                <c:v>1.2373989972550483</c:v>
              </c:pt>
              <c:pt idx="591">
                <c:v>-2.1006516298631488</c:v>
              </c:pt>
              <c:pt idx="592">
                <c:v>0.28626184490951445</c:v>
              </c:pt>
              <c:pt idx="593">
                <c:v>0.2908213999591116</c:v>
              </c:pt>
              <c:pt idx="594">
                <c:v>-0.68287862067330096</c:v>
              </c:pt>
              <c:pt idx="595">
                <c:v>-1.1893944586028968</c:v>
              </c:pt>
              <c:pt idx="596">
                <c:v>1.4463305035133611</c:v>
              </c:pt>
              <c:pt idx="597">
                <c:v>0.51177448717719243</c:v>
              </c:pt>
              <c:pt idx="598">
                <c:v>-0.74469653695294635</c:v>
              </c:pt>
              <c:pt idx="599">
                <c:v>0.86652206888518857</c:v>
              </c:pt>
              <c:pt idx="600">
                <c:v>-0.96566385039941816</c:v>
              </c:pt>
              <c:pt idx="601">
                <c:v>7.2097106768930663E-2</c:v>
              </c:pt>
              <c:pt idx="602">
                <c:v>-1.0915078194528069</c:v>
              </c:pt>
              <c:pt idx="603">
                <c:v>1.5476126235626797</c:v>
              </c:pt>
              <c:pt idx="604">
                <c:v>-0.84165513461697317</c:v>
              </c:pt>
              <c:pt idx="605">
                <c:v>0.14653679917749696</c:v>
              </c:pt>
              <c:pt idx="606">
                <c:v>-0.9653308547539835</c:v>
              </c:pt>
              <c:pt idx="607">
                <c:v>1.139435584019366E-2</c:v>
              </c:pt>
              <c:pt idx="608">
                <c:v>0.94138183114787966</c:v>
              </c:pt>
              <c:pt idx="609">
                <c:v>-2.0132211815859682</c:v>
              </c:pt>
              <c:pt idx="610">
                <c:v>1.2939394071597379</c:v>
              </c:pt>
              <c:pt idx="611">
                <c:v>-1.3274795417299077</c:v>
              </c:pt>
              <c:pt idx="612">
                <c:v>1.4348779240118081</c:v>
              </c:pt>
              <c:pt idx="613">
                <c:v>3.4768576069630157</c:v>
              </c:pt>
              <c:pt idx="614">
                <c:v>-2.450364519325495</c:v>
              </c:pt>
              <c:pt idx="615">
                <c:v>2.0414296467233526</c:v>
              </c:pt>
              <c:pt idx="616">
                <c:v>1.3846569223403877</c:v>
              </c:pt>
              <c:pt idx="617">
                <c:v>0.17663865698726128</c:v>
              </c:pt>
              <c:pt idx="618">
                <c:v>0.26819271126549316</c:v>
              </c:pt>
              <c:pt idx="619">
                <c:v>-2.1957319720658521</c:v>
              </c:pt>
              <c:pt idx="620">
                <c:v>-0.31334018013176923</c:v>
              </c:pt>
              <c:pt idx="621">
                <c:v>-0.63552953625099162</c:v>
              </c:pt>
              <c:pt idx="622">
                <c:v>0.87229256703574665</c:v>
              </c:pt>
              <c:pt idx="623">
                <c:v>-0.17159561717959071</c:v>
              </c:pt>
              <c:pt idx="624">
                <c:v>-0.98901124789609296</c:v>
              </c:pt>
              <c:pt idx="625">
                <c:v>-1.5246839759316684</c:v>
              </c:pt>
              <c:pt idx="626">
                <c:v>0.86498892298803687</c:v>
              </c:pt>
              <c:pt idx="627">
                <c:v>-2.4705735695709783</c:v>
              </c:pt>
              <c:pt idx="628">
                <c:v>-5.4266400819055667</c:v>
              </c:pt>
              <c:pt idx="629">
                <c:v>-1.8985874503784992</c:v>
              </c:pt>
              <c:pt idx="630">
                <c:v>1.4866388738749357</c:v>
              </c:pt>
              <c:pt idx="631">
                <c:v>2.1580498461967812</c:v>
              </c:pt>
              <c:pt idx="632">
                <c:v>0.8597634118904256</c:v>
              </c:pt>
              <c:pt idx="633">
                <c:v>0.12085695866935146</c:v>
              </c:pt>
              <c:pt idx="634">
                <c:v>-1.65306083401296</c:v>
              </c:pt>
              <c:pt idx="635">
                <c:v>0.82684517319168216</c:v>
              </c:pt>
              <c:pt idx="636">
                <c:v>1.1762300987617547</c:v>
              </c:pt>
              <c:pt idx="637">
                <c:v>-1.3317177507733224</c:v>
              </c:pt>
              <c:pt idx="638">
                <c:v>-0.67286549369086746</c:v>
              </c:pt>
              <c:pt idx="639">
                <c:v>-0.60263833564919611</c:v>
              </c:pt>
              <c:pt idx="640">
                <c:v>-0.40839366844884584</c:v>
              </c:pt>
              <c:pt idx="641">
                <c:v>-0.27318595003354562</c:v>
              </c:pt>
              <c:pt idx="642">
                <c:v>-0.50153206298683284</c:v>
              </c:pt>
              <c:pt idx="643">
                <c:v>0.65422777923900721</c:v>
              </c:pt>
              <c:pt idx="644">
                <c:v>-1.1542256570525544</c:v>
              </c:pt>
              <c:pt idx="645">
                <c:v>1.0728571762418149E-2</c:v>
              </c:pt>
              <c:pt idx="646">
                <c:v>2.5887424293262185E-3</c:v>
              </c:pt>
              <c:pt idx="647">
                <c:v>-3.2156554434706885E-3</c:v>
              </c:pt>
              <c:pt idx="648">
                <c:v>-8.3249454570148207E-2</c:v>
              </c:pt>
              <c:pt idx="649">
                <c:v>-0.76583214660259236</c:v>
              </c:pt>
              <c:pt idx="650">
                <c:v>-0.27647843280936901</c:v>
              </c:pt>
              <c:pt idx="651">
                <c:v>0.2930949544777024</c:v>
              </c:pt>
              <c:pt idx="652">
                <c:v>1.7039958209422921</c:v>
              </c:pt>
              <c:pt idx="653">
                <c:v>-0.58391140180042067</c:v>
              </c:pt>
              <c:pt idx="654">
                <c:v>-0.27137182568396723</c:v>
              </c:pt>
              <c:pt idx="655">
                <c:v>1.1225730244444538</c:v>
              </c:pt>
              <c:pt idx="656">
                <c:v>0.5568843202715057</c:v>
              </c:pt>
              <c:pt idx="657">
                <c:v>0.28181902584434715</c:v>
              </c:pt>
              <c:pt idx="658">
                <c:v>1.1744379940831549</c:v>
              </c:pt>
              <c:pt idx="659">
                <c:v>-0.754537900590596</c:v>
              </c:pt>
              <c:pt idx="660">
                <c:v>-1.4859851841645177</c:v>
              </c:pt>
              <c:pt idx="661">
                <c:v>-0.25347227170039921</c:v>
              </c:pt>
              <c:pt idx="662">
                <c:v>0.48580362662596221</c:v>
              </c:pt>
              <c:pt idx="663">
                <c:v>0.52408339684553962</c:v>
              </c:pt>
              <c:pt idx="664">
                <c:v>1.1477386266802676</c:v>
              </c:pt>
              <c:pt idx="665">
                <c:v>-7.5267936810949052E-2</c:v>
              </c:pt>
              <c:pt idx="666">
                <c:v>-1.2551166164816518</c:v>
              </c:pt>
              <c:pt idx="667">
                <c:v>-0.26833549014686775</c:v>
              </c:pt>
              <c:pt idx="668">
                <c:v>0.27820135073739993</c:v>
              </c:pt>
              <c:pt idx="669">
                <c:v>1.2829803271503151</c:v>
              </c:pt>
              <c:pt idx="670">
                <c:v>2.6264267764110893E-3</c:v>
              </c:pt>
              <c:pt idx="671">
                <c:v>-1.9223180888889715</c:v>
              </c:pt>
              <c:pt idx="672">
                <c:v>1.1994086534432615</c:v>
              </c:pt>
              <c:pt idx="673">
                <c:v>-0.63159586802686962</c:v>
              </c:pt>
              <c:pt idx="674">
                <c:v>-1.7913533870773515</c:v>
              </c:pt>
              <c:pt idx="675">
                <c:v>-0.20028472847350498</c:v>
              </c:pt>
              <c:pt idx="676">
                <c:v>0.77191072211873024</c:v>
              </c:pt>
              <c:pt idx="677">
                <c:v>-1.7597580794316123</c:v>
              </c:pt>
              <c:pt idx="678">
                <c:v>0.73926416808487261</c:v>
              </c:pt>
              <c:pt idx="679">
                <c:v>0.99503751539036955</c:v>
              </c:pt>
              <c:pt idx="680">
                <c:v>-5.9746452794132487E-2</c:v>
              </c:pt>
              <c:pt idx="681">
                <c:v>-1.1026173326945243</c:v>
              </c:pt>
              <c:pt idx="682">
                <c:v>-0.62732771842280166</c:v>
              </c:pt>
              <c:pt idx="683">
                <c:v>1.2923485773499448</c:v>
              </c:pt>
              <c:pt idx="684">
                <c:v>0.33865004373529423</c:v>
              </c:pt>
              <c:pt idx="685">
                <c:v>1.2844501540054369</c:v>
              </c:pt>
              <c:pt idx="686">
                <c:v>-0.48258575614764343</c:v>
              </c:pt>
              <c:pt idx="687">
                <c:v>0.56033301326939999</c:v>
              </c:pt>
              <c:pt idx="688">
                <c:v>-0.53623433887539496</c:v>
              </c:pt>
              <c:pt idx="689">
                <c:v>0.30135920425092011</c:v>
              </c:pt>
              <c:pt idx="690">
                <c:v>1.8139816093243435</c:v>
              </c:pt>
              <c:pt idx="691">
                <c:v>0.21597475500427343</c:v>
              </c:pt>
              <c:pt idx="692">
                <c:v>1.2960221391737567</c:v>
              </c:pt>
              <c:pt idx="693">
                <c:v>-0.19586704971394669</c:v>
              </c:pt>
              <c:pt idx="694">
                <c:v>-1.2430641848624564</c:v>
              </c:pt>
              <c:pt idx="695">
                <c:v>-1.947738525882488</c:v>
              </c:pt>
              <c:pt idx="696">
                <c:v>1.4253863186584064</c:v>
              </c:pt>
              <c:pt idx="697">
                <c:v>-0.24594659939323887</c:v>
              </c:pt>
              <c:pt idx="698">
                <c:v>-0.19681961223569733</c:v>
              </c:pt>
              <c:pt idx="699">
                <c:v>-0.33074276017637616</c:v>
              </c:pt>
              <c:pt idx="700">
                <c:v>0.74445634305204067</c:v>
              </c:pt>
              <c:pt idx="701">
                <c:v>-7.8158193354365468E-2</c:v>
              </c:pt>
              <c:pt idx="702">
                <c:v>-1.1629257466902843</c:v>
              </c:pt>
              <c:pt idx="703">
                <c:v>0.1305580529794475</c:v>
              </c:pt>
              <c:pt idx="704">
                <c:v>-9.5602699345167186E-2</c:v>
              </c:pt>
              <c:pt idx="705">
                <c:v>-0.28288319910480852</c:v>
              </c:pt>
              <c:pt idx="706">
                <c:v>-0.86064518996926609</c:v>
              </c:pt>
              <c:pt idx="707">
                <c:v>0.23268682765818527</c:v>
              </c:pt>
              <c:pt idx="708">
                <c:v>-0.75461385459508312</c:v>
              </c:pt>
              <c:pt idx="709">
                <c:v>-7.4416525390885724E-3</c:v>
              </c:pt>
              <c:pt idx="710">
                <c:v>-0.16540814187190478</c:v>
              </c:pt>
              <c:pt idx="711">
                <c:v>-0.26694807545316906</c:v>
              </c:pt>
              <c:pt idx="712">
                <c:v>-4.4099667262157749E-2</c:v>
              </c:pt>
              <c:pt idx="713">
                <c:v>-1.2428703932582221</c:v>
              </c:pt>
              <c:pt idx="714">
                <c:v>-0.60163378624143138</c:v>
              </c:pt>
              <c:pt idx="715">
                <c:v>-1.3047288600196936</c:v>
              </c:pt>
              <c:pt idx="716">
                <c:v>-4.1335484124897515E-2</c:v>
              </c:pt>
              <c:pt idx="717">
                <c:v>1.5546636590850937</c:v>
              </c:pt>
              <c:pt idx="718">
                <c:v>0.72369819742641617</c:v>
              </c:pt>
              <c:pt idx="719">
                <c:v>-0.96010790435181759</c:v>
              </c:pt>
              <c:pt idx="720">
                <c:v>-0.66064241238614618</c:v>
              </c:pt>
              <c:pt idx="721">
                <c:v>-0.65235272782585541</c:v>
              </c:pt>
              <c:pt idx="722">
                <c:v>-0.26018055844621424</c:v>
              </c:pt>
              <c:pt idx="723">
                <c:v>0.54816418141206413</c:v>
              </c:pt>
              <c:pt idx="724">
                <c:v>-0.46723934269092193</c:v>
              </c:pt>
              <c:pt idx="725">
                <c:v>-0.93468265377606585</c:v>
              </c:pt>
              <c:pt idx="726">
                <c:v>0.83431638518575313</c:v>
              </c:pt>
              <c:pt idx="727">
                <c:v>-1.0129443634862509</c:v>
              </c:pt>
              <c:pt idx="728">
                <c:v>1.0113078439400485</c:v>
              </c:pt>
              <c:pt idx="729">
                <c:v>-1.0368559138131925</c:v>
              </c:pt>
              <c:pt idx="730">
                <c:v>-0.76610451352074638</c:v>
              </c:pt>
              <c:pt idx="731">
                <c:v>0.27845795968910714</c:v>
              </c:pt>
              <c:pt idx="732">
                <c:v>0.86681789155267686</c:v>
              </c:pt>
              <c:pt idx="733">
                <c:v>-2.4655863087816074</c:v>
              </c:pt>
              <c:pt idx="734">
                <c:v>0.62787787070304235</c:v>
              </c:pt>
              <c:pt idx="735">
                <c:v>-0.57615766135281432</c:v>
              </c:pt>
              <c:pt idx="736">
                <c:v>1.2379323273635212</c:v>
              </c:pt>
              <c:pt idx="737">
                <c:v>-0.96001776775312453</c:v>
              </c:pt>
              <c:pt idx="738">
                <c:v>-0.29917256252925245</c:v>
              </c:pt>
              <c:pt idx="739">
                <c:v>0.65624890213840237</c:v>
              </c:pt>
              <c:pt idx="740">
                <c:v>-0.23437949444311179</c:v>
              </c:pt>
              <c:pt idx="741">
                <c:v>0.20807403148617953</c:v>
              </c:pt>
              <c:pt idx="742">
                <c:v>-0.39139025826861268</c:v>
              </c:pt>
              <c:pt idx="743">
                <c:v>-1.0380019964594862</c:v>
              </c:pt>
              <c:pt idx="744">
                <c:v>-1.1498298670614193</c:v>
              </c:pt>
              <c:pt idx="745">
                <c:v>0.5343304635317867</c:v>
              </c:pt>
              <c:pt idx="746">
                <c:v>-0.72183456672090152</c:v>
              </c:pt>
              <c:pt idx="747">
                <c:v>1.3003811609385518</c:v>
              </c:pt>
              <c:pt idx="748">
                <c:v>-2.4612299106956046</c:v>
              </c:pt>
              <c:pt idx="749">
                <c:v>0.7216966110963432</c:v>
              </c:pt>
              <c:pt idx="750">
                <c:v>0.42429860583063328</c:v>
              </c:pt>
              <c:pt idx="751">
                <c:v>0.6466043161844518</c:v>
              </c:pt>
              <c:pt idx="752">
                <c:v>0.66158272061424173</c:v>
              </c:pt>
              <c:pt idx="753">
                <c:v>1.6910791528770703</c:v>
              </c:pt>
              <c:pt idx="754">
                <c:v>0.60194689407692104</c:v>
              </c:pt>
              <c:pt idx="755">
                <c:v>-0.40217980225176719</c:v>
              </c:pt>
              <c:pt idx="756">
                <c:v>-0.72740363975093558</c:v>
              </c:pt>
              <c:pt idx="757">
                <c:v>0.53464257616727306</c:v>
              </c:pt>
              <c:pt idx="758">
                <c:v>0.31742632983346003</c:v>
              </c:pt>
              <c:pt idx="759">
                <c:v>0.35028491653965499</c:v>
              </c:pt>
              <c:pt idx="760">
                <c:v>-1.1211323368358841</c:v>
              </c:pt>
              <c:pt idx="761">
                <c:v>-1.8206049642758977</c:v>
              </c:pt>
              <c:pt idx="762">
                <c:v>0.78541065183016212</c:v>
              </c:pt>
              <c:pt idx="763">
                <c:v>0.85357197979051302</c:v>
              </c:pt>
              <c:pt idx="764">
                <c:v>-1.0993608946269471</c:v>
              </c:pt>
              <c:pt idx="765">
                <c:v>0.86349642688502193</c:v>
              </c:pt>
              <c:pt idx="766">
                <c:v>-0.64848621549126673</c:v>
              </c:pt>
              <c:pt idx="767">
                <c:v>0.49277198709573422</c:v>
              </c:pt>
              <c:pt idx="768">
                <c:v>1.6790233170996127</c:v>
              </c:pt>
              <c:pt idx="769">
                <c:v>0.77707133751881918</c:v>
              </c:pt>
              <c:pt idx="770">
                <c:v>-1.0115346103550866</c:v>
              </c:pt>
              <c:pt idx="771">
                <c:v>-0.3418422281748249</c:v>
              </c:pt>
              <c:pt idx="772">
                <c:v>-0.79004209727226959</c:v>
              </c:pt>
              <c:pt idx="773">
                <c:v>-0.13996039293238949</c:v>
              </c:pt>
              <c:pt idx="774">
                <c:v>-4.3190729289249163E-3</c:v>
              </c:pt>
              <c:pt idx="775">
                <c:v>0.66325192454683091</c:v>
              </c:pt>
              <c:pt idx="776">
                <c:v>-0.86284623462320686</c:v>
              </c:pt>
              <c:pt idx="777">
                <c:v>-0.10741391886168089</c:v>
              </c:pt>
              <c:pt idx="778">
                <c:v>0.41243300724742993</c:v>
              </c:pt>
              <c:pt idx="779">
                <c:v>7.8219906919379578E-2</c:v>
              </c:pt>
              <c:pt idx="780">
                <c:v>1.2131054771305052</c:v>
              </c:pt>
              <c:pt idx="781">
                <c:v>1.5824705740191511</c:v>
              </c:pt>
              <c:pt idx="782">
                <c:v>1.244209895635715</c:v>
              </c:pt>
              <c:pt idx="783">
                <c:v>-0.76792393616731558</c:v>
              </c:pt>
              <c:pt idx="784">
                <c:v>0.33424336266871368</c:v>
              </c:pt>
              <c:pt idx="785">
                <c:v>-0.7284630299383732</c:v>
              </c:pt>
              <c:pt idx="786">
                <c:v>2.1740868809669514</c:v>
              </c:pt>
              <c:pt idx="787">
                <c:v>-0.60133605245541255</c:v>
              </c:pt>
              <c:pt idx="788">
                <c:v>-1.1050122585904294</c:v>
              </c:pt>
              <c:pt idx="789">
                <c:v>-4.0585144182943178E-2</c:v>
              </c:pt>
              <c:pt idx="790">
                <c:v>0.46965925153771593</c:v>
              </c:pt>
              <c:pt idx="791">
                <c:v>-1.0954511475177529</c:v>
              </c:pt>
              <c:pt idx="792">
                <c:v>0.63403950045007851</c:v>
              </c:pt>
              <c:pt idx="793">
                <c:v>-0.43718226235165086</c:v>
              </c:pt>
              <c:pt idx="794">
                <c:v>-0.26567685378451755</c:v>
              </c:pt>
              <c:pt idx="795">
                <c:v>1.0628226142139314</c:v>
              </c:pt>
              <c:pt idx="796">
                <c:v>-0.17697211414346076</c:v>
              </c:pt>
              <c:pt idx="797">
                <c:v>1.2749811076297857</c:v>
              </c:pt>
              <c:pt idx="798">
                <c:v>-0.16594498640878308</c:v>
              </c:pt>
              <c:pt idx="799">
                <c:v>0.46867790101003609</c:v>
              </c:pt>
              <c:pt idx="800">
                <c:v>-5.8573884684854916E-2</c:v>
              </c:pt>
              <c:pt idx="801">
                <c:v>-1.1189306572154707</c:v>
              </c:pt>
              <c:pt idx="802">
                <c:v>-0.76842375560860499</c:v>
              </c:pt>
              <c:pt idx="803">
                <c:v>1.0484441091885799</c:v>
              </c:pt>
              <c:pt idx="804">
                <c:v>-0.60008260046729989</c:v>
              </c:pt>
              <c:pt idx="805">
                <c:v>0.12912807006786048</c:v>
              </c:pt>
              <c:pt idx="806">
                <c:v>0.84371175344547933</c:v>
              </c:pt>
              <c:pt idx="807">
                <c:v>0.97691012348122142</c:v>
              </c:pt>
              <c:pt idx="808">
                <c:v>0.83244683346293369</c:v>
              </c:pt>
              <c:pt idx="809">
                <c:v>-1.3928295059439979</c:v>
              </c:pt>
              <c:pt idx="810">
                <c:v>-1.1551855089529752</c:v>
              </c:pt>
              <c:pt idx="811">
                <c:v>2.1179015446233023</c:v>
              </c:pt>
              <c:pt idx="812">
                <c:v>-1.1073653494611209</c:v>
              </c:pt>
              <c:pt idx="813">
                <c:v>-0.36384377452332323</c:v>
              </c:pt>
              <c:pt idx="814">
                <c:v>-0.26420778677645368</c:v>
              </c:pt>
              <c:pt idx="815">
                <c:v>7.0075611794282136E-2</c:v>
              </c:pt>
              <c:pt idx="816">
                <c:v>-1.1138913654292537E-2</c:v>
              </c:pt>
              <c:pt idx="817">
                <c:v>-0.10097711795898773</c:v>
              </c:pt>
              <c:pt idx="818">
                <c:v>0.39605492997545722</c:v>
              </c:pt>
              <c:pt idx="819">
                <c:v>-0.73100750196957054</c:v>
              </c:pt>
              <c:pt idx="820">
                <c:v>-1.4500237326068326</c:v>
              </c:pt>
              <c:pt idx="821">
                <c:v>-0.96237046719940078</c:v>
              </c:pt>
              <c:pt idx="822">
                <c:v>0.25446208608221244</c:v>
              </c:pt>
              <c:pt idx="823">
                <c:v>0.58977131086443624</c:v>
              </c:pt>
              <c:pt idx="824">
                <c:v>0.29822147626965023</c:v>
              </c:pt>
              <c:pt idx="825">
                <c:v>0.85915728345780895</c:v>
              </c:pt>
              <c:pt idx="826">
                <c:v>-0.31198505326196235</c:v>
              </c:pt>
              <c:pt idx="827">
                <c:v>1.4837573367665748</c:v>
              </c:pt>
              <c:pt idx="828">
                <c:v>0.44611509333714416</c:v>
              </c:pt>
              <c:pt idx="829">
                <c:v>-0.14093921909358792</c:v>
              </c:pt>
              <c:pt idx="830">
                <c:v>-0.16983013854111095</c:v>
              </c:pt>
              <c:pt idx="831">
                <c:v>-1.0382777772104836</c:v>
              </c:pt>
              <c:pt idx="832">
                <c:v>7.9076244391395059E-2</c:v>
              </c:pt>
              <c:pt idx="833">
                <c:v>-0.16867873094344354</c:v>
              </c:pt>
              <c:pt idx="834">
                <c:v>-0.17137275039318434</c:v>
              </c:pt>
              <c:pt idx="835">
                <c:v>-0.54930125359223059</c:v>
              </c:pt>
              <c:pt idx="836">
                <c:v>0.40045257047113542</c:v>
              </c:pt>
              <c:pt idx="837">
                <c:v>9.7971280557442642E-2</c:v>
              </c:pt>
              <c:pt idx="838">
                <c:v>-0.48032480026254554</c:v>
              </c:pt>
              <c:pt idx="839">
                <c:v>-1.5434679501381408</c:v>
              </c:pt>
              <c:pt idx="840">
                <c:v>-1.7384059726008745</c:v>
              </c:pt>
              <c:pt idx="841">
                <c:v>1.8266359120804945</c:v>
              </c:pt>
              <c:pt idx="842">
                <c:v>0.78340193970032768</c:v>
              </c:pt>
              <c:pt idx="843">
                <c:v>-0.73065215219011914</c:v>
              </c:pt>
              <c:pt idx="844">
                <c:v>-0.4034512650931168</c:v>
              </c:pt>
              <c:pt idx="845">
                <c:v>-8.4363106079126116E-3</c:v>
              </c:pt>
              <c:pt idx="846">
                <c:v>0.41900383383905582</c:v>
              </c:pt>
              <c:pt idx="847">
                <c:v>0.23908154268838588</c:v>
              </c:pt>
              <c:pt idx="848">
                <c:v>-0.97632419066720511</c:v>
              </c:pt>
              <c:pt idx="849">
                <c:v>-0.37818293493033828</c:v>
              </c:pt>
              <c:pt idx="850">
                <c:v>0.65842672125787494</c:v>
              </c:pt>
              <c:pt idx="851">
                <c:v>0.27701148196578784</c:v>
              </c:pt>
              <c:pt idx="852">
                <c:v>-0.14498978322843814</c:v>
              </c:pt>
              <c:pt idx="853">
                <c:v>-0.11536536644092282</c:v>
              </c:pt>
              <c:pt idx="854">
                <c:v>-0.75560935977933497</c:v>
              </c:pt>
              <c:pt idx="855">
                <c:v>-0.73855158622896355</c:v>
              </c:pt>
              <c:pt idx="856">
                <c:v>-0.28694948122453118</c:v>
              </c:pt>
              <c:pt idx="857">
                <c:v>0.38199124251078437</c:v>
              </c:pt>
              <c:pt idx="858">
                <c:v>-0.20894512698591927</c:v>
              </c:pt>
              <c:pt idx="859">
                <c:v>0.89607743929705286</c:v>
              </c:pt>
              <c:pt idx="860">
                <c:v>-0.3035286528065998</c:v>
              </c:pt>
              <c:pt idx="861">
                <c:v>0.53015843107667104</c:v>
              </c:pt>
              <c:pt idx="862">
                <c:v>2.8775634215650063</c:v>
              </c:pt>
              <c:pt idx="863">
                <c:v>0.94345391928112088</c:v>
              </c:pt>
              <c:pt idx="864">
                <c:v>0.48773443967317498</c:v>
              </c:pt>
              <c:pt idx="865">
                <c:v>0.54716838539895885</c:v>
              </c:pt>
              <c:pt idx="866">
                <c:v>-1.3071543444629219</c:v>
              </c:pt>
              <c:pt idx="867">
                <c:v>3.4365942278877293E-2</c:v>
              </c:pt>
              <c:pt idx="868">
                <c:v>-0.57626265549376021</c:v>
              </c:pt>
              <c:pt idx="869">
                <c:v>2.2114557104549277</c:v>
              </c:pt>
              <c:pt idx="870">
                <c:v>-1.0935767095547706</c:v>
              </c:pt>
              <c:pt idx="871">
                <c:v>-0.26459660121954415</c:v>
              </c:pt>
              <c:pt idx="872">
                <c:v>-0.98502072954756581</c:v>
              </c:pt>
              <c:pt idx="873">
                <c:v>-3.8793378229968072</c:v>
              </c:pt>
              <c:pt idx="874">
                <c:v>-0.7928728000493398</c:v>
              </c:pt>
              <c:pt idx="875">
                <c:v>-0.54407866430748608</c:v>
              </c:pt>
              <c:pt idx="876">
                <c:v>4.9073007464651597E-2</c:v>
              </c:pt>
              <c:pt idx="877">
                <c:v>-6.0196980510313081E-4</c:v>
              </c:pt>
              <c:pt idx="878">
                <c:v>-0.65109504756582459</c:v>
              </c:pt>
              <c:pt idx="879">
                <c:v>-1.0740296731755172</c:v>
              </c:pt>
              <c:pt idx="880">
                <c:v>2.2987891071993585</c:v>
              </c:pt>
              <c:pt idx="881">
                <c:v>-0.32035788919832076</c:v>
              </c:pt>
              <c:pt idx="882">
                <c:v>-1.3701029731942185</c:v>
              </c:pt>
              <c:pt idx="883">
                <c:v>-0.31212625569006303</c:v>
              </c:pt>
              <c:pt idx="884">
                <c:v>2.0415787844544275</c:v>
              </c:pt>
              <c:pt idx="885">
                <c:v>-1.0938303384489836</c:v>
              </c:pt>
              <c:pt idx="886">
                <c:v>0.73025233295104808</c:v>
              </c:pt>
              <c:pt idx="887">
                <c:v>0.90657631467996325</c:v>
              </c:pt>
              <c:pt idx="888">
                <c:v>-0.3439509536318508</c:v>
              </c:pt>
              <c:pt idx="889">
                <c:v>-1.1305643290922034</c:v>
              </c:pt>
              <c:pt idx="890">
                <c:v>0.87290728163150366</c:v>
              </c:pt>
              <c:pt idx="891">
                <c:v>-7.640340588345873E-2</c:v>
              </c:pt>
              <c:pt idx="892">
                <c:v>1.1532773120471083</c:v>
              </c:pt>
              <c:pt idx="893">
                <c:v>0.21464132795284924</c:v>
              </c:pt>
              <c:pt idx="894">
                <c:v>-8.8578630347881826E-2</c:v>
              </c:pt>
              <c:pt idx="895">
                <c:v>-0.50121033779731838</c:v>
              </c:pt>
              <c:pt idx="896">
                <c:v>0.59920606974604373</c:v>
              </c:pt>
              <c:pt idx="897">
                <c:v>-0.45668296158472133</c:v>
              </c:pt>
              <c:pt idx="898">
                <c:v>-0.7837072887345069</c:v>
              </c:pt>
              <c:pt idx="899">
                <c:v>-0.59603203633244983</c:v>
              </c:pt>
              <c:pt idx="900">
                <c:v>-0.51262606180416082</c:v>
              </c:pt>
              <c:pt idx="901">
                <c:v>-0.35089909162642141</c:v>
              </c:pt>
              <c:pt idx="902">
                <c:v>-0.38690622710076389</c:v>
              </c:pt>
              <c:pt idx="903">
                <c:v>-0.38076628986688904</c:v>
              </c:pt>
              <c:pt idx="904">
                <c:v>2.5918134197387013</c:v>
              </c:pt>
              <c:pt idx="905">
                <c:v>-0.70509633941443339</c:v>
              </c:pt>
              <c:pt idx="906">
                <c:v>0.90560143070054888</c:v>
              </c:pt>
              <c:pt idx="907">
                <c:v>-0.21109441862132233</c:v>
              </c:pt>
              <c:pt idx="908">
                <c:v>-0.21803924574797096</c:v>
              </c:pt>
              <c:pt idx="909">
                <c:v>-0.38873441281657378</c:v>
              </c:pt>
              <c:pt idx="910">
                <c:v>-0.74705914708732524</c:v>
              </c:pt>
              <c:pt idx="911">
                <c:v>0.34009458970767037</c:v>
              </c:pt>
              <c:pt idx="912">
                <c:v>-0.48963925542255171</c:v>
              </c:pt>
              <c:pt idx="913">
                <c:v>0.40232600504500249</c:v>
              </c:pt>
              <c:pt idx="914">
                <c:v>0.13269270889613383</c:v>
              </c:pt>
              <c:pt idx="915">
                <c:v>0.7982907468381969</c:v>
              </c:pt>
              <c:pt idx="916">
                <c:v>-0.17616986490928149</c:v>
              </c:pt>
              <c:pt idx="917">
                <c:v>-0.11338172669748903</c:v>
              </c:pt>
              <c:pt idx="918">
                <c:v>-1.2219222322618792</c:v>
              </c:pt>
              <c:pt idx="919">
                <c:v>0.94355270137369063</c:v>
              </c:pt>
              <c:pt idx="920">
                <c:v>0.1689094872314979</c:v>
              </c:pt>
              <c:pt idx="921">
                <c:v>0.1778405584312106</c:v>
              </c:pt>
              <c:pt idx="922">
                <c:v>-0.62647105616232857</c:v>
              </c:pt>
              <c:pt idx="923">
                <c:v>-0.12656465990263116</c:v>
              </c:pt>
              <c:pt idx="924">
                <c:v>-0.5644064246392767</c:v>
              </c:pt>
              <c:pt idx="925">
                <c:v>0.88112307957952507</c:v>
              </c:pt>
              <c:pt idx="926">
                <c:v>-0.29821017658776922</c:v>
              </c:pt>
              <c:pt idx="927">
                <c:v>1.1680079202505869</c:v>
              </c:pt>
              <c:pt idx="928">
                <c:v>1.2613418333000175</c:v>
              </c:pt>
              <c:pt idx="929">
                <c:v>-0.20335427052174315</c:v>
              </c:pt>
              <c:pt idx="930">
                <c:v>-1.0350489552449504</c:v>
              </c:pt>
              <c:pt idx="931">
                <c:v>1.8083557904180769</c:v>
              </c:pt>
              <c:pt idx="932">
                <c:v>-0.5321090240330455</c:v>
              </c:pt>
              <c:pt idx="933">
                <c:v>-0.38288532839426448</c:v>
              </c:pt>
              <c:pt idx="934">
                <c:v>1.7799001328299697</c:v>
              </c:pt>
              <c:pt idx="935">
                <c:v>0.20819643053763259</c:v>
              </c:pt>
              <c:pt idx="936">
                <c:v>3.1263201081105025</c:v>
              </c:pt>
              <c:pt idx="937">
                <c:v>-1.2415485842591778E-2</c:v>
              </c:pt>
              <c:pt idx="938">
                <c:v>-0.75994894557036929</c:v>
              </c:pt>
              <c:pt idx="939">
                <c:v>1.8748810736701815</c:v>
              </c:pt>
              <c:pt idx="940">
                <c:v>-1.0160740785707572</c:v>
              </c:pt>
              <c:pt idx="941">
                <c:v>-0.5655134898250509</c:v>
              </c:pt>
              <c:pt idx="942">
                <c:v>2.1348043161844519</c:v>
              </c:pt>
              <c:pt idx="943">
                <c:v>-1.9339541275752474</c:v>
              </c:pt>
              <c:pt idx="944">
                <c:v>-0.93007159912171167</c:v>
              </c:pt>
              <c:pt idx="945">
                <c:v>-0.26565401967446439</c:v>
              </c:pt>
              <c:pt idx="946">
                <c:v>0.39361202729453049</c:v>
              </c:pt>
              <c:pt idx="947">
                <c:v>-6.189387329257956E-2</c:v>
              </c:pt>
              <c:pt idx="948">
                <c:v>0.88191255327411144</c:v>
              </c:pt>
              <c:pt idx="949">
                <c:v>0.25675539899366162</c:v>
              </c:pt>
              <c:pt idx="950">
                <c:v>0.81879490116893638</c:v>
              </c:pt>
              <c:pt idx="951">
                <c:v>-1.102342228174825</c:v>
              </c:pt>
              <c:pt idx="952">
                <c:v>0.86497949701468935</c:v>
              </c:pt>
              <c:pt idx="953">
                <c:v>-0.24998737643732039</c:v>
              </c:pt>
              <c:pt idx="954">
                <c:v>-0.15007861336807982</c:v>
              </c:pt>
              <c:pt idx="955">
                <c:v>0.66525619516968326</c:v>
              </c:pt>
              <c:pt idx="956">
                <c:v>0.64389701950056044</c:v>
              </c:pt>
              <c:pt idx="957">
                <c:v>-0.33978162244931664</c:v>
              </c:pt>
              <c:pt idx="958">
                <c:v>-0.88933432554820369</c:v>
              </c:pt>
              <c:pt idx="959">
                <c:v>1.9935520881257391</c:v>
              </c:pt>
              <c:pt idx="960">
                <c:v>0.6853099452918705</c:v>
              </c:pt>
              <c:pt idx="961">
                <c:v>-0.58745638283139689</c:v>
              </c:pt>
              <c:pt idx="962">
                <c:v>-0.448071916604948</c:v>
              </c:pt>
              <c:pt idx="963">
                <c:v>0.36235971325069904</c:v>
              </c:pt>
              <c:pt idx="964">
                <c:v>-0.14716187866690056</c:v>
              </c:pt>
              <c:pt idx="965">
                <c:v>0.1229400591060128</c:v>
              </c:pt>
              <c:pt idx="966">
                <c:v>0.72896924218896775</c:v>
              </c:pt>
              <c:pt idx="967">
                <c:v>-0.29490847268233267</c:v>
              </c:pt>
              <c:pt idx="968">
                <c:v>-0.85898526412766674</c:v>
              </c:pt>
              <c:pt idx="969">
                <c:v>-1.42361043839288</c:v>
              </c:pt>
              <c:pt idx="970">
                <c:v>4.7689960336756432E-2</c:v>
              </c:pt>
              <c:pt idx="971">
                <c:v>-0.93369645698979742</c:v>
              </c:pt>
              <c:pt idx="972">
                <c:v>0.52363753237017163</c:v>
              </c:pt>
              <c:pt idx="973">
                <c:v>0.63622651404478126</c:v>
              </c:pt>
              <c:pt idx="974">
                <c:v>-0.34830674212251322</c:v>
              </c:pt>
              <c:pt idx="975">
                <c:v>-0.94624008921078806</c:v>
              </c:pt>
              <c:pt idx="976">
                <c:v>0.1231532600296249</c:v>
              </c:pt>
              <c:pt idx="977">
                <c:v>1.1802128780625689</c:v>
              </c:pt>
              <c:pt idx="978">
                <c:v>-1.8727263829400078</c:v>
              </c:pt>
              <c:pt idx="979">
                <c:v>-0.43798228170081255</c:v>
              </c:pt>
              <c:pt idx="980">
                <c:v>6.0199040889233335E-2</c:v>
              </c:pt>
              <c:pt idx="981">
                <c:v>3.2496599870997498</c:v>
              </c:pt>
              <c:pt idx="982">
                <c:v>-0.88331681767277537</c:v>
              </c:pt>
              <c:pt idx="983">
                <c:v>-0.8299811643889442</c:v>
              </c:pt>
              <c:pt idx="984">
                <c:v>-0.78456552399786106</c:v>
              </c:pt>
              <c:pt idx="985">
                <c:v>-0.10235543877301795</c:v>
              </c:pt>
              <c:pt idx="986">
                <c:v>0.34301853747698119</c:v>
              </c:pt>
              <c:pt idx="987">
                <c:v>-0.4861159269231623</c:v>
              </c:pt>
              <c:pt idx="988">
                <c:v>0.90267505916031809</c:v>
              </c:pt>
              <c:pt idx="989">
                <c:v>-0.57017492203357434</c:v>
              </c:pt>
              <c:pt idx="990">
                <c:v>0.17484406555439469</c:v>
              </c:pt>
              <c:pt idx="991">
                <c:v>-0.74529541598846716</c:v>
              </c:pt>
              <c:pt idx="992">
                <c:v>-1.7300419190829182</c:v>
              </c:pt>
              <c:pt idx="993">
                <c:v>-8.7717306040141385E-2</c:v>
              </c:pt>
              <c:pt idx="994">
                <c:v>0.95288648223731487</c:v>
              </c:pt>
              <c:pt idx="995">
                <c:v>-2.7433153912690003</c:v>
              </c:pt>
              <c:pt idx="996">
                <c:v>-1.1255916204057896</c:v>
              </c:pt>
              <c:pt idx="997">
                <c:v>-0.33999089451833631</c:v>
              </c:pt>
              <c:pt idx="998">
                <c:v>-1.3545795307720758</c:v>
              </c:pt>
              <c:pt idx="999">
                <c:v>1.2583896125465264</c:v>
              </c:pt>
              <c:pt idx="1000">
                <c:v>4.3504884746022459</c:v>
              </c:pt>
              <c:pt idx="1001">
                <c:v>0.94289064989524596</c:v>
              </c:pt>
              <c:pt idx="1002">
                <c:v>-1.7305557538868945</c:v>
              </c:pt>
              <c:pt idx="1003">
                <c:v>1.26438617808127</c:v>
              </c:pt>
              <c:pt idx="1004">
                <c:v>-1.3761204556985147</c:v>
              </c:pt>
              <c:pt idx="1005">
                <c:v>2.240414852164446</c:v>
              </c:pt>
              <c:pt idx="1006">
                <c:v>-0.15116215982117298</c:v>
              </c:pt>
              <c:pt idx="1007">
                <c:v>0.78392950249360549</c:v>
              </c:pt>
              <c:pt idx="1008">
                <c:v>-0.28840341555803972</c:v>
              </c:pt>
              <c:pt idx="1009">
                <c:v>-1.1553095403380458</c:v>
              </c:pt>
              <c:pt idx="1010">
                <c:v>-1.0610470307992284</c:v>
              </c:pt>
              <c:pt idx="1011">
                <c:v>0.68868916050812423</c:v>
              </c:pt>
              <c:pt idx="1012">
                <c:v>0.59303662829336712</c:v>
              </c:pt>
              <c:pt idx="1013">
                <c:v>0.19637857358872335</c:v>
              </c:pt>
              <c:pt idx="1014">
                <c:v>-0.39347729851769847</c:v>
              </c:pt>
              <c:pt idx="1015">
                <c:v>-1.1507661626169443</c:v>
              </c:pt>
              <c:pt idx="1016">
                <c:v>-0.36581681036755404</c:v>
              </c:pt>
              <c:pt idx="1017">
                <c:v>0.60758868546794953</c:v>
              </c:pt>
              <c:pt idx="1018">
                <c:v>2.907119956575535</c:v>
              </c:pt>
              <c:pt idx="1019">
                <c:v>-0.13455136568867848</c:v>
              </c:pt>
              <c:pt idx="1020">
                <c:v>-0.46007276006776521</c:v>
              </c:pt>
              <c:pt idx="1021">
                <c:v>0.43881752313003419</c:v>
              </c:pt>
              <c:pt idx="1022">
                <c:v>1.4122977890221988</c:v>
              </c:pt>
              <c:pt idx="1023">
                <c:v>-1.8046384555939197</c:v>
              </c:pt>
              <c:pt idx="1024">
                <c:v>-0.83417309453080368</c:v>
              </c:pt>
              <c:pt idx="1025">
                <c:v>0.87842868933778195</c:v>
              </c:pt>
              <c:pt idx="1026">
                <c:v>-0.256725134725584</c:v>
              </c:pt>
              <c:pt idx="1027">
                <c:v>-9.6934958145316497E-2</c:v>
              </c:pt>
              <c:pt idx="1028">
                <c:v>-1.326542201520442</c:v>
              </c:pt>
              <c:pt idx="1029">
                <c:v>-1.4914226273389044</c:v>
              </c:pt>
              <c:pt idx="1030">
                <c:v>-0.80076831490817257</c:v>
              </c:pt>
              <c:pt idx="1031">
                <c:v>1.4627098823085236</c:v>
              </c:pt>
              <c:pt idx="1032">
                <c:v>0.44182833424233081</c:v>
              </c:pt>
              <c:pt idx="1033">
                <c:v>0.79414583974839947</c:v>
              </c:pt>
              <c:pt idx="1034">
                <c:v>-1.3328800361192439</c:v>
              </c:pt>
              <c:pt idx="1035">
                <c:v>1.6522660792034027</c:v>
              </c:pt>
              <c:pt idx="1036">
                <c:v>1.5831506120658092</c:v>
              </c:pt>
              <c:pt idx="1037">
                <c:v>-0.70180149476492848</c:v>
              </c:pt>
              <c:pt idx="1038">
                <c:v>-0.22005589081142019</c:v>
              </c:pt>
              <c:pt idx="1039">
                <c:v>-0.49314111688492673</c:v>
              </c:pt>
              <c:pt idx="1040">
                <c:v>-1.0824132123233894</c:v>
              </c:pt>
              <c:pt idx="1041">
                <c:v>0.3284058928399437</c:v>
              </c:pt>
              <c:pt idx="1042">
                <c:v>-3.221406056216634</c:v>
              </c:pt>
              <c:pt idx="1043">
                <c:v>-0.81457346897541671</c:v>
              </c:pt>
              <c:pt idx="1044">
                <c:v>-0.2842826271216829</c:v>
              </c:pt>
              <c:pt idx="1045">
                <c:v>1.2601906062610611</c:v>
              </c:pt>
              <c:pt idx="1046">
                <c:v>-0.19161439024924487</c:v>
              </c:pt>
              <c:pt idx="1047">
                <c:v>0.91188985974119463</c:v>
              </c:pt>
              <c:pt idx="1048">
                <c:v>-1.2351237022998389</c:v>
              </c:pt>
              <c:pt idx="1049">
                <c:v>-1.3396331003355524</c:v>
              </c:pt>
              <c:pt idx="1050">
                <c:v>-2.6597849433967966E-2</c:v>
              </c:pt>
              <c:pt idx="1051">
                <c:v>2.1112696202861909</c:v>
              </c:pt>
              <c:pt idx="1052">
                <c:v>-0.6348628227252795</c:v>
              </c:pt>
              <c:pt idx="1053">
                <c:v>-1.8544814019090317</c:v>
              </c:pt>
              <c:pt idx="1054">
                <c:v>0.41447102003558289</c:v>
              </c:pt>
              <c:pt idx="1055">
                <c:v>1.3342150060687736</c:v>
              </c:pt>
              <c:pt idx="1056">
                <c:v>-2.1880756915552131</c:v>
              </c:pt>
              <c:pt idx="1057">
                <c:v>0.48815815357500919</c:v>
              </c:pt>
              <c:pt idx="1058">
                <c:v>-0.20288561922311782</c:v>
              </c:pt>
              <c:pt idx="1059">
                <c:v>-0.29014329948314854</c:v>
              </c:pt>
              <c:pt idx="1060">
                <c:v>0.22516158675701448</c:v>
              </c:pt>
              <c:pt idx="1061">
                <c:v>2.2953960717895709</c:v>
              </c:pt>
              <c:pt idx="1062">
                <c:v>-1.3988813922344505</c:v>
              </c:pt>
              <c:pt idx="1063">
                <c:v>0.10941170981129426</c:v>
              </c:pt>
              <c:pt idx="1064">
                <c:v>-0.91684206696527615</c:v>
              </c:pt>
              <c:pt idx="1065">
                <c:v>-0.70588535139603703</c:v>
              </c:pt>
              <c:pt idx="1066">
                <c:v>-1.5132023005258233E-2</c:v>
              </c:pt>
              <c:pt idx="1067">
                <c:v>-0.13040349917379929</c:v>
              </c:pt>
              <c:pt idx="1068">
                <c:v>0.28922270148230156</c:v>
              </c:pt>
              <c:pt idx="1069">
                <c:v>0.54619022214186697</c:v>
              </c:pt>
              <c:pt idx="1070">
                <c:v>6.6519806323817751E-2</c:v>
              </c:pt>
              <c:pt idx="1071">
                <c:v>1.6084217610765332</c:v>
              </c:pt>
              <c:pt idx="1072">
                <c:v>-0.94342590789983305</c:v>
              </c:pt>
              <c:pt idx="1073">
                <c:v>-0.23068042152168872</c:v>
              </c:pt>
              <c:pt idx="1074">
                <c:v>-0.13077621022957286</c:v>
              </c:pt>
              <c:pt idx="1075">
                <c:v>0.63265778880497714</c:v>
              </c:pt>
              <c:pt idx="1076">
                <c:v>-0.38062273158707699</c:v>
              </c:pt>
              <c:pt idx="1077">
                <c:v>-1.3451349654505378</c:v>
              </c:pt>
              <c:pt idx="1078">
                <c:v>0.28809093470212893</c:v>
              </c:pt>
              <c:pt idx="1079">
                <c:v>0.47436327496590003</c:v>
              </c:pt>
              <c:pt idx="1080">
                <c:v>-0.76887224139340549</c:v>
              </c:pt>
              <c:pt idx="1081">
                <c:v>1.2194826673054755</c:v>
              </c:pt>
              <c:pt idx="1082">
                <c:v>-1.0314762175347938</c:v>
              </c:pt>
              <c:pt idx="1083">
                <c:v>-1.3783760769576576</c:v>
              </c:pt>
              <c:pt idx="1084">
                <c:v>1.0766167402812041</c:v>
              </c:pt>
              <c:pt idx="1085">
                <c:v>-0.62008047483045459</c:v>
              </c:pt>
              <c:pt idx="1086">
                <c:v>0.10727097640139782</c:v>
              </c:pt>
              <c:pt idx="1087">
                <c:v>-0.63225844785425489</c:v>
              </c:pt>
              <c:pt idx="1088">
                <c:v>-9.9787346130326693E-2</c:v>
              </c:pt>
              <c:pt idx="1089">
                <c:v>0.96318182147329834</c:v>
              </c:pt>
              <c:pt idx="1090">
                <c:v>-0.68284950787891419</c:v>
              </c:pt>
              <c:pt idx="1091">
                <c:v>-1.4856024618250798</c:v>
              </c:pt>
              <c:pt idx="1092">
                <c:v>2.4022808640877282</c:v>
              </c:pt>
              <c:pt idx="1093">
                <c:v>-0.99481336020574673</c:v>
              </c:pt>
              <c:pt idx="1094">
                <c:v>2.7070622569663421</c:v>
              </c:pt>
              <c:pt idx="1095">
                <c:v>0.62879940931187595</c:v>
              </c:pt>
              <c:pt idx="1096">
                <c:v>-0.60750978151074375</c:v>
              </c:pt>
              <c:pt idx="1097">
                <c:v>-0.21225046161187389</c:v>
              </c:pt>
              <c:pt idx="1098">
                <c:v>0.55636286290907222</c:v>
              </c:pt>
              <c:pt idx="1099">
                <c:v>-0.76834749981743267</c:v>
              </c:pt>
              <c:pt idx="1100">
                <c:v>-1.5499271367650953</c:v>
              </c:pt>
              <c:pt idx="1101">
                <c:v>1.0872244417167023</c:v>
              </c:pt>
              <c:pt idx="1102">
                <c:v>0.20012714298928364</c:v>
              </c:pt>
              <c:pt idx="1103">
                <c:v>2.631131108165774E-2</c:v>
              </c:pt>
              <c:pt idx="1104">
                <c:v>-0.25260081488101982</c:v>
              </c:pt>
              <c:pt idx="1105">
                <c:v>0.54317701519628514</c:v>
              </c:pt>
              <c:pt idx="1106">
                <c:v>0.32058134149726247</c:v>
              </c:pt>
              <c:pt idx="1107">
                <c:v>-0.33755578054127761</c:v>
              </c:pt>
              <c:pt idx="1108">
                <c:v>0.23417337588729428</c:v>
              </c:pt>
              <c:pt idx="1109">
                <c:v>0.88117201375011733</c:v>
              </c:pt>
              <c:pt idx="1110">
                <c:v>-0.26468190360358923</c:v>
              </c:pt>
              <c:pt idx="1111">
                <c:v>-2.5961625083334439E-3</c:v>
              </c:pt>
              <c:pt idx="1112">
                <c:v>1.4741227027655526</c:v>
              </c:pt>
              <c:pt idx="1113">
                <c:v>-0.3952247226687563</c:v>
              </c:pt>
              <c:pt idx="1114">
                <c:v>-0.10099420173364804</c:v>
              </c:pt>
              <c:pt idx="1115">
                <c:v>-0.16860783041063881</c:v>
              </c:pt>
              <c:pt idx="1116">
                <c:v>-0.22505624225426074</c:v>
              </c:pt>
              <c:pt idx="1117">
                <c:v>-1.3796351556838293</c:v>
              </c:pt>
              <c:pt idx="1118">
                <c:v>2.4131956840177664</c:v>
              </c:pt>
              <c:pt idx="1119">
                <c:v>8.6327133314702764E-2</c:v>
              </c:pt>
              <c:pt idx="1120">
                <c:v>0.61843871029602715</c:v>
              </c:pt>
              <c:pt idx="1121">
                <c:v>-6.3813911556459546E-2</c:v>
              </c:pt>
              <c:pt idx="1122">
                <c:v>-0.65316631286866156</c:v>
              </c:pt>
              <c:pt idx="1123">
                <c:v>0.9546862956566341</c:v>
              </c:pt>
              <c:pt idx="1124">
                <c:v>0.42271156686479872</c:v>
              </c:pt>
              <c:pt idx="1125">
                <c:v>-0.40695791585270374</c:v>
              </c:pt>
              <c:pt idx="1126">
                <c:v>1.287282921805365</c:v>
              </c:pt>
              <c:pt idx="1127">
                <c:v>0.98144130732043666</c:v>
              </c:pt>
              <c:pt idx="1128">
                <c:v>0.46934200053153674</c:v>
              </c:pt>
              <c:pt idx="1129">
                <c:v>-1.9002507790951104</c:v>
              </c:pt>
              <c:pt idx="1130">
                <c:v>1.5805224772894058</c:v>
              </c:pt>
              <c:pt idx="1131">
                <c:v>-2.3301298307324556</c:v>
              </c:pt>
              <c:pt idx="1132">
                <c:v>1.1402619394831057</c:v>
              </c:pt>
              <c:pt idx="1133">
                <c:v>-0.72569433500556269</c:v>
              </c:pt>
              <c:pt idx="1134">
                <c:v>-3.4486570723898864</c:v>
              </c:pt>
              <c:pt idx="1135">
                <c:v>2.0421218483449035</c:v>
              </c:pt>
              <c:pt idx="1136">
                <c:v>-0.14067509893967456</c:v>
              </c:pt>
              <c:pt idx="1137">
                <c:v>-0.8419721977592205</c:v>
              </c:pt>
              <c:pt idx="1138">
                <c:v>-1.5655064379664683</c:v>
              </c:pt>
              <c:pt idx="1139">
                <c:v>-0.43162497351603513</c:v>
              </c:pt>
              <c:pt idx="1140">
                <c:v>2.0185445478997908</c:v>
              </c:pt>
              <c:pt idx="1141">
                <c:v>1.2626376535981463</c:v>
              </c:pt>
              <c:pt idx="1142">
                <c:v>0.61419118554940766</c:v>
              </c:pt>
              <c:pt idx="1143">
                <c:v>-0.70835006890420837</c:v>
              </c:pt>
              <c:pt idx="1144">
                <c:v>0.34998606672501964</c:v>
              </c:pt>
              <c:pt idx="1145">
                <c:v>3.1500242295677463</c:v>
              </c:pt>
              <c:pt idx="1146">
                <c:v>-1.4620860446071369</c:v>
              </c:pt>
              <c:pt idx="1147">
                <c:v>-0.41338835445530364</c:v>
              </c:pt>
              <c:pt idx="1148">
                <c:v>-1.9992596137361698</c:v>
              </c:pt>
              <c:pt idx="1149">
                <c:v>0.94025982954281195</c:v>
              </c:pt>
              <c:pt idx="1150">
                <c:v>-1.865549259400995</c:v>
              </c:pt>
              <c:pt idx="1151">
                <c:v>0.88467057767176149</c:v>
              </c:pt>
              <c:pt idx="1152">
                <c:v>0.2801068695746759</c:v>
              </c:pt>
              <c:pt idx="1153">
                <c:v>-0.34314186942676317</c:v>
              </c:pt>
              <c:pt idx="1154">
                <c:v>-1.8974429007535125</c:v>
              </c:pt>
              <c:pt idx="1155">
                <c:v>0.12735101079544553</c:v>
              </c:pt>
              <c:pt idx="1156">
                <c:v>0.79592521360770041</c:v>
              </c:pt>
              <c:pt idx="1157">
                <c:v>-2.9773727430879635</c:v>
              </c:pt>
              <c:pt idx="1158">
                <c:v>1.4099972703478392</c:v>
              </c:pt>
              <c:pt idx="1159">
                <c:v>-9.1935774953750798E-2</c:v>
              </c:pt>
              <c:pt idx="1160">
                <c:v>-0.62117868730925851</c:v>
              </c:pt>
              <c:pt idx="1161">
                <c:v>1.6858966074437327</c:v>
              </c:pt>
              <c:pt idx="1162">
                <c:v>-0.40688329367840015</c:v>
              </c:pt>
              <c:pt idx="1163">
                <c:v>9.0050237621196405E-2</c:v>
              </c:pt>
              <c:pt idx="1164">
                <c:v>0.45072119274601796</c:v>
              </c:pt>
              <c:pt idx="1165">
                <c:v>-1.2439006646293027</c:v>
              </c:pt>
              <c:pt idx="1166">
                <c:v>-1.3078050079100829</c:v>
              </c:pt>
              <c:pt idx="1167">
                <c:v>2.8736773726610956</c:v>
              </c:pt>
              <c:pt idx="1168">
                <c:v>-0.19872105798863393</c:v>
              </c:pt>
              <c:pt idx="1169">
                <c:v>1.5963854618683979</c:v>
              </c:pt>
              <c:pt idx="1170">
                <c:v>1.0373235376398973</c:v>
              </c:pt>
              <c:pt idx="1171">
                <c:v>-1.3239429443876973</c:v>
              </c:pt>
              <c:pt idx="1172">
                <c:v>-0.32565655371552671</c:v>
              </c:pt>
              <c:pt idx="1173">
                <c:v>-0.24959554689102265</c:v>
              </c:pt>
              <c:pt idx="1174">
                <c:v>8.9572076733464012E-2</c:v>
              </c:pt>
              <c:pt idx="1175">
                <c:v>1.3121110372326068</c:v>
              </c:pt>
              <c:pt idx="1176">
                <c:v>8.100391380220473E-2</c:v>
              </c:pt>
              <c:pt idx="1177">
                <c:v>-0.72164021646073295</c:v>
              </c:pt>
              <c:pt idx="1178">
                <c:v>-0.21168178000625504</c:v>
              </c:pt>
              <c:pt idx="1179">
                <c:v>1.4341268715095923</c:v>
              </c:pt>
              <c:pt idx="1180">
                <c:v>-1.9185041754050975</c:v>
              </c:pt>
              <c:pt idx="1181">
                <c:v>-5.1625121398392482E-2</c:v>
              </c:pt>
              <c:pt idx="1182">
                <c:v>0.36560119318046158</c:v>
              </c:pt>
              <c:pt idx="1183">
                <c:v>0.13859464666904703</c:v>
              </c:pt>
              <c:pt idx="1184">
                <c:v>-0.78697814198051574</c:v>
              </c:pt>
              <c:pt idx="1185">
                <c:v>0.88923987489469158</c:v>
              </c:pt>
              <c:pt idx="1186">
                <c:v>-0.98510966156602009</c:v>
              </c:pt>
              <c:pt idx="1187">
                <c:v>-0.22802829405853808</c:v>
              </c:pt>
              <c:pt idx="1188">
                <c:v>-0.34212483659150944</c:v>
              </c:pt>
              <c:pt idx="1189">
                <c:v>5.8473831578307101E-2</c:v>
              </c:pt>
              <c:pt idx="1190">
                <c:v>0.14530312127879402</c:v>
              </c:pt>
              <c:pt idx="1191">
                <c:v>-0.12497828621026252</c:v>
              </c:pt>
              <c:pt idx="1192">
                <c:v>0.10952133203990333</c:v>
              </c:pt>
              <c:pt idx="1193">
                <c:v>1.629993300228421</c:v>
              </c:pt>
              <c:pt idx="1194">
                <c:v>-1.3801728000493396</c:v>
              </c:pt>
              <c:pt idx="1195">
                <c:v>0.14164948873197059</c:v>
              </c:pt>
              <c:pt idx="1196">
                <c:v>2.0011671941459119</c:v>
              </c:pt>
              <c:pt idx="1197">
                <c:v>-0.48259394960311797</c:v>
              </c:pt>
              <c:pt idx="1198">
                <c:v>8.1633476265634108E-2</c:v>
              </c:pt>
              <c:pt idx="1199">
                <c:v>0.47976458981628128</c:v>
              </c:pt>
              <c:pt idx="1200">
                <c:v>-0.586231383102924</c:v>
              </c:pt>
              <c:pt idx="1201">
                <c:v>-0.35445791220009304</c:v>
              </c:pt>
              <c:pt idx="1202">
                <c:v>0.83832748712690286</c:v>
              </c:pt>
              <c:pt idx="1203">
                <c:v>-0.11431637165634334</c:v>
              </c:pt>
              <c:pt idx="1204">
                <c:v>0.64352750045409413</c:v>
              </c:pt>
              <c:pt idx="1205">
                <c:v>0.4370542174151954</c:v>
              </c:pt>
              <c:pt idx="1206">
                <c:v>-0.33817530378340854</c:v>
              </c:pt>
              <c:pt idx="1207">
                <c:v>-1.5244105333750868E-2</c:v>
              </c:pt>
              <c:pt idx="1208">
                <c:v>1.1826897531236624</c:v>
              </c:pt>
              <c:pt idx="1209">
                <c:v>-0.31515917137234895</c:v>
              </c:pt>
              <c:pt idx="1210">
                <c:v>-1.420432142949982</c:v>
              </c:pt>
              <c:pt idx="1211">
                <c:v>0.96180495243417541</c:v>
              </c:pt>
              <c:pt idx="1212">
                <c:v>0.52506614218674996</c:v>
              </c:pt>
              <c:pt idx="1213">
                <c:v>5.1821619583073547E-3</c:v>
              </c:pt>
              <c:pt idx="1214">
                <c:v>-5.4710936434826898E-2</c:v>
              </c:pt>
              <c:pt idx="1215">
                <c:v>-0.72815892289442952</c:v>
              </c:pt>
              <c:pt idx="1216">
                <c:v>1.3063695633248145</c:v>
              </c:pt>
              <c:pt idx="1217">
                <c:v>0.68920160888989979</c:v>
              </c:pt>
              <c:pt idx="1218">
                <c:v>4.6117718299187427E-2</c:v>
              </c:pt>
              <c:pt idx="1219">
                <c:v>0.4647228287322463</c:v>
              </c:pt>
              <c:pt idx="1220">
                <c:v>0.22277262334545789</c:v>
              </c:pt>
              <c:pt idx="1221">
                <c:v>0.61037215797986422</c:v>
              </c:pt>
              <c:pt idx="1222">
                <c:v>-1.2520776802675324</c:v>
              </c:pt>
              <c:pt idx="1223">
                <c:v>2.3142808894588605</c:v>
              </c:pt>
              <c:pt idx="1224">
                <c:v>-0.85038439164110691</c:v>
              </c:pt>
              <c:pt idx="1225">
                <c:v>-1.3270200836232613</c:v>
              </c:pt>
              <c:pt idx="1226">
                <c:v>-0.75888008340603963</c:v>
              </c:pt>
              <c:pt idx="1227">
                <c:v>0.13875564984094046</c:v>
              </c:pt>
              <c:pt idx="1228">
                <c:v>-0.73221154237755681</c:v>
              </c:pt>
              <c:pt idx="1229">
                <c:v>0.16475747734371121</c:v>
              </c:pt>
              <c:pt idx="1230">
                <c:v>0.11116250781362103</c:v>
              </c:pt>
              <c:pt idx="1231">
                <c:v>0.3404034157602579</c:v>
              </c:pt>
              <c:pt idx="1232">
                <c:v>-0.26122937504144261</c:v>
              </c:pt>
              <c:pt idx="1233">
                <c:v>0.46591206125413476</c:v>
              </c:pt>
              <c:pt idx="1234">
                <c:v>-0.49857786447885383</c:v>
              </c:pt>
              <c:pt idx="1235">
                <c:v>0.47305587531708726</c:v>
              </c:pt>
              <c:pt idx="1236">
                <c:v>-0.61588550530036446</c:v>
              </c:pt>
              <c:pt idx="1237">
                <c:v>-0.72849646666437851</c:v>
              </c:pt>
              <c:pt idx="1238">
                <c:v>6.0131095606859031E-3</c:v>
              </c:pt>
              <c:pt idx="1239">
                <c:v>8.5346257827197403E-2</c:v>
              </c:pt>
              <c:pt idx="1240">
                <c:v>0.67440406898978356</c:v>
              </c:pt>
              <c:pt idx="1241">
                <c:v>0.21297454413856909</c:v>
              </c:pt>
              <c:pt idx="1242">
                <c:v>-0.49745731356258449</c:v>
              </c:pt>
              <c:pt idx="1243">
                <c:v>-0.41501905594912292</c:v>
              </c:pt>
              <c:pt idx="1244">
                <c:v>3.7508907771451909</c:v>
              </c:pt>
              <c:pt idx="1245">
                <c:v>-0.77398371175719805</c:v>
              </c:pt>
              <c:pt idx="1246">
                <c:v>3.5099814063482504E-2</c:v>
              </c:pt>
              <c:pt idx="1247">
                <c:v>-0.41556685819740435</c:v>
              </c:pt>
              <c:pt idx="1248">
                <c:v>0.80675686172640038</c:v>
              </c:pt>
              <c:pt idx="1249">
                <c:v>1.1589055740734564</c:v>
              </c:pt>
              <c:pt idx="1250">
                <c:v>-1.3121165401711139</c:v>
              </c:pt>
              <c:pt idx="1251">
                <c:v>-0.59085823333594001</c:v>
              </c:pt>
              <c:pt idx="1252">
                <c:v>1.0719223064052759</c:v>
              </c:pt>
              <c:pt idx="1253">
                <c:v>-0.49407807534455817</c:v>
              </c:pt>
              <c:pt idx="1254">
                <c:v>-0.3920169922095158</c:v>
              </c:pt>
              <c:pt idx="1255">
                <c:v>-1.6590188124070653</c:v>
              </c:pt>
              <c:pt idx="1256">
                <c:v>1.1660987900419546</c:v>
              </c:pt>
              <c:pt idx="1257">
                <c:v>-0.76845417357879198</c:v>
              </c:pt>
              <c:pt idx="1258">
                <c:v>3.290742539838309</c:v>
              </c:pt>
              <c:pt idx="1259">
                <c:v>-0.80790445655936982</c:v>
              </c:pt>
              <c:pt idx="1260">
                <c:v>-0.35011850825102053</c:v>
              </c:pt>
              <c:pt idx="1261">
                <c:v>0.23668576000247216</c:v>
              </c:pt>
              <c:pt idx="1262">
                <c:v>0.58432626556686218</c:v>
              </c:pt>
              <c:pt idx="1263">
                <c:v>-0.2107219014514512</c:v>
              </c:pt>
              <c:pt idx="1264">
                <c:v>-9.4158153372791029E-2</c:v>
              </c:pt>
              <c:pt idx="1265">
                <c:v>-1.1767974143753679</c:v>
              </c:pt>
              <c:pt idx="1266">
                <c:v>-0.38817461057230829</c:v>
              </c:pt>
              <c:pt idx="1267">
                <c:v>0.49486551324224748</c:v>
              </c:pt>
              <c:pt idx="1268">
                <c:v>-1.6740098990861076</c:v>
              </c:pt>
              <c:pt idx="1269">
                <c:v>0.94084115341610874</c:v>
              </c:pt>
              <c:pt idx="1270">
                <c:v>-0.17817681015033238</c:v>
              </c:pt>
              <c:pt idx="1271">
                <c:v>-0.29827384470328044</c:v>
              </c:pt>
              <c:pt idx="1272">
                <c:v>-1.4600964739695994</c:v>
              </c:pt>
              <c:pt idx="1273">
                <c:v>-0.60612661078551422</c:v>
              </c:pt>
              <c:pt idx="1274">
                <c:v>-0.13338313246885114</c:v>
              </c:pt>
              <c:pt idx="1275">
                <c:v>0.97145954601917972</c:v>
              </c:pt>
              <c:pt idx="1276">
                <c:v>0.56164159212731968</c:v>
              </c:pt>
              <c:pt idx="1277">
                <c:v>-0.33065303928712148</c:v>
              </c:pt>
              <c:pt idx="1278">
                <c:v>3.9128237299379753E-2</c:v>
              </c:pt>
              <c:pt idx="1279">
                <c:v>0.711877516890842</c:v>
              </c:pt>
              <c:pt idx="1280">
                <c:v>-0.23536931958053886</c:v>
              </c:pt>
              <c:pt idx="1281">
                <c:v>1.0663783360686363</c:v>
              </c:pt>
              <c:pt idx="1282">
                <c:v>-0.40821331657156157</c:v>
              </c:pt>
              <c:pt idx="1283">
                <c:v>0.21561939791960064</c:v>
              </c:pt>
              <c:pt idx="1284">
                <c:v>-0.67292151970161695</c:v>
              </c:pt>
              <c:pt idx="1285">
                <c:v>0.80464970561964522</c:v>
              </c:pt>
              <c:pt idx="1286">
                <c:v>-0.41292524499572658</c:v>
              </c:pt>
              <c:pt idx="1287">
                <c:v>0.10098888300646242</c:v>
              </c:pt>
              <c:pt idx="1288">
                <c:v>0.74408975312366266</c:v>
              </c:pt>
              <c:pt idx="1289">
                <c:v>0.86635379933639733</c:v>
              </c:pt>
              <c:pt idx="1290">
                <c:v>-4.4942121557292936E-2</c:v>
              </c:pt>
              <c:pt idx="1291">
                <c:v>0.13782531548651289</c:v>
              </c:pt>
              <c:pt idx="1292">
                <c:v>-1.1418338298756163</c:v>
              </c:pt>
              <c:pt idx="1293">
                <c:v>-1.4106476161095458</c:v>
              </c:pt>
              <c:pt idx="1294">
                <c:v>0.87837566875565876</c:v>
              </c:pt>
              <c:pt idx="1295">
                <c:v>1.1821186077655494</c:v>
              </c:pt>
              <c:pt idx="1296">
                <c:v>0.28661301498709463</c:v>
              </c:pt>
              <c:pt idx="1297">
                <c:v>0.33609430855339795</c:v>
              </c:pt>
              <c:pt idx="1298">
                <c:v>0.23916681841804777</c:v>
              </c:pt>
              <c:pt idx="1299">
                <c:v>-0.2728373782636257</c:v>
              </c:pt>
              <c:pt idx="1300">
                <c:v>-1.7365082254876645</c:v>
              </c:pt>
              <c:pt idx="1301">
                <c:v>-0.57724791789623076</c:v>
              </c:pt>
              <c:pt idx="1302">
                <c:v>2.5539205968614642E-2</c:v>
              </c:pt>
              <c:pt idx="1303">
                <c:v>-0.77423689226561931</c:v>
              </c:pt>
              <c:pt idx="1304">
                <c:v>1.1523160773770975</c:v>
              </c:pt>
              <c:pt idx="1305">
                <c:v>3.6206762957143923E-2</c:v>
              </c:pt>
              <c:pt idx="1306">
                <c:v>0.24572097092248202</c:v>
              </c:pt>
              <c:pt idx="1307">
                <c:v>-3.1287125590041598E-2</c:v>
              </c:pt>
              <c:pt idx="1308">
                <c:v>-0.78615085668889961</c:v>
              </c:pt>
              <c:pt idx="1309">
                <c:v>-1.1707637424986355</c:v>
              </c:pt>
              <c:pt idx="1310">
                <c:v>-0.78692321630183248</c:v>
              </c:pt>
              <c:pt idx="1311">
                <c:v>-0.63622257037752838</c:v>
              </c:pt>
              <c:pt idx="1312">
                <c:v>1.0533463657279802</c:v>
              </c:pt>
              <c:pt idx="1313">
                <c:v>0.50523788381301216</c:v>
              </c:pt>
              <c:pt idx="1314">
                <c:v>0.55937510644711397</c:v>
              </c:pt>
              <c:pt idx="1315">
                <c:v>-0.21132038175733586</c:v>
              </c:pt>
              <c:pt idx="1316">
                <c:v>-0.74555784556413562</c:v>
              </c:pt>
              <c:pt idx="1317">
                <c:v>0.21052992787762481</c:v>
              </c:pt>
              <c:pt idx="1318">
                <c:v>-0.37850794068078136</c:v>
              </c:pt>
              <c:pt idx="1319">
                <c:v>-0.70407074470106257</c:v>
              </c:pt>
              <c:pt idx="1320">
                <c:v>8.2541016491583241E-2</c:v>
              </c:pt>
              <c:pt idx="1321">
                <c:v>0.64373981793331492</c:v>
              </c:pt>
              <c:pt idx="1322">
                <c:v>-0.33406390370818406</c:v>
              </c:pt>
              <c:pt idx="1323">
                <c:v>0.79857125755567027</c:v>
              </c:pt>
              <c:pt idx="1324">
                <c:v>0.45978720575540888</c:v>
              </c:pt>
              <c:pt idx="1325">
                <c:v>0.68877459981669498</c:v>
              </c:pt>
              <c:pt idx="1326">
                <c:v>-1.4550822017376637</c:v>
              </c:pt>
              <c:pt idx="1327">
                <c:v>0.94748734267993395</c:v>
              </c:pt>
              <c:pt idx="1328">
                <c:v>0.27838976645085411</c:v>
              </c:pt>
              <c:pt idx="1329">
                <c:v>-2.5232110273628483E-2</c:v>
              </c:pt>
              <c:pt idx="1330">
                <c:v>-0.69788967295829551</c:v>
              </c:pt>
              <c:pt idx="1331">
                <c:v>-0.38760080155382837</c:v>
              </c:pt>
              <c:pt idx="1332">
                <c:v>0.71392058917264778</c:v>
              </c:pt>
              <c:pt idx="1333">
                <c:v>0.46076973786155495</c:v>
              </c:pt>
              <c:pt idx="1334">
                <c:v>0.46048149905420077</c:v>
              </c:pt>
              <c:pt idx="1335">
                <c:v>-0.43871599721173044</c:v>
              </c:pt>
              <c:pt idx="1336">
                <c:v>0.47916057004070778</c:v>
              </c:pt>
              <c:pt idx="1337">
                <c:v>-0.51803146434932401</c:v>
              </c:pt>
              <c:pt idx="1338">
                <c:v>1.6106447684400758</c:v>
              </c:pt>
              <c:pt idx="1339">
                <c:v>9.9505689279460352E-2</c:v>
              </c:pt>
              <c:pt idx="1340">
                <c:v>-0.59041525434447484</c:v>
              </c:pt>
              <c:pt idx="1341">
                <c:v>0.15188255338272233</c:v>
              </c:pt>
              <c:pt idx="1342">
                <c:v>-0.15932076952914054</c:v>
              </c:pt>
              <c:pt idx="1343">
                <c:v>0.51026458616367054</c:v>
              </c:pt>
              <c:pt idx="1344">
                <c:v>-0.81987582611037879</c:v>
              </c:pt>
              <c:pt idx="1345">
                <c:v>0.69322354129250829</c:v>
              </c:pt>
              <c:pt idx="1346">
                <c:v>-0.17159591166105459</c:v>
              </c:pt>
              <c:pt idx="1347">
                <c:v>-0.77877663561359178</c:v>
              </c:pt>
              <c:pt idx="1348">
                <c:v>-0.58117477049860655</c:v>
              </c:pt>
              <c:pt idx="1349">
                <c:v>1.72562676489206</c:v>
              </c:pt>
              <c:pt idx="1350">
                <c:v>0.27668932773964328</c:v>
              </c:pt>
              <c:pt idx="1351">
                <c:v>0.13968042774587719</c:v>
              </c:pt>
              <c:pt idx="1352">
                <c:v>1.0743931633038957</c:v>
              </c:pt>
              <c:pt idx="1353">
                <c:v>1.1436679600149393</c:v>
              </c:pt>
              <c:pt idx="1354">
                <c:v>-0.35595433113573038</c:v>
              </c:pt>
              <c:pt idx="1355">
                <c:v>-0.71832794261569755</c:v>
              </c:pt>
              <c:pt idx="1356">
                <c:v>0.19509236110590367</c:v>
              </c:pt>
              <c:pt idx="1357">
                <c:v>0.92717316136897943</c:v>
              </c:pt>
              <c:pt idx="1358">
                <c:v>1.3602906995514013</c:v>
              </c:pt>
              <c:pt idx="1359">
                <c:v>-0.17903867376484517</c:v>
              </c:pt>
              <c:pt idx="1360">
                <c:v>-1.7496376594178982</c:v>
              </c:pt>
              <c:pt idx="1361">
                <c:v>0.11602468288939999</c:v>
              </c:pt>
              <c:pt idx="1362">
                <c:v>-0.81827425310749768</c:v>
              </c:pt>
              <c:pt idx="1363">
                <c:v>-0.79454071213332023</c:v>
              </c:pt>
              <c:pt idx="1364">
                <c:v>0.1875758626415609</c:v>
              </c:pt>
              <c:pt idx="1365">
                <c:v>-3.1055298195881709E-2</c:v>
              </c:pt>
              <c:pt idx="1366">
                <c:v>0.49595667386246833</c:v>
              </c:pt>
              <c:pt idx="1367">
                <c:v>-0.12133019184987681</c:v>
              </c:pt>
              <c:pt idx="1368">
                <c:v>0.48475090052530295</c:v>
              </c:pt>
              <c:pt idx="1369">
                <c:v>0.38994800171420857</c:v>
              </c:pt>
              <c:pt idx="1370">
                <c:v>0.60287671943156962</c:v>
              </c:pt>
              <c:pt idx="1371">
                <c:v>0.61888753054386636</c:v>
              </c:pt>
              <c:pt idx="1372">
                <c:v>-1.2298101862623503</c:v>
              </c:pt>
              <c:pt idx="1373">
                <c:v>1.3181823388644074</c:v>
              </c:pt>
              <c:pt idx="1374">
                <c:v>-0.49252410705144545</c:v>
              </c:pt>
              <c:pt idx="1375">
                <c:v>-1.2563542135603667</c:v>
              </c:pt>
              <c:pt idx="1376">
                <c:v>0.79695678778522172</c:v>
              </c:pt>
              <c:pt idx="1377">
                <c:v>0.52328526432988498</c:v>
              </c:pt>
              <c:pt idx="1378">
                <c:v>-0.21713972809336668</c:v>
              </c:pt>
              <c:pt idx="1379">
                <c:v>0.14967260271304517</c:v>
              </c:pt>
              <c:pt idx="1380">
                <c:v>-6.2495195448182161E-2</c:v>
              </c:pt>
              <c:pt idx="1381">
                <c:v>-0.92616484046134184</c:v>
              </c:pt>
              <c:pt idx="1382">
                <c:v>0.26716086452217164</c:v>
              </c:pt>
              <c:pt idx="1383">
                <c:v>0.7920116528499177</c:v>
              </c:pt>
              <c:pt idx="1384">
                <c:v>-1.5826017552867881</c:v>
              </c:pt>
              <c:pt idx="1385">
                <c:v>0.68938154268838581</c:v>
              </c:pt>
              <c:pt idx="1386">
                <c:v>-0.69731627836600285</c:v>
              </c:pt>
              <c:pt idx="1387">
                <c:v>0.15179706678735616</c:v>
              </c:pt>
              <c:pt idx="1388">
                <c:v>-0.28841113032072896</c:v>
              </c:pt>
              <c:pt idx="1389">
                <c:v>-0.10191032081751605</c:v>
              </c:pt>
              <c:pt idx="1390">
                <c:v>-0.19316710667532327</c:v>
              </c:pt>
              <c:pt idx="1391">
                <c:v>0.72273666827494143</c:v>
              </c:pt>
              <c:pt idx="1392">
                <c:v>-0.27017052416077741</c:v>
              </c:pt>
              <c:pt idx="1393">
                <c:v>-9.2593715735641235E-2</c:v>
              </c:pt>
              <c:pt idx="1394">
                <c:v>-1.2166458395461812</c:v>
              </c:pt>
              <c:pt idx="1395">
                <c:v>1.2935570023035365</c:v>
              </c:pt>
              <c:pt idx="1396">
                <c:v>-0.67025365125182179</c:v>
              </c:pt>
              <c:pt idx="1397">
                <c:v>0.67044408253419685</c:v>
              </c:pt>
              <c:pt idx="1398">
                <c:v>-0.1937563598296248</c:v>
              </c:pt>
              <c:pt idx="1399">
                <c:v>0.21870942661751069</c:v>
              </c:pt>
              <c:pt idx="1400">
                <c:v>1.7521113110816577</c:v>
              </c:pt>
              <c:pt idx="1401">
                <c:v>-0.66304872137747362</c:v>
              </c:pt>
              <c:pt idx="1402">
                <c:v>-0.82139576377869727</c:v>
              </c:pt>
              <c:pt idx="1403">
                <c:v>0.44484982319500888</c:v>
              </c:pt>
              <c:pt idx="1404">
                <c:v>-0.45564186942676321</c:v>
              </c:pt>
              <c:pt idx="1405">
                <c:v>5.1821619583073547E-3</c:v>
              </c:pt>
              <c:pt idx="1406">
                <c:v>-0.45314510635350658</c:v>
              </c:pt>
              <c:pt idx="1407">
                <c:v>1.9004821473478648</c:v>
              </c:pt>
              <c:pt idx="1408">
                <c:v>9.5769299150344239E-2</c:v>
              </c:pt>
              <c:pt idx="1409">
                <c:v>-0.33599123263398523</c:v>
              </c:pt>
              <c:pt idx="1410">
                <c:v>0.6582932239178827</c:v>
              </c:pt>
              <c:pt idx="1411">
                <c:v>0.40775730645958141</c:v>
              </c:pt>
              <c:pt idx="1412">
                <c:v>-1.4179360088212276</c:v>
              </c:pt>
              <c:pt idx="1413">
                <c:v>0.36534544101876321</c:v>
              </c:pt>
              <c:pt idx="1414">
                <c:v>-0.4485684651598898</c:v>
              </c:pt>
              <c:pt idx="1415">
                <c:v>1.0140417726860302</c:v>
              </c:pt>
              <c:pt idx="1416">
                <c:v>-0.17877956473167989</c:v>
              </c:pt>
              <c:pt idx="1417">
                <c:v>-0.42301024687633737</c:v>
              </c:pt>
              <c:pt idx="1418">
                <c:v>0.5868110335799962</c:v>
              </c:pt>
              <c:pt idx="1419">
                <c:v>0.41571452135401843</c:v>
              </c:pt>
              <c:pt idx="1420">
                <c:v>0.21436002471196502</c:v>
              </c:pt>
              <c:pt idx="1421">
                <c:v>0.59437122359606609</c:v>
              </c:pt>
              <c:pt idx="1422">
                <c:v>-0.1991172320989627</c:v>
              </c:pt>
              <c:pt idx="1423">
                <c:v>0.31495593464782351</c:v>
              </c:pt>
              <c:pt idx="1424">
                <c:v>-1.0072660256924189</c:v>
              </c:pt>
              <c:pt idx="1425">
                <c:v>-0.36449596862243122</c:v>
              </c:pt>
              <c:pt idx="1426">
                <c:v>0.51823599569625434</c:v>
              </c:pt>
              <c:pt idx="1427">
                <c:v>5.6782131651313794E-2</c:v>
              </c:pt>
              <c:pt idx="1428">
                <c:v>-1.0003254425342394</c:v>
              </c:pt>
              <c:pt idx="1429">
                <c:v>1.0552189192268153</c:v>
              </c:pt>
              <c:pt idx="1430">
                <c:v>0.21926843870772494</c:v>
              </c:pt>
              <c:pt idx="1431">
                <c:v>-0.57511489924902381</c:v>
              </c:pt>
              <c:pt idx="1432">
                <c:v>-0.90454857714772663</c:v>
              </c:pt>
              <c:pt idx="1433">
                <c:v>0.36882608866076205</c:v>
              </c:pt>
              <c:pt idx="1434">
                <c:v>-0.40057583578495976</c:v>
              </c:pt>
              <c:pt idx="1435">
                <c:v>0.66540248868168106</c:v>
              </c:pt>
              <c:pt idx="1436">
                <c:v>-0.32313211264298825</c:v>
              </c:pt>
              <c:pt idx="1437">
                <c:v>-5.9061531595852035E-3</c:v>
              </c:pt>
              <c:pt idx="1438">
                <c:v>-8.3046261277589864E-2</c:v>
              </c:pt>
              <c:pt idx="1439">
                <c:v>0.85631705776444056</c:v>
              </c:pt>
              <c:pt idx="1440">
                <c:v>-0.67030225095937557</c:v>
              </c:pt>
              <c:pt idx="1441">
                <c:v>-0.22524295643163761</c:v>
              </c:pt>
              <c:pt idx="1442">
                <c:v>-0.73420368101576083</c:v>
              </c:pt>
              <c:pt idx="1443">
                <c:v>0.13377774473634885</c:v>
              </c:pt>
              <c:pt idx="1444">
                <c:v>-0.40919701929834218</c:v>
              </c:pt>
              <c:pt idx="1445">
                <c:v>-0.23310397786658454</c:v>
              </c:pt>
              <c:pt idx="1446">
                <c:v>-0.45962828438395725</c:v>
              </c:pt>
              <c:pt idx="1447">
                <c:v>0.34871464495135251</c:v>
              </c:pt>
              <c:pt idx="1448">
                <c:v>-0.51517946413611815</c:v>
              </c:pt>
              <c:pt idx="1449">
                <c:v>-0.47018458187439827</c:v>
              </c:pt>
              <c:pt idx="1450">
                <c:v>0.44321963178707713</c:v>
              </c:pt>
              <c:pt idx="1451">
                <c:v>0.19548291815275431</c:v>
              </c:pt>
              <c:pt idx="1452">
                <c:v>-1.1124788012320117</c:v>
              </c:pt>
              <c:pt idx="1453">
                <c:v>-0.7046181058687736</c:v>
              </c:pt>
              <c:pt idx="1454">
                <c:v>0.25691193035157944</c:v>
              </c:pt>
              <c:pt idx="1455">
                <c:v>-0.804809065297871</c:v>
              </c:pt>
              <c:pt idx="1456">
                <c:v>-0.1070753474175935</c:v>
              </c:pt>
              <c:pt idx="1457">
                <c:v>-0.34628698501290539</c:v>
              </c:pt>
              <c:pt idx="1458">
                <c:v>-1.9508383853053517</c:v>
              </c:pt>
              <c:pt idx="1459">
                <c:v>0.83706792368597571</c:v>
              </c:pt>
              <c:pt idx="1460">
                <c:v>0.50208915685551347</c:v>
              </c:pt>
              <c:pt idx="1461">
                <c:v>-0.50482323693424513</c:v>
              </c:pt>
              <c:pt idx="1462">
                <c:v>0.77264955773728761</c:v>
              </c:pt>
              <c:pt idx="1463">
                <c:v>-2.1928322912495579E-3</c:v>
              </c:pt>
              <c:pt idx="1464">
                <c:v>-0.10455432748311977</c:v>
              </c:pt>
              <c:pt idx="1465">
                <c:v>8.480542382173939E-2</c:v>
              </c:pt>
              <c:pt idx="1466">
                <c:v>0.89238806619802813</c:v>
              </c:pt>
              <c:pt idx="1467">
                <c:v>-0.24237202687509063</c:v>
              </c:pt>
              <c:pt idx="1468">
                <c:v>-0.74831744296466685</c:v>
              </c:pt>
              <c:pt idx="1469">
                <c:v>-0.38590525273539122</c:v>
              </c:pt>
              <c:pt idx="1470">
                <c:v>-0.10938144554321662</c:v>
              </c:pt>
              <c:pt idx="1471">
                <c:v>-0.9919798688877246</c:v>
              </c:pt>
              <c:pt idx="1472">
                <c:v>0.40781628222083166</c:v>
              </c:pt>
              <c:pt idx="1473">
                <c:v>0.13784447761122248</c:v>
              </c:pt>
              <c:pt idx="1474">
                <c:v>9.66270993550985E-2</c:v>
              </c:pt>
              <c:pt idx="1475">
                <c:v>0.22137780406708488</c:v>
              </c:pt>
              <c:pt idx="1476">
                <c:v>-8.5457427485337689E-2</c:v>
              </c:pt>
              <c:pt idx="1477">
                <c:v>-0.5923377260538556</c:v>
              </c:pt>
              <c:pt idx="1478">
                <c:v>-0.45467515353169163</c:v>
              </c:pt>
              <c:pt idx="1479">
                <c:v>0.51827149142314699</c:v>
              </c:pt>
              <c:pt idx="1480">
                <c:v>-0.24083512902944637</c:v>
              </c:pt>
              <c:pt idx="1481">
                <c:v>-0.64776068741385329</c:v>
              </c:pt>
              <c:pt idx="1482">
                <c:v>3.2820535863881839E-2</c:v>
              </c:pt>
              <c:pt idx="1483">
                <c:v>0.28164603728691229</c:v>
              </c:pt>
              <c:pt idx="1484">
                <c:v>-0.15816265184114969</c:v>
              </c:pt>
              <c:pt idx="1485">
                <c:v>-1.1188311359082559</c:v>
              </c:pt>
              <c:pt idx="1486">
                <c:v>0.52853416819348353</c:v>
              </c:pt>
              <c:pt idx="1487">
                <c:v>-1.340863886728382</c:v>
              </c:pt>
              <c:pt idx="1488">
                <c:v>-0.15063980440390523</c:v>
              </c:pt>
              <c:pt idx="1489">
                <c:v>1.865795238388579E-2</c:v>
              </c:pt>
              <c:pt idx="1490">
                <c:v>7.7076103814258876E-2</c:v>
              </c:pt>
              <c:pt idx="1491">
                <c:v>-6.4847763991903062E-2</c:v>
              </c:pt>
              <c:pt idx="1492">
                <c:v>4.5321098172426633E-2</c:v>
              </c:pt>
              <c:pt idx="1493">
                <c:v>1.0165551674955449</c:v>
              </c:pt>
              <c:pt idx="1494">
                <c:v>-8.3831952716690195E-2</c:v>
              </c:pt>
              <c:pt idx="1495">
                <c:v>-0.38930757591074938</c:v>
              </c:pt>
              <c:pt idx="1496">
                <c:v>-0.38517860734610943</c:v>
              </c:pt>
              <c:pt idx="1497">
                <c:v>-1.0370021976506096</c:v>
              </c:pt>
              <c:pt idx="1498">
                <c:v>-0.26494793487603285</c:v>
              </c:pt>
              <c:pt idx="1499">
                <c:v>-0.48420292353806299</c:v>
              </c:pt>
              <c:pt idx="1500">
                <c:v>-0.34531715213581371</c:v>
              </c:pt>
              <c:pt idx="1501">
                <c:v>-0.13065111484139968</c:v>
              </c:pt>
              <c:pt idx="1502">
                <c:v>0.48709621601931763</c:v>
              </c:pt>
              <c:pt idx="1503">
                <c:v>-0.16905230609444685</c:v>
              </c:pt>
              <c:pt idx="1504">
                <c:v>-0.19753253200503706</c:v>
              </c:pt>
              <c:pt idx="1505">
                <c:v>0.25142169078796511</c:v>
              </c:pt>
              <c:pt idx="1506">
                <c:v>0.32271924401527291</c:v>
              </c:pt>
              <c:pt idx="1507">
                <c:v>-0.30150605986924472</c:v>
              </c:pt>
              <c:pt idx="1508">
                <c:v>0.49525364177945908</c:v>
              </c:pt>
              <c:pt idx="1509">
                <c:v>-0.1944985389924575</c:v>
              </c:pt>
              <c:pt idx="1510">
                <c:v>-1.0337684857923024</c:v>
              </c:pt>
              <c:pt idx="1511">
                <c:v>3.5406508457254515E-2</c:v>
              </c:pt>
              <c:pt idx="1512">
                <c:v>0.4070917914921377</c:v>
              </c:pt>
              <c:pt idx="1513">
                <c:v>-0.80631797496621826</c:v>
              </c:pt>
              <c:pt idx="1514">
                <c:v>-0.26761478897888119</c:v>
              </c:pt>
              <c:pt idx="1515">
                <c:v>-0.65244363029357633</c:v>
              </c:pt>
              <c:pt idx="1516">
                <c:v>-0.74006220345535811</c:v>
              </c:pt>
              <c:pt idx="1517">
                <c:v>0.37735435433972109</c:v>
              </c:pt>
              <c:pt idx="1518">
                <c:v>0.55778661679248098</c:v>
              </c:pt>
              <c:pt idx="1519">
                <c:v>-0.33242474932313937</c:v>
              </c:pt>
              <c:pt idx="1520">
                <c:v>-0.26174284379213569</c:v>
              </c:pt>
              <c:pt idx="1521">
                <c:v>0.75070947025169577</c:v>
              </c:pt>
              <c:pt idx="1522">
                <c:v>-0.87658316277584469</c:v>
              </c:pt>
              <c:pt idx="1523">
                <c:v>0.24067984243555993</c:v>
              </c:pt>
              <c:pt idx="1524">
                <c:v>0.68006558353081559</c:v>
              </c:pt>
              <c:pt idx="1525">
                <c:v>-8.3368221617832083E-2</c:v>
              </c:pt>
              <c:pt idx="1526">
                <c:v>-0.12027109979651376</c:v>
              </c:pt>
              <c:pt idx="1527">
                <c:v>1.0737744132360136</c:v>
              </c:pt>
              <c:pt idx="1528">
                <c:v>-0.28787305089661852</c:v>
              </c:pt>
              <c:pt idx="1529">
                <c:v>-0.16271852760018218</c:v>
              </c:pt>
              <c:pt idx="1530">
                <c:v>-0.27934586620056423</c:v>
              </c:pt>
              <c:pt idx="1531">
                <c:v>0.48159741457758609</c:v>
              </c:pt>
              <c:pt idx="1532">
                <c:v>0.70548807952521964</c:v>
              </c:pt>
              <c:pt idx="1533">
                <c:v>-1.3992072947564771</c:v>
              </c:pt>
              <c:pt idx="1534">
                <c:v>1.9072027077308804E-2</c:v>
              </c:pt>
              <c:pt idx="1535">
                <c:v>-0.97233862647804958</c:v>
              </c:pt>
              <c:pt idx="1536">
                <c:v>0.47047878080181693</c:v>
              </c:pt>
              <c:pt idx="1537">
                <c:v>-0.2737603856271682</c:v>
              </c:pt>
              <c:pt idx="1538">
                <c:v>-5.909287227282406E-2</c:v>
              </c:pt>
              <c:pt idx="1539">
                <c:v>-0.70028608458871155</c:v>
              </c:pt>
              <c:pt idx="1540">
                <c:v>1.0175608681747823</c:v>
              </c:pt>
              <c:pt idx="1541">
                <c:v>9.4410655482772679E-2</c:v>
              </c:pt>
              <c:pt idx="1542">
                <c:v>-2.5660600145483159E-2</c:v>
              </c:pt>
              <c:pt idx="1543">
                <c:v>-0.2081738070910657</c:v>
              </c:pt>
              <c:pt idx="1544">
                <c:v>-0.68016556032682496</c:v>
              </c:pt>
              <c:pt idx="1545">
                <c:v>-0.15032526197552876</c:v>
              </c:pt>
              <c:pt idx="1546">
                <c:v>0.34894040452688302</c:v>
              </c:pt>
              <c:pt idx="1547">
                <c:v>0.27899370261066803</c:v>
              </c:pt>
              <c:pt idx="1548">
                <c:v>0.54616388327798937</c:v>
              </c:pt>
              <c:pt idx="1549">
                <c:v>-7.8490385518557387E-2</c:v>
              </c:pt>
              <c:pt idx="1550">
                <c:v>-0.43137767059295196</c:v>
              </c:pt>
              <c:pt idx="1551">
                <c:v>-0.7608127506104061</c:v>
              </c:pt>
              <c:pt idx="1552">
                <c:v>0.92242897049205441</c:v>
              </c:pt>
              <c:pt idx="1553">
                <c:v>0.57381215819708586</c:v>
              </c:pt>
              <c:pt idx="1554">
                <c:v>0.17378877875828991</c:v>
              </c:pt>
              <c:pt idx="1555">
                <c:v>0.53122123874956273</c:v>
              </c:pt>
              <c:pt idx="1556">
                <c:v>-0.20961071224193106</c:v>
              </c:pt>
              <c:pt idx="1557">
                <c:v>0.43220772034271437</c:v>
              </c:pt>
              <c:pt idx="1558">
                <c:v>2.0098028934332879</c:v>
              </c:pt>
              <c:pt idx="1559">
                <c:v>0.66401606770251664</c:v>
              </c:pt>
              <c:pt idx="1560">
                <c:v>0.31513520919481353</c:v>
              </c:pt>
              <c:pt idx="1561">
                <c:v>0.52720633757312474</c:v>
              </c:pt>
              <c:pt idx="1562">
                <c:v>-0.63475626890864378</c:v>
              </c:pt>
              <c:pt idx="1563">
                <c:v>-0.62719561717959071</c:v>
              </c:pt>
              <c:pt idx="1564">
                <c:v>-0.74406357891972652</c:v>
              </c:pt>
              <c:pt idx="1565">
                <c:v>-0.11949828449256808</c:v>
              </c:pt>
              <c:pt idx="1566">
                <c:v>0.17414461818835864</c:v>
              </c:pt>
              <c:pt idx="1567">
                <c:v>-7.4695051218435282E-2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1A-4F97-86A0-A3DFF001F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76352"/>
        <c:axId val="248678272"/>
      </c:scatterChart>
      <c:valAx>
        <c:axId val="2486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X </a:t>
                </a:r>
                <a:r>
                  <a:rPr lang="zh-TW" altLang="en-US"/>
                  <a:t>變數 </a:t>
                </a:r>
                <a:r>
                  <a:rPr lang="en-US" altLang="zh-TW"/>
                  <a:t>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678272"/>
        <c:crosses val="autoZero"/>
        <c:crossBetween val="midCat"/>
      </c:valAx>
      <c:valAx>
        <c:axId val="248678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殘差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67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X </a:t>
            </a:r>
            <a:r>
              <a:rPr lang="zh-TW" altLang="en-US"/>
              <a:t>變數 </a:t>
            </a:r>
            <a:r>
              <a:rPr lang="en-US" altLang="zh-TW"/>
              <a:t>1 </a:t>
            </a:r>
            <a:r>
              <a:rPr lang="zh-TW" altLang="en-US"/>
              <a:t>樣本迴歸線圖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Lit>
              <c:formatCode>General</c:formatCode>
              <c:ptCount val="1568"/>
              <c:pt idx="0">
                <c:v>0.5837</c:v>
              </c:pt>
              <c:pt idx="1">
                <c:v>-0.31490000000000001</c:v>
              </c:pt>
              <c:pt idx="2">
                <c:v>-1.6941999999999999</c:v>
              </c:pt>
              <c:pt idx="3">
                <c:v>0.4133</c:v>
              </c:pt>
              <c:pt idx="4">
                <c:v>-1.1406999999999998</c:v>
              </c:pt>
              <c:pt idx="5">
                <c:v>0.39650000000000002</c:v>
              </c:pt>
              <c:pt idx="6">
                <c:v>1.2757000000000001</c:v>
              </c:pt>
              <c:pt idx="7">
                <c:v>0.37290000000000001</c:v>
              </c:pt>
              <c:pt idx="8">
                <c:v>0.1149</c:v>
              </c:pt>
              <c:pt idx="9">
                <c:v>-3.7200000000000004E-2</c:v>
              </c:pt>
              <c:pt idx="10">
                <c:v>-0.53290000000000004</c:v>
              </c:pt>
              <c:pt idx="11">
                <c:v>0.69940000000000002</c:v>
              </c:pt>
              <c:pt idx="12">
                <c:v>1.0817000000000001</c:v>
              </c:pt>
              <c:pt idx="13">
                <c:v>-0.70820000000000005</c:v>
              </c:pt>
              <c:pt idx="14">
                <c:v>-0.75719999999999998</c:v>
              </c:pt>
              <c:pt idx="15">
                <c:v>-7.6600000000000001E-2</c:v>
              </c:pt>
              <c:pt idx="16">
                <c:v>0.48309999999999997</c:v>
              </c:pt>
              <c:pt idx="17">
                <c:v>0.70850000000000002</c:v>
              </c:pt>
              <c:pt idx="18">
                <c:v>0.51180000000000003</c:v>
              </c:pt>
              <c:pt idx="19">
                <c:v>0.46849999999999997</c:v>
              </c:pt>
              <c:pt idx="20">
                <c:v>-0.37430000000000002</c:v>
              </c:pt>
              <c:pt idx="21">
                <c:v>-1.1580999999999999</c:v>
              </c:pt>
              <c:pt idx="22">
                <c:v>-1.9114</c:v>
              </c:pt>
              <c:pt idx="23">
                <c:v>-2.6020000000000003</c:v>
              </c:pt>
              <c:pt idx="24">
                <c:v>0.87129999999999996</c:v>
              </c:pt>
              <c:pt idx="25">
                <c:v>0.41589999999999999</c:v>
              </c:pt>
              <c:pt idx="26">
                <c:v>-0.10590000000000001</c:v>
              </c:pt>
              <c:pt idx="27">
                <c:v>-0.33729999999999999</c:v>
              </c:pt>
              <c:pt idx="28">
                <c:v>1.8223</c:v>
              </c:pt>
              <c:pt idx="29">
                <c:v>-5.5300000000000002E-2</c:v>
              </c:pt>
              <c:pt idx="30">
                <c:v>-1.8936999999999999</c:v>
              </c:pt>
              <c:pt idx="31">
                <c:v>-1.6857</c:v>
              </c:pt>
              <c:pt idx="32">
                <c:v>0.14579999999999999</c:v>
              </c:pt>
              <c:pt idx="33">
                <c:v>0.67379999999999995</c:v>
              </c:pt>
              <c:pt idx="34">
                <c:v>1.4734</c:v>
              </c:pt>
              <c:pt idx="35">
                <c:v>-1.2442</c:v>
              </c:pt>
              <c:pt idx="36">
                <c:v>1.3620000000000001</c:v>
              </c:pt>
              <c:pt idx="37">
                <c:v>0.52239999999999998</c:v>
              </c:pt>
              <c:pt idx="38">
                <c:v>-0.81010000000000004</c:v>
              </c:pt>
              <c:pt idx="39">
                <c:v>0.38600000000000001</c:v>
              </c:pt>
              <c:pt idx="40">
                <c:v>2.29E-2</c:v>
              </c:pt>
              <c:pt idx="41">
                <c:v>-1.2347999999999999</c:v>
              </c:pt>
              <c:pt idx="42">
                <c:v>-0.87550000000000006</c:v>
              </c:pt>
              <c:pt idx="43">
                <c:v>-0.5625</c:v>
              </c:pt>
              <c:pt idx="44">
                <c:v>-3.4081999999999999</c:v>
              </c:pt>
              <c:pt idx="45">
                <c:v>1.0816000000000001</c:v>
              </c:pt>
              <c:pt idx="46">
                <c:v>-0.50749999999999995</c:v>
              </c:pt>
              <c:pt idx="47">
                <c:v>1.3409000000000002</c:v>
              </c:pt>
              <c:pt idx="48">
                <c:v>0.86239999999999994</c:v>
              </c:pt>
              <c:pt idx="49">
                <c:v>0.47210000000000002</c:v>
              </c:pt>
              <c:pt idx="50">
                <c:v>0.43140000000000001</c:v>
              </c:pt>
              <c:pt idx="51">
                <c:v>0.3629</c:v>
              </c:pt>
              <c:pt idx="52">
                <c:v>0.39250000000000002</c:v>
              </c:pt>
              <c:pt idx="53">
                <c:v>-0.67100000000000004</c:v>
              </c:pt>
              <c:pt idx="54">
                <c:v>0.50439999999999996</c:v>
              </c:pt>
              <c:pt idx="55">
                <c:v>0.57389999999999997</c:v>
              </c:pt>
              <c:pt idx="56">
                <c:v>0.4239</c:v>
              </c:pt>
              <c:pt idx="57">
                <c:v>0.24809999999999999</c:v>
              </c:pt>
              <c:pt idx="58">
                <c:v>1.6699000000000002</c:v>
              </c:pt>
              <c:pt idx="59">
                <c:v>0.55730000000000002</c:v>
              </c:pt>
              <c:pt idx="60">
                <c:v>-8.3699999999999997E-2</c:v>
              </c:pt>
              <c:pt idx="61">
                <c:v>-0.1636</c:v>
              </c:pt>
              <c:pt idx="62">
                <c:v>-1.68</c:v>
              </c:pt>
              <c:pt idx="63">
                <c:v>0.54069999999999996</c:v>
              </c:pt>
              <c:pt idx="64">
                <c:v>0.25329999999999997</c:v>
              </c:pt>
              <c:pt idx="65">
                <c:v>-0.96879999999999999</c:v>
              </c:pt>
              <c:pt idx="66">
                <c:v>-4.48E-2</c:v>
              </c:pt>
              <c:pt idx="67">
                <c:v>-0.87809999999999999</c:v>
              </c:pt>
              <c:pt idx="68">
                <c:v>1.9995000000000001</c:v>
              </c:pt>
              <c:pt idx="69">
                <c:v>1.6218000000000001</c:v>
              </c:pt>
              <c:pt idx="70">
                <c:v>0.12839999999999999</c:v>
              </c:pt>
              <c:pt idx="71">
                <c:v>-0.21149999999999999</c:v>
              </c:pt>
              <c:pt idx="72">
                <c:v>-3.2199999999999999E-2</c:v>
              </c:pt>
              <c:pt idx="73">
                <c:v>1.1206</c:v>
              </c:pt>
              <c:pt idx="74">
                <c:v>-9.6799999999999997E-2</c:v>
              </c:pt>
              <c:pt idx="75">
                <c:v>-0.36759999999999998</c:v>
              </c:pt>
              <c:pt idx="76">
                <c:v>-0.69130000000000003</c:v>
              </c:pt>
              <c:pt idx="77">
                <c:v>1.1200000000000002E-2</c:v>
              </c:pt>
              <c:pt idx="78">
                <c:v>0.7903</c:v>
              </c:pt>
              <c:pt idx="79">
                <c:v>-0.46289999999999998</c:v>
              </c:pt>
              <c:pt idx="80">
                <c:v>0.64380000000000004</c:v>
              </c:pt>
              <c:pt idx="81">
                <c:v>-0.1381</c:v>
              </c:pt>
              <c:pt idx="82">
                <c:v>-3.49E-2</c:v>
              </c:pt>
              <c:pt idx="83">
                <c:v>0.14410000000000001</c:v>
              </c:pt>
              <c:pt idx="84">
                <c:v>-0.30309999999999998</c:v>
              </c:pt>
              <c:pt idx="85">
                <c:v>-1.0622999999999998</c:v>
              </c:pt>
              <c:pt idx="86">
                <c:v>-0.31340000000000001</c:v>
              </c:pt>
              <c:pt idx="87">
                <c:v>0.67849999999999999</c:v>
              </c:pt>
              <c:pt idx="88">
                <c:v>-0.58560000000000001</c:v>
              </c:pt>
              <c:pt idx="89">
                <c:v>-0.63300000000000001</c:v>
              </c:pt>
              <c:pt idx="90">
                <c:v>-1.0211999999999999</c:v>
              </c:pt>
              <c:pt idx="91">
                <c:v>0.10099999999999999</c:v>
              </c:pt>
              <c:pt idx="92">
                <c:v>-0.3407</c:v>
              </c:pt>
              <c:pt idx="93">
                <c:v>0.69709999999999994</c:v>
              </c:pt>
              <c:pt idx="94">
                <c:v>0.24249999999999999</c:v>
              </c:pt>
              <c:pt idx="95">
                <c:v>0.1522</c:v>
              </c:pt>
              <c:pt idx="96">
                <c:v>1.8515000000000001</c:v>
              </c:pt>
              <c:pt idx="97">
                <c:v>0.8115</c:v>
              </c:pt>
              <c:pt idx="98">
                <c:v>-0.78939999999999999</c:v>
              </c:pt>
              <c:pt idx="99">
                <c:v>0.60599999999999998</c:v>
              </c:pt>
              <c:pt idx="100">
                <c:v>0.11649999999999999</c:v>
              </c:pt>
              <c:pt idx="101">
                <c:v>-0.55179999999999996</c:v>
              </c:pt>
              <c:pt idx="102">
                <c:v>-7.6200000000000004E-2</c:v>
              </c:pt>
              <c:pt idx="103">
                <c:v>-1.8318999999999999</c:v>
              </c:pt>
              <c:pt idx="104">
                <c:v>-1.4259999999999999</c:v>
              </c:pt>
              <c:pt idx="105">
                <c:v>1.3225</c:v>
              </c:pt>
              <c:pt idx="106">
                <c:v>2.24E-2</c:v>
              </c:pt>
              <c:pt idx="107">
                <c:v>-2.0278</c:v>
              </c:pt>
              <c:pt idx="108">
                <c:v>-0.215</c:v>
              </c:pt>
              <c:pt idx="109">
                <c:v>-1.2311999999999999</c:v>
              </c:pt>
              <c:pt idx="110">
                <c:v>0.77859999999999996</c:v>
              </c:pt>
              <c:pt idx="111">
                <c:v>0.26900000000000002</c:v>
              </c:pt>
              <c:pt idx="112">
                <c:v>-0.62849999999999995</c:v>
              </c:pt>
              <c:pt idx="113">
                <c:v>-0.40589999999999998</c:v>
              </c:pt>
              <c:pt idx="114">
                <c:v>-0.3866</c:v>
              </c:pt>
              <c:pt idx="115">
                <c:v>-0.25390000000000001</c:v>
              </c:pt>
              <c:pt idx="116">
                <c:v>1.1056000000000001</c:v>
              </c:pt>
              <c:pt idx="117">
                <c:v>0.91669999999999996</c:v>
              </c:pt>
              <c:pt idx="118">
                <c:v>1.0001000000000002</c:v>
              </c:pt>
              <c:pt idx="119">
                <c:v>0.39550000000000002</c:v>
              </c:pt>
              <c:pt idx="120">
                <c:v>0.1077</c:v>
              </c:pt>
              <c:pt idx="121">
                <c:v>0.45129999999999998</c:v>
              </c:pt>
              <c:pt idx="122">
                <c:v>-0.58279999999999998</c:v>
              </c:pt>
              <c:pt idx="123">
                <c:v>-0.27539999999999998</c:v>
              </c:pt>
              <c:pt idx="124">
                <c:v>-0.96420000000000006</c:v>
              </c:pt>
              <c:pt idx="125">
                <c:v>-2.0411999999999999</c:v>
              </c:pt>
              <c:pt idx="126">
                <c:v>-3.7700000000000004E-2</c:v>
              </c:pt>
              <c:pt idx="127">
                <c:v>-8.2100000000000006E-2</c:v>
              </c:pt>
              <c:pt idx="128">
                <c:v>1.0941000000000001</c:v>
              </c:pt>
              <c:pt idx="129">
                <c:v>-0.42770000000000002</c:v>
              </c:pt>
              <c:pt idx="130">
                <c:v>-0.1671</c:v>
              </c:pt>
              <c:pt idx="131">
                <c:v>2.1048999999999998</c:v>
              </c:pt>
              <c:pt idx="132">
                <c:v>0.12290000000000001</c:v>
              </c:pt>
              <c:pt idx="133">
                <c:v>0.54820000000000002</c:v>
              </c:pt>
              <c:pt idx="134">
                <c:v>-0.94069999999999998</c:v>
              </c:pt>
              <c:pt idx="135">
                <c:v>1.2641</c:v>
              </c:pt>
              <c:pt idx="136">
                <c:v>0.26100000000000001</c:v>
              </c:pt>
              <c:pt idx="137">
                <c:v>-0.57499999999999996</c:v>
              </c:pt>
              <c:pt idx="138">
                <c:v>-1.4160999999999999</c:v>
              </c:pt>
              <c:pt idx="139">
                <c:v>0.65649999999999997</c:v>
              </c:pt>
              <c:pt idx="140">
                <c:v>-1.3528</c:v>
              </c:pt>
              <c:pt idx="141">
                <c:v>-1.5035999999999998</c:v>
              </c:pt>
              <c:pt idx="142">
                <c:v>-1.6674</c:v>
              </c:pt>
              <c:pt idx="143">
                <c:v>-5.7452000000000005</c:v>
              </c:pt>
              <c:pt idx="144">
                <c:v>-3.9024000000000001</c:v>
              </c:pt>
              <c:pt idx="145">
                <c:v>-0.79630000000000001</c:v>
              </c:pt>
              <c:pt idx="146">
                <c:v>3.1911</c:v>
              </c:pt>
              <c:pt idx="147">
                <c:v>-0.22600000000000001</c:v>
              </c:pt>
              <c:pt idx="148">
                <c:v>-1.0718999999999999</c:v>
              </c:pt>
              <c:pt idx="149">
                <c:v>2.3569</c:v>
              </c:pt>
              <c:pt idx="150">
                <c:v>-0.26940000000000003</c:v>
              </c:pt>
              <c:pt idx="151">
                <c:v>-0.73440000000000005</c:v>
              </c:pt>
              <c:pt idx="152">
                <c:v>-1.6542999999999999</c:v>
              </c:pt>
              <c:pt idx="153">
                <c:v>-3.6404000000000001</c:v>
              </c:pt>
              <c:pt idx="154">
                <c:v>-0.41749999999999998</c:v>
              </c:pt>
              <c:pt idx="155">
                <c:v>3.1951000000000001</c:v>
              </c:pt>
              <c:pt idx="156">
                <c:v>-0.63139999999999996</c:v>
              </c:pt>
              <c:pt idx="157">
                <c:v>-1.2375999999999998</c:v>
              </c:pt>
              <c:pt idx="158">
                <c:v>0.45779999999999998</c:v>
              </c:pt>
              <c:pt idx="159">
                <c:v>1.7665000000000002</c:v>
              </c:pt>
              <c:pt idx="160">
                <c:v>0.89270000000000005</c:v>
              </c:pt>
              <c:pt idx="161">
                <c:v>1.2340000000000002</c:v>
              </c:pt>
              <c:pt idx="162">
                <c:v>0.20860000000000001</c:v>
              </c:pt>
              <c:pt idx="163">
                <c:v>-1.2E-2</c:v>
              </c:pt>
              <c:pt idx="164">
                <c:v>-2.6878000000000002</c:v>
              </c:pt>
              <c:pt idx="165">
                <c:v>-2.4749000000000003</c:v>
              </c:pt>
              <c:pt idx="166">
                <c:v>2.1696999999999997</c:v>
              </c:pt>
              <c:pt idx="167">
                <c:v>0.25379999999999997</c:v>
              </c:pt>
              <c:pt idx="168">
                <c:v>0.81759999999999999</c:v>
              </c:pt>
              <c:pt idx="169">
                <c:v>-2.9255</c:v>
              </c:pt>
              <c:pt idx="170">
                <c:v>-2.2316000000000003</c:v>
              </c:pt>
              <c:pt idx="171">
                <c:v>2.1486000000000001</c:v>
              </c:pt>
              <c:pt idx="172">
                <c:v>2.5596999999999999</c:v>
              </c:pt>
              <c:pt idx="173">
                <c:v>-1.2849999999999999</c:v>
              </c:pt>
              <c:pt idx="174">
                <c:v>0.15689999999999998</c:v>
              </c:pt>
              <c:pt idx="175">
                <c:v>0.5696</c:v>
              </c:pt>
              <c:pt idx="176">
                <c:v>-3.1078000000000001</c:v>
              </c:pt>
              <c:pt idx="177">
                <c:v>-3.6166</c:v>
              </c:pt>
              <c:pt idx="178">
                <c:v>-2.4321000000000002</c:v>
              </c:pt>
              <c:pt idx="179">
                <c:v>3.0448</c:v>
              </c:pt>
              <c:pt idx="180">
                <c:v>0.79820000000000002</c:v>
              </c:pt>
              <c:pt idx="181">
                <c:v>0.49430000000000002</c:v>
              </c:pt>
              <c:pt idx="182">
                <c:v>0.5907</c:v>
              </c:pt>
              <c:pt idx="183">
                <c:v>-2.9725999999999999</c:v>
              </c:pt>
              <c:pt idx="184">
                <c:v>0.47920000000000001</c:v>
              </c:pt>
              <c:pt idx="185">
                <c:v>-0.83960000000000001</c:v>
              </c:pt>
              <c:pt idx="186">
                <c:v>2.0202999999999998</c:v>
              </c:pt>
              <c:pt idx="187">
                <c:v>1.1119000000000001</c:v>
              </c:pt>
              <c:pt idx="188">
                <c:v>2.5535000000000001</c:v>
              </c:pt>
              <c:pt idx="189">
                <c:v>-0.22440000000000002</c:v>
              </c:pt>
              <c:pt idx="190">
                <c:v>0.6179</c:v>
              </c:pt>
              <c:pt idx="191">
                <c:v>-0.95320000000000005</c:v>
              </c:pt>
              <c:pt idx="192">
                <c:v>1.3877000000000002</c:v>
              </c:pt>
              <c:pt idx="193">
                <c:v>-1.3745999999999998</c:v>
              </c:pt>
              <c:pt idx="194">
                <c:v>-8.6099999999999996E-2</c:v>
              </c:pt>
              <c:pt idx="195">
                <c:v>-1.4970999999999999</c:v>
              </c:pt>
              <c:pt idx="196">
                <c:v>0.1376</c:v>
              </c:pt>
              <c:pt idx="197">
                <c:v>2.9281999999999999</c:v>
              </c:pt>
              <c:pt idx="198">
                <c:v>0.27650000000000002</c:v>
              </c:pt>
              <c:pt idx="199">
                <c:v>0.5907</c:v>
              </c:pt>
              <c:pt idx="200">
                <c:v>0.38619999999999999</c:v>
              </c:pt>
              <c:pt idx="201">
                <c:v>0.66690000000000005</c:v>
              </c:pt>
              <c:pt idx="202">
                <c:v>-0.37619999999999998</c:v>
              </c:pt>
              <c:pt idx="203">
                <c:v>0.44829999999999998</c:v>
              </c:pt>
              <c:pt idx="204">
                <c:v>-0.31259999999999999</c:v>
              </c:pt>
              <c:pt idx="205">
                <c:v>-1.8376999999999999</c:v>
              </c:pt>
              <c:pt idx="206">
                <c:v>1.8946000000000001</c:v>
              </c:pt>
              <c:pt idx="207">
                <c:v>0.2399</c:v>
              </c:pt>
              <c:pt idx="208">
                <c:v>-0.27800000000000002</c:v>
              </c:pt>
              <c:pt idx="209">
                <c:v>-0.51649999999999996</c:v>
              </c:pt>
              <c:pt idx="210">
                <c:v>-3.4085000000000001</c:v>
              </c:pt>
              <c:pt idx="211">
                <c:v>0.79569999999999996</c:v>
              </c:pt>
              <c:pt idx="212">
                <c:v>2.1236999999999999</c:v>
              </c:pt>
              <c:pt idx="213">
                <c:v>-0.4637</c:v>
              </c:pt>
              <c:pt idx="214">
                <c:v>-1.3947999999999998</c:v>
              </c:pt>
              <c:pt idx="215">
                <c:v>8.9999999999999976E-4</c:v>
              </c:pt>
              <c:pt idx="216">
                <c:v>-2.1100000000000003</c:v>
              </c:pt>
              <c:pt idx="217">
                <c:v>-2.6809000000000003</c:v>
              </c:pt>
              <c:pt idx="218">
                <c:v>-0.6099</c:v>
              </c:pt>
              <c:pt idx="219">
                <c:v>-2.8077000000000001</c:v>
              </c:pt>
              <c:pt idx="220">
                <c:v>0.84489999999999998</c:v>
              </c:pt>
              <c:pt idx="221">
                <c:v>-1.1734</c:v>
              </c:pt>
              <c:pt idx="222">
                <c:v>1.6671</c:v>
              </c:pt>
              <c:pt idx="223">
                <c:v>1.2913000000000001</c:v>
              </c:pt>
              <c:pt idx="224">
                <c:v>-1.2199</c:v>
              </c:pt>
              <c:pt idx="225">
                <c:v>3.8969</c:v>
              </c:pt>
              <c:pt idx="226">
                <c:v>-0.53390000000000004</c:v>
              </c:pt>
              <c:pt idx="227">
                <c:v>-0.60140000000000005</c:v>
              </c:pt>
              <c:pt idx="228">
                <c:v>-2.0209000000000001</c:v>
              </c:pt>
              <c:pt idx="229">
                <c:v>1.0939000000000001</c:v>
              </c:pt>
              <c:pt idx="230">
                <c:v>-0.71789999999999998</c:v>
              </c:pt>
              <c:pt idx="231">
                <c:v>-1.2944</c:v>
              </c:pt>
              <c:pt idx="232">
                <c:v>0.8024</c:v>
              </c:pt>
              <c:pt idx="233">
                <c:v>-0.76470000000000005</c:v>
              </c:pt>
              <c:pt idx="234">
                <c:v>0.37709999999999999</c:v>
              </c:pt>
              <c:pt idx="235">
                <c:v>-2.3115000000000001</c:v>
              </c:pt>
              <c:pt idx="236">
                <c:v>0.29959999999999998</c:v>
              </c:pt>
              <c:pt idx="237">
                <c:v>-2.2651000000000003</c:v>
              </c:pt>
              <c:pt idx="238">
                <c:v>0.43790000000000001</c:v>
              </c:pt>
              <c:pt idx="239">
                <c:v>4.4563999999999995</c:v>
              </c:pt>
              <c:pt idx="240">
                <c:v>-4.8999999999999998E-3</c:v>
              </c:pt>
              <c:pt idx="241">
                <c:v>2.0482999999999998</c:v>
              </c:pt>
              <c:pt idx="242">
                <c:v>-0.2586</c:v>
              </c:pt>
              <c:pt idx="243">
                <c:v>-0.1095</c:v>
              </c:pt>
              <c:pt idx="244">
                <c:v>-0.40410000000000001</c:v>
              </c:pt>
              <c:pt idx="245">
                <c:v>0.25390000000000001</c:v>
              </c:pt>
              <c:pt idx="246">
                <c:v>-4.1700000000000001E-2</c:v>
              </c:pt>
              <c:pt idx="247">
                <c:v>-1.7124999999999999</c:v>
              </c:pt>
              <c:pt idx="248">
                <c:v>1.4417000000000002</c:v>
              </c:pt>
              <c:pt idx="249">
                <c:v>0.41560000000000002</c:v>
              </c:pt>
              <c:pt idx="250">
                <c:v>0.67090000000000005</c:v>
              </c:pt>
              <c:pt idx="251">
                <c:v>-0.1482</c:v>
              </c:pt>
              <c:pt idx="252">
                <c:v>-0.38950000000000001</c:v>
              </c:pt>
              <c:pt idx="253">
                <c:v>1.1998000000000002</c:v>
              </c:pt>
              <c:pt idx="254">
                <c:v>0.127</c:v>
              </c:pt>
              <c:pt idx="255">
                <c:v>-2.5700000000000001E-2</c:v>
              </c:pt>
              <c:pt idx="256">
                <c:v>-7.3200000000000001E-2</c:v>
              </c:pt>
              <c:pt idx="257">
                <c:v>-1.0938999999999999</c:v>
              </c:pt>
              <c:pt idx="258">
                <c:v>1.637</c:v>
              </c:pt>
              <c:pt idx="259">
                <c:v>0.17149999999999999</c:v>
              </c:pt>
              <c:pt idx="260">
                <c:v>2.3702000000000001</c:v>
              </c:pt>
              <c:pt idx="261">
                <c:v>1.4667000000000001</c:v>
              </c:pt>
              <c:pt idx="262">
                <c:v>0.42349999999999999</c:v>
              </c:pt>
              <c:pt idx="263">
                <c:v>1.3554000000000002</c:v>
              </c:pt>
              <c:pt idx="264">
                <c:v>0.29099999999999998</c:v>
              </c:pt>
              <c:pt idx="265">
                <c:v>0.85650000000000004</c:v>
              </c:pt>
              <c:pt idx="266">
                <c:v>-0.69340000000000002</c:v>
              </c:pt>
              <c:pt idx="267">
                <c:v>0.24980000000000002</c:v>
              </c:pt>
              <c:pt idx="268">
                <c:v>2.0831</c:v>
              </c:pt>
              <c:pt idx="269">
                <c:v>0.51500000000000001</c:v>
              </c:pt>
              <c:pt idx="270">
                <c:v>-0.61809999999999998</c:v>
              </c:pt>
              <c:pt idx="271">
                <c:v>0.63900000000000001</c:v>
              </c:pt>
              <c:pt idx="272">
                <c:v>-0.36799999999999999</c:v>
              </c:pt>
              <c:pt idx="273">
                <c:v>1.5221</c:v>
              </c:pt>
              <c:pt idx="274">
                <c:v>-1.7105999999999999</c:v>
              </c:pt>
              <c:pt idx="275">
                <c:v>0.30990000000000001</c:v>
              </c:pt>
              <c:pt idx="276">
                <c:v>0.75990000000000002</c:v>
              </c:pt>
              <c:pt idx="277">
                <c:v>-0.42270000000000002</c:v>
              </c:pt>
              <c:pt idx="278">
                <c:v>1.0041000000000002</c:v>
              </c:pt>
              <c:pt idx="279">
                <c:v>-0.81079999999999997</c:v>
              </c:pt>
              <c:pt idx="280">
                <c:v>0.27429999999999999</c:v>
              </c:pt>
              <c:pt idx="281">
                <c:v>2.0130999999999997</c:v>
              </c:pt>
              <c:pt idx="282">
                <c:v>-4.1200000000000001E-2</c:v>
              </c:pt>
              <c:pt idx="283">
                <c:v>0.31309999999999999</c:v>
              </c:pt>
              <c:pt idx="284">
                <c:v>-0.36709999999999998</c:v>
              </c:pt>
              <c:pt idx="285">
                <c:v>-1.3640999999999999</c:v>
              </c:pt>
              <c:pt idx="286">
                <c:v>-0.84060000000000001</c:v>
              </c:pt>
              <c:pt idx="287">
                <c:v>-0.44350000000000001</c:v>
              </c:pt>
              <c:pt idx="288">
                <c:v>1.0227000000000002</c:v>
              </c:pt>
              <c:pt idx="289">
                <c:v>0.3901</c:v>
              </c:pt>
              <c:pt idx="290">
                <c:v>-1.1126999999999998</c:v>
              </c:pt>
              <c:pt idx="291">
                <c:v>1.2999000000000001</c:v>
              </c:pt>
              <c:pt idx="292">
                <c:v>1.1575000000000002</c:v>
              </c:pt>
              <c:pt idx="293">
                <c:v>-4.7800000000000002E-2</c:v>
              </c:pt>
              <c:pt idx="294">
                <c:v>-0.82740000000000002</c:v>
              </c:pt>
              <c:pt idx="295">
                <c:v>-0.1399</c:v>
              </c:pt>
              <c:pt idx="296">
                <c:v>-0.89229999999999998</c:v>
              </c:pt>
              <c:pt idx="297">
                <c:v>0.1128</c:v>
              </c:pt>
              <c:pt idx="298">
                <c:v>0.96950000000000003</c:v>
              </c:pt>
              <c:pt idx="299">
                <c:v>0.2036</c:v>
              </c:pt>
              <c:pt idx="300">
                <c:v>-1.3615999999999999</c:v>
              </c:pt>
              <c:pt idx="301">
                <c:v>0.77010000000000001</c:v>
              </c:pt>
              <c:pt idx="302">
                <c:v>0.1042</c:v>
              </c:pt>
              <c:pt idx="303">
                <c:v>-2.0823</c:v>
              </c:pt>
              <c:pt idx="304">
                <c:v>0.76049999999999995</c:v>
              </c:pt>
              <c:pt idx="305">
                <c:v>-0.89059999999999995</c:v>
              </c:pt>
              <c:pt idx="306">
                <c:v>-1.3093999999999999</c:v>
              </c:pt>
              <c:pt idx="307">
                <c:v>-1.5748</c:v>
              </c:pt>
              <c:pt idx="308">
                <c:v>0.8629</c:v>
              </c:pt>
              <c:pt idx="309">
                <c:v>-1.38</c:v>
              </c:pt>
              <c:pt idx="310">
                <c:v>0.51939999999999997</c:v>
              </c:pt>
              <c:pt idx="311">
                <c:v>0.20610000000000001</c:v>
              </c:pt>
              <c:pt idx="312">
                <c:v>7.8600000000000003E-2</c:v>
              </c:pt>
              <c:pt idx="313">
                <c:v>1.6196000000000002</c:v>
              </c:pt>
              <c:pt idx="314">
                <c:v>-0.75580000000000003</c:v>
              </c:pt>
              <c:pt idx="315">
                <c:v>-1.8833</c:v>
              </c:pt>
              <c:pt idx="316">
                <c:v>0.24890000000000001</c:v>
              </c:pt>
              <c:pt idx="317">
                <c:v>0.2293</c:v>
              </c:pt>
              <c:pt idx="318">
                <c:v>-1.5303</c:v>
              </c:pt>
              <c:pt idx="319">
                <c:v>-0.35070000000000001</c:v>
              </c:pt>
              <c:pt idx="320">
                <c:v>0.23399999999999999</c:v>
              </c:pt>
              <c:pt idx="321">
                <c:v>0.85129999999999995</c:v>
              </c:pt>
              <c:pt idx="322">
                <c:v>-0.55759999999999998</c:v>
              </c:pt>
              <c:pt idx="323">
                <c:v>-0.54759999999999998</c:v>
              </c:pt>
              <c:pt idx="324">
                <c:v>0.28029999999999999</c:v>
              </c:pt>
              <c:pt idx="325">
                <c:v>2.3041999999999998</c:v>
              </c:pt>
              <c:pt idx="326">
                <c:v>-0.2283</c:v>
              </c:pt>
              <c:pt idx="327">
                <c:v>0.5363</c:v>
              </c:pt>
              <c:pt idx="328">
                <c:v>-2.1406000000000001</c:v>
              </c:pt>
              <c:pt idx="329">
                <c:v>9.8199999999999996E-2</c:v>
              </c:pt>
              <c:pt idx="330">
                <c:v>-0.93500000000000005</c:v>
              </c:pt>
              <c:pt idx="331">
                <c:v>0.108</c:v>
              </c:pt>
              <c:pt idx="332">
                <c:v>-1.1133999999999999</c:v>
              </c:pt>
              <c:pt idx="333">
                <c:v>-0.33040000000000003</c:v>
              </c:pt>
              <c:pt idx="334">
                <c:v>0.24690000000000001</c:v>
              </c:pt>
              <c:pt idx="335">
                <c:v>-2.2050000000000001</c:v>
              </c:pt>
              <c:pt idx="336">
                <c:v>1.6720000000000002</c:v>
              </c:pt>
              <c:pt idx="337">
                <c:v>-2.8372000000000002</c:v>
              </c:pt>
              <c:pt idx="338">
                <c:v>0.56930000000000003</c:v>
              </c:pt>
              <c:pt idx="339">
                <c:v>1.1397000000000002</c:v>
              </c:pt>
              <c:pt idx="340">
                <c:v>-1.7660999999999998</c:v>
              </c:pt>
              <c:pt idx="341">
                <c:v>-0.32329999999999998</c:v>
              </c:pt>
              <c:pt idx="342">
                <c:v>-0.75329999999999997</c:v>
              </c:pt>
              <c:pt idx="343">
                <c:v>0.90310000000000001</c:v>
              </c:pt>
              <c:pt idx="344">
                <c:v>2.8468</c:v>
              </c:pt>
              <c:pt idx="345">
                <c:v>-1.1052999999999999</c:v>
              </c:pt>
              <c:pt idx="346">
                <c:v>0.54220000000000002</c:v>
              </c:pt>
              <c:pt idx="347">
                <c:v>-2.7158000000000002</c:v>
              </c:pt>
              <c:pt idx="348">
                <c:v>-3.0235000000000003</c:v>
              </c:pt>
              <c:pt idx="349">
                <c:v>1.5197000000000001</c:v>
              </c:pt>
              <c:pt idx="350">
                <c:v>0.78949999999999998</c:v>
              </c:pt>
              <c:pt idx="351">
                <c:v>0.33879999999999999</c:v>
              </c:pt>
              <c:pt idx="352">
                <c:v>-1.1487999999999998</c:v>
              </c:pt>
              <c:pt idx="353">
                <c:v>1.7050000000000001</c:v>
              </c:pt>
              <c:pt idx="354">
                <c:v>-0.68149999999999999</c:v>
              </c:pt>
              <c:pt idx="355">
                <c:v>0.2336</c:v>
              </c:pt>
              <c:pt idx="356">
                <c:v>-0.19689999999999999</c:v>
              </c:pt>
              <c:pt idx="357">
                <c:v>1.1316000000000002</c:v>
              </c:pt>
              <c:pt idx="358">
                <c:v>1.7379</c:v>
              </c:pt>
              <c:pt idx="359">
                <c:v>-0.11800000000000001</c:v>
              </c:pt>
              <c:pt idx="360">
                <c:v>0.83899999999999997</c:v>
              </c:pt>
              <c:pt idx="361">
                <c:v>-0.76370000000000005</c:v>
              </c:pt>
              <c:pt idx="362">
                <c:v>-0.78920000000000001</c:v>
              </c:pt>
              <c:pt idx="363">
                <c:v>-0.77680000000000005</c:v>
              </c:pt>
              <c:pt idx="364">
                <c:v>-0.40079999999999999</c:v>
              </c:pt>
              <c:pt idx="365">
                <c:v>0.62660000000000005</c:v>
              </c:pt>
              <c:pt idx="366">
                <c:v>-0.18970000000000001</c:v>
              </c:pt>
              <c:pt idx="367">
                <c:v>1.7483000000000002</c:v>
              </c:pt>
              <c:pt idx="368">
                <c:v>0.66469999999999996</c:v>
              </c:pt>
              <c:pt idx="369">
                <c:v>0.98860000000000003</c:v>
              </c:pt>
              <c:pt idx="370">
                <c:v>5.3999999999999999E-2</c:v>
              </c:pt>
              <c:pt idx="371">
                <c:v>-0.47310000000000002</c:v>
              </c:pt>
              <c:pt idx="372">
                <c:v>-0.2631</c:v>
              </c:pt>
              <c:pt idx="373">
                <c:v>-0.80190000000000006</c:v>
              </c:pt>
              <c:pt idx="374">
                <c:v>-0.80800000000000005</c:v>
              </c:pt>
              <c:pt idx="375">
                <c:v>8.7399999999999992E-2</c:v>
              </c:pt>
              <c:pt idx="376">
                <c:v>-1.7679999999999998</c:v>
              </c:pt>
              <c:pt idx="377">
                <c:v>-0.37759999999999999</c:v>
              </c:pt>
              <c:pt idx="378">
                <c:v>-0.20350000000000001</c:v>
              </c:pt>
              <c:pt idx="379">
                <c:v>0.51690000000000003</c:v>
              </c:pt>
              <c:pt idx="380">
                <c:v>-1.1028</c:v>
              </c:pt>
              <c:pt idx="381">
                <c:v>1.3989</c:v>
              </c:pt>
              <c:pt idx="382">
                <c:v>0.22209999999999999</c:v>
              </c:pt>
              <c:pt idx="383">
                <c:v>-1.9186999999999999</c:v>
              </c:pt>
              <c:pt idx="384">
                <c:v>-0.29339999999999999</c:v>
              </c:pt>
              <c:pt idx="385">
                <c:v>-0.42080000000000001</c:v>
              </c:pt>
              <c:pt idx="386">
                <c:v>-0.124</c:v>
              </c:pt>
              <c:pt idx="387">
                <c:v>2.1793999999999998</c:v>
              </c:pt>
              <c:pt idx="388">
                <c:v>0.47849999999999998</c:v>
              </c:pt>
              <c:pt idx="389">
                <c:v>1.544</c:v>
              </c:pt>
              <c:pt idx="390">
                <c:v>-3.78E-2</c:v>
              </c:pt>
              <c:pt idx="391">
                <c:v>-0.6996</c:v>
              </c:pt>
              <c:pt idx="392">
                <c:v>0.94599999999999995</c:v>
              </c:pt>
              <c:pt idx="393">
                <c:v>0.1222</c:v>
              </c:pt>
              <c:pt idx="394">
                <c:v>0.3301</c:v>
              </c:pt>
              <c:pt idx="395">
                <c:v>1.5411000000000001</c:v>
              </c:pt>
              <c:pt idx="396">
                <c:v>9.6799999999999997E-2</c:v>
              </c:pt>
              <c:pt idx="397">
                <c:v>-6.7799999999999999E-2</c:v>
              </c:pt>
              <c:pt idx="398">
                <c:v>0.57289999999999996</c:v>
              </c:pt>
              <c:pt idx="399">
                <c:v>-0.157</c:v>
              </c:pt>
              <c:pt idx="400">
                <c:v>0.2974</c:v>
              </c:pt>
              <c:pt idx="401">
                <c:v>-0.30099999999999999</c:v>
              </c:pt>
              <c:pt idx="402">
                <c:v>-0.4864</c:v>
              </c:pt>
              <c:pt idx="403">
                <c:v>0.99979999999999991</c:v>
              </c:pt>
              <c:pt idx="404">
                <c:v>-0.1394</c:v>
              </c:pt>
              <c:pt idx="405">
                <c:v>0.1115</c:v>
              </c:pt>
              <c:pt idx="406">
                <c:v>-0.372</c:v>
              </c:pt>
              <c:pt idx="407">
                <c:v>-0.12759999999999999</c:v>
              </c:pt>
              <c:pt idx="408">
                <c:v>-1.4362999999999999</c:v>
              </c:pt>
              <c:pt idx="409">
                <c:v>0.39300000000000002</c:v>
              </c:pt>
              <c:pt idx="410">
                <c:v>-0.27</c:v>
              </c:pt>
              <c:pt idx="411">
                <c:v>0.34399999999999997</c:v>
              </c:pt>
              <c:pt idx="412">
                <c:v>0.71730000000000005</c:v>
              </c:pt>
              <c:pt idx="413">
                <c:v>8.0000000000000002E-3</c:v>
              </c:pt>
              <c:pt idx="414">
                <c:v>-1.1355</c:v>
              </c:pt>
              <c:pt idx="415">
                <c:v>-0.55720000000000003</c:v>
              </c:pt>
              <c:pt idx="416">
                <c:v>1.3283</c:v>
              </c:pt>
              <c:pt idx="417">
                <c:v>0.77280000000000004</c:v>
              </c:pt>
              <c:pt idx="418">
                <c:v>2.8899999999999999E-2</c:v>
              </c:pt>
              <c:pt idx="419">
                <c:v>1.1304000000000001</c:v>
              </c:pt>
              <c:pt idx="420">
                <c:v>0.1072</c:v>
              </c:pt>
              <c:pt idx="421">
                <c:v>2.0764999999999998</c:v>
              </c:pt>
              <c:pt idx="422">
                <c:v>0.30890000000000001</c:v>
              </c:pt>
              <c:pt idx="423">
                <c:v>-0.3639</c:v>
              </c:pt>
              <c:pt idx="424">
                <c:v>0.61119999999999997</c:v>
              </c:pt>
              <c:pt idx="425">
                <c:v>-0.70399999999999996</c:v>
              </c:pt>
              <c:pt idx="426">
                <c:v>0.3463</c:v>
              </c:pt>
              <c:pt idx="427">
                <c:v>0.1736</c:v>
              </c:pt>
              <c:pt idx="428">
                <c:v>-0.44380000000000003</c:v>
              </c:pt>
              <c:pt idx="429">
                <c:v>-0.84050000000000002</c:v>
              </c:pt>
              <c:pt idx="430">
                <c:v>0.18159999999999998</c:v>
              </c:pt>
              <c:pt idx="431">
                <c:v>0.40429999999999999</c:v>
              </c:pt>
              <c:pt idx="432">
                <c:v>-0.51549999999999996</c:v>
              </c:pt>
              <c:pt idx="433">
                <c:v>0.55510000000000004</c:v>
              </c:pt>
              <c:pt idx="434">
                <c:v>-0.4451</c:v>
              </c:pt>
              <c:pt idx="435">
                <c:v>-3.2800000000000003E-2</c:v>
              </c:pt>
              <c:pt idx="436">
                <c:v>0.1051</c:v>
              </c:pt>
              <c:pt idx="437">
                <c:v>-0.9798</c:v>
              </c:pt>
              <c:pt idx="438">
                <c:v>-0.317</c:v>
              </c:pt>
              <c:pt idx="439">
                <c:v>-1.8681999999999999</c:v>
              </c:pt>
              <c:pt idx="440">
                <c:v>-0.20019999999999999</c:v>
              </c:pt>
              <c:pt idx="441">
                <c:v>-0.2472</c:v>
              </c:pt>
              <c:pt idx="442">
                <c:v>0.69709999999999994</c:v>
              </c:pt>
              <c:pt idx="443">
                <c:v>-9.1600000000000001E-2</c:v>
              </c:pt>
              <c:pt idx="444">
                <c:v>1.0499999999999999E-2</c:v>
              </c:pt>
              <c:pt idx="445">
                <c:v>-0.76470000000000005</c:v>
              </c:pt>
              <c:pt idx="446">
                <c:v>-0.48630000000000001</c:v>
              </c:pt>
              <c:pt idx="447">
                <c:v>-0.48649999999999999</c:v>
              </c:pt>
              <c:pt idx="448">
                <c:v>-0.3115</c:v>
              </c:pt>
              <c:pt idx="449">
                <c:v>-0.72740000000000005</c:v>
              </c:pt>
              <c:pt idx="450">
                <c:v>-1.7815999999999999</c:v>
              </c:pt>
              <c:pt idx="451">
                <c:v>-0.59899999999999998</c:v>
              </c:pt>
              <c:pt idx="452">
                <c:v>1.2709000000000001</c:v>
              </c:pt>
              <c:pt idx="453">
                <c:v>-0.23350000000000001</c:v>
              </c:pt>
              <c:pt idx="454">
                <c:v>0.1865</c:v>
              </c:pt>
              <c:pt idx="455">
                <c:v>0.42549999999999999</c:v>
              </c:pt>
              <c:pt idx="456">
                <c:v>-0.35189999999999999</c:v>
              </c:pt>
              <c:pt idx="457">
                <c:v>0.7087</c:v>
              </c:pt>
              <c:pt idx="458">
                <c:v>0.69240000000000002</c:v>
              </c:pt>
              <c:pt idx="459">
                <c:v>-0.61619999999999997</c:v>
              </c:pt>
              <c:pt idx="460">
                <c:v>0.69310000000000005</c:v>
              </c:pt>
              <c:pt idx="461">
                <c:v>-0.3528</c:v>
              </c:pt>
              <c:pt idx="462">
                <c:v>-1.8316999999999999</c:v>
              </c:pt>
              <c:pt idx="463">
                <c:v>0.3286</c:v>
              </c:pt>
              <c:pt idx="464">
                <c:v>-0.22550000000000001</c:v>
              </c:pt>
              <c:pt idx="465">
                <c:v>-0.19589999999999999</c:v>
              </c:pt>
              <c:pt idx="466">
                <c:v>-1.7399999999999999E-2</c:v>
              </c:pt>
              <c:pt idx="467">
                <c:v>0.23139999999999999</c:v>
              </c:pt>
              <c:pt idx="468">
                <c:v>-0.80779999999999996</c:v>
              </c:pt>
              <c:pt idx="469">
                <c:v>0.24029999999999999</c:v>
              </c:pt>
              <c:pt idx="470">
                <c:v>3.0495000000000001</c:v>
              </c:pt>
              <c:pt idx="471">
                <c:v>1.1014000000000002</c:v>
              </c:pt>
              <c:pt idx="472">
                <c:v>0.30469999999999997</c:v>
              </c:pt>
              <c:pt idx="473">
                <c:v>6.0600000000000001E-2</c:v>
              </c:pt>
              <c:pt idx="474">
                <c:v>0.91569999999999996</c:v>
              </c:pt>
              <c:pt idx="475">
                <c:v>1.0129000000000001</c:v>
              </c:pt>
              <c:pt idx="476">
                <c:v>0.2571</c:v>
              </c:pt>
              <c:pt idx="477">
                <c:v>1.1099999999999999E-2</c:v>
              </c:pt>
              <c:pt idx="478">
                <c:v>0.62739999999999996</c:v>
              </c:pt>
              <c:pt idx="479">
                <c:v>-0.3407</c:v>
              </c:pt>
              <c:pt idx="480">
                <c:v>0.24590000000000001</c:v>
              </c:pt>
              <c:pt idx="481">
                <c:v>-0.43259999999999998</c:v>
              </c:pt>
              <c:pt idx="482">
                <c:v>5.1999999999999998E-2</c:v>
              </c:pt>
              <c:pt idx="483">
                <c:v>0.99680000000000002</c:v>
              </c:pt>
              <c:pt idx="484">
                <c:v>0.86319999999999997</c:v>
              </c:pt>
              <c:pt idx="485">
                <c:v>-0.75770000000000004</c:v>
              </c:pt>
              <c:pt idx="486">
                <c:v>-0.88349999999999995</c:v>
              </c:pt>
              <c:pt idx="487">
                <c:v>0.16009999999999999</c:v>
              </c:pt>
              <c:pt idx="488">
                <c:v>0.43730000000000002</c:v>
              </c:pt>
              <c:pt idx="489">
                <c:v>-1.0769</c:v>
              </c:pt>
              <c:pt idx="490">
                <c:v>-1.0024</c:v>
              </c:pt>
              <c:pt idx="491">
                <c:v>0.26540000000000002</c:v>
              </c:pt>
              <c:pt idx="492">
                <c:v>-6.4299999999999996E-2</c:v>
              </c:pt>
              <c:pt idx="493">
                <c:v>1.3291000000000002</c:v>
              </c:pt>
              <c:pt idx="494">
                <c:v>-3.4200000000000001E-2</c:v>
              </c:pt>
              <c:pt idx="495">
                <c:v>0.18309999999999998</c:v>
              </c:pt>
              <c:pt idx="496">
                <c:v>0.66279999999999994</c:v>
              </c:pt>
              <c:pt idx="497">
                <c:v>1.0271000000000001</c:v>
              </c:pt>
              <c:pt idx="498">
                <c:v>0.73499999999999999</c:v>
              </c:pt>
              <c:pt idx="499">
                <c:v>-0.39739999999999998</c:v>
              </c:pt>
              <c:pt idx="500">
                <c:v>-0.65720000000000001</c:v>
              </c:pt>
              <c:pt idx="501">
                <c:v>-0.435</c:v>
              </c:pt>
              <c:pt idx="502">
                <c:v>0.2167</c:v>
              </c:pt>
              <c:pt idx="503">
                <c:v>0.93589999999999995</c:v>
              </c:pt>
              <c:pt idx="504">
                <c:v>9.3100000000000002E-2</c:v>
              </c:pt>
              <c:pt idx="505">
                <c:v>5.8599999999999999E-2</c:v>
              </c:pt>
              <c:pt idx="506">
                <c:v>-0.75929999999999997</c:v>
              </c:pt>
              <c:pt idx="507">
                <c:v>-0.83830000000000005</c:v>
              </c:pt>
              <c:pt idx="508">
                <c:v>-1.0971</c:v>
              </c:pt>
              <c:pt idx="509">
                <c:v>1.5115000000000001</c:v>
              </c:pt>
              <c:pt idx="510">
                <c:v>-0.10590000000000001</c:v>
              </c:pt>
              <c:pt idx="511">
                <c:v>0.4385</c:v>
              </c:pt>
              <c:pt idx="512">
                <c:v>-0.19550000000000001</c:v>
              </c:pt>
              <c:pt idx="513">
                <c:v>-0.62719999999999998</c:v>
              </c:pt>
              <c:pt idx="514">
                <c:v>-0.30759999999999998</c:v>
              </c:pt>
              <c:pt idx="515">
                <c:v>0.54410000000000003</c:v>
              </c:pt>
              <c:pt idx="516">
                <c:v>1.1226</c:v>
              </c:pt>
              <c:pt idx="517">
                <c:v>0.39329999999999998</c:v>
              </c:pt>
              <c:pt idx="518">
                <c:v>0.21429999999999999</c:v>
              </c:pt>
              <c:pt idx="519">
                <c:v>7.2800000000000004E-2</c:v>
              </c:pt>
              <c:pt idx="520">
                <c:v>0.84860000000000002</c:v>
              </c:pt>
              <c:pt idx="521">
                <c:v>-0.4612</c:v>
              </c:pt>
              <c:pt idx="522">
                <c:v>0.24659999999999999</c:v>
              </c:pt>
              <c:pt idx="523">
                <c:v>0.46239999999999998</c:v>
              </c:pt>
              <c:pt idx="524">
                <c:v>0.2152</c:v>
              </c:pt>
              <c:pt idx="525">
                <c:v>0.85029999999999994</c:v>
              </c:pt>
              <c:pt idx="526">
                <c:v>-0.89929999999999999</c:v>
              </c:pt>
              <c:pt idx="527">
                <c:v>-0.1255</c:v>
              </c:pt>
              <c:pt idx="528">
                <c:v>0.48859999999999998</c:v>
              </c:pt>
              <c:pt idx="529">
                <c:v>-0.49509999999999998</c:v>
              </c:pt>
              <c:pt idx="530">
                <c:v>-0.8468</c:v>
              </c:pt>
              <c:pt idx="531">
                <c:v>0.2135</c:v>
              </c:pt>
              <c:pt idx="532">
                <c:v>0.83730000000000004</c:v>
              </c:pt>
              <c:pt idx="533">
                <c:v>-1.232</c:v>
              </c:pt>
              <c:pt idx="534">
                <c:v>0.82450000000000001</c:v>
              </c:pt>
              <c:pt idx="535">
                <c:v>0.2185</c:v>
              </c:pt>
              <c:pt idx="536">
                <c:v>0.12529999999999999</c:v>
              </c:pt>
              <c:pt idx="537">
                <c:v>0.68089999999999995</c:v>
              </c:pt>
              <c:pt idx="538">
                <c:v>0.2908</c:v>
              </c:pt>
              <c:pt idx="539">
                <c:v>-0.55200000000000005</c:v>
              </c:pt>
              <c:pt idx="540">
                <c:v>7.0000000000000001E-3</c:v>
              </c:pt>
              <c:pt idx="541">
                <c:v>-0.55169999999999997</c:v>
              </c:pt>
              <c:pt idx="542">
                <c:v>-0.30870000000000003</c:v>
              </c:pt>
              <c:pt idx="543">
                <c:v>-1.4789999999999999</c:v>
              </c:pt>
              <c:pt idx="544">
                <c:v>0.34370000000000001</c:v>
              </c:pt>
              <c:pt idx="545">
                <c:v>-0.52029999999999998</c:v>
              </c:pt>
              <c:pt idx="546">
                <c:v>0.1739</c:v>
              </c:pt>
              <c:pt idx="547">
                <c:v>-0.20319999999999999</c:v>
              </c:pt>
              <c:pt idx="548">
                <c:v>0.76239999999999997</c:v>
              </c:pt>
              <c:pt idx="549">
                <c:v>9.9999999999999829E-5</c:v>
              </c:pt>
              <c:pt idx="550">
                <c:v>0.47649999999999998</c:v>
              </c:pt>
              <c:pt idx="551">
                <c:v>-0.34870000000000001</c:v>
              </c:pt>
              <c:pt idx="552">
                <c:v>0.65239999999999998</c:v>
              </c:pt>
              <c:pt idx="553">
                <c:v>-0.24790000000000001</c:v>
              </c:pt>
              <c:pt idx="554">
                <c:v>0.17330000000000001</c:v>
              </c:pt>
              <c:pt idx="555">
                <c:v>0.3649</c:v>
              </c:pt>
              <c:pt idx="556">
                <c:v>-2.4186000000000001</c:v>
              </c:pt>
              <c:pt idx="557">
                <c:v>-0.31630000000000003</c:v>
              </c:pt>
              <c:pt idx="558">
                <c:v>0.31040000000000001</c:v>
              </c:pt>
              <c:pt idx="559">
                <c:v>1.3446</c:v>
              </c:pt>
              <c:pt idx="560">
                <c:v>-0.4667</c:v>
              </c:pt>
              <c:pt idx="561">
                <c:v>-0.74860000000000004</c:v>
              </c:pt>
              <c:pt idx="562">
                <c:v>0.47909999999999997</c:v>
              </c:pt>
              <c:pt idx="563">
                <c:v>9.98E-2</c:v>
              </c:pt>
              <c:pt idx="564">
                <c:v>-0.23020000000000002</c:v>
              </c:pt>
              <c:pt idx="565">
                <c:v>1.7710000000000001</c:v>
              </c:pt>
              <c:pt idx="566">
                <c:v>0.49480000000000002</c:v>
              </c:pt>
              <c:pt idx="567">
                <c:v>-0.35</c:v>
              </c:pt>
              <c:pt idx="568">
                <c:v>1.0109000000000001</c:v>
              </c:pt>
              <c:pt idx="569">
                <c:v>-2.7400000000000001E-2</c:v>
              </c:pt>
              <c:pt idx="570">
                <c:v>8.9999999999999976E-4</c:v>
              </c:pt>
              <c:pt idx="571">
                <c:v>9.2699999999999991E-2</c:v>
              </c:pt>
              <c:pt idx="572">
                <c:v>0.78990000000000005</c:v>
              </c:pt>
              <c:pt idx="573">
                <c:v>0.42670000000000002</c:v>
              </c:pt>
              <c:pt idx="574">
                <c:v>7.7199999999999991E-2</c:v>
              </c:pt>
              <c:pt idx="575">
                <c:v>0.4143</c:v>
              </c:pt>
              <c:pt idx="576">
                <c:v>-7.640000000000001E-2</c:v>
              </c:pt>
              <c:pt idx="577">
                <c:v>1.2633000000000001</c:v>
              </c:pt>
              <c:pt idx="578">
                <c:v>0.22409999999999999</c:v>
              </c:pt>
              <c:pt idx="579">
                <c:v>-7.1000000000000008E-2</c:v>
              </c:pt>
              <c:pt idx="580">
                <c:v>-0.38950000000000001</c:v>
              </c:pt>
              <c:pt idx="581">
                <c:v>3.9399999999999998E-2</c:v>
              </c:pt>
              <c:pt idx="582">
                <c:v>0.80289999999999995</c:v>
              </c:pt>
              <c:pt idx="583">
                <c:v>0.85240000000000005</c:v>
              </c:pt>
              <c:pt idx="584">
                <c:v>-0.26390000000000002</c:v>
              </c:pt>
              <c:pt idx="585">
                <c:v>0.1028</c:v>
              </c:pt>
              <c:pt idx="586">
                <c:v>6.8599999999999994E-2</c:v>
              </c:pt>
              <c:pt idx="587">
                <c:v>0.1852</c:v>
              </c:pt>
              <c:pt idx="588">
                <c:v>-1.9386999999999999</c:v>
              </c:pt>
              <c:pt idx="589">
                <c:v>-0.34410000000000002</c:v>
              </c:pt>
              <c:pt idx="590">
                <c:v>0.84989999999999999</c:v>
              </c:pt>
              <c:pt idx="591">
                <c:v>-0.20910000000000001</c:v>
              </c:pt>
              <c:pt idx="592">
                <c:v>0.89880000000000004</c:v>
              </c:pt>
              <c:pt idx="593">
                <c:v>-1.1441999999999999</c:v>
              </c:pt>
              <c:pt idx="594">
                <c:v>0.13650000000000001</c:v>
              </c:pt>
              <c:pt idx="595">
                <c:v>-0.65659999999999996</c:v>
              </c:pt>
              <c:pt idx="596">
                <c:v>-0.1226</c:v>
              </c:pt>
              <c:pt idx="597">
                <c:v>-0.1167</c:v>
              </c:pt>
              <c:pt idx="598">
                <c:v>-1.0568</c:v>
              </c:pt>
              <c:pt idx="599">
                <c:v>-1.4599999999999998E-2</c:v>
              </c:pt>
              <c:pt idx="600">
                <c:v>0.80100000000000005</c:v>
              </c:pt>
              <c:pt idx="601">
                <c:v>-0.54859999999999998</c:v>
              </c:pt>
              <c:pt idx="602">
                <c:v>-2.0505</c:v>
              </c:pt>
              <c:pt idx="603">
                <c:v>-0.1782</c:v>
              </c:pt>
              <c:pt idx="604">
                <c:v>0.68940000000000001</c:v>
              </c:pt>
              <c:pt idx="605">
                <c:v>0.22359999999999999</c:v>
              </c:pt>
              <c:pt idx="606">
                <c:v>-4.8300000000000003E-2</c:v>
              </c:pt>
              <c:pt idx="607">
                <c:v>-1.367</c:v>
              </c:pt>
              <c:pt idx="608">
                <c:v>-1.3489</c:v>
              </c:pt>
              <c:pt idx="609">
                <c:v>-0.45669999999999999</c:v>
              </c:pt>
              <c:pt idx="610">
                <c:v>-1.2324999999999999</c:v>
              </c:pt>
              <c:pt idx="611">
                <c:v>1.5710000000000002</c:v>
              </c:pt>
              <c:pt idx="612">
                <c:v>1.262</c:v>
              </c:pt>
              <c:pt idx="613">
                <c:v>2.2334999999999998</c:v>
              </c:pt>
              <c:pt idx="614">
                <c:v>-0.3286</c:v>
              </c:pt>
              <c:pt idx="615">
                <c:v>-0.25390000000000001</c:v>
              </c:pt>
              <c:pt idx="616">
                <c:v>-1.3145</c:v>
              </c:pt>
              <c:pt idx="617">
                <c:v>-0.22700000000000001</c:v>
              </c:pt>
              <c:pt idx="618">
                <c:v>1.3572000000000002</c:v>
              </c:pt>
              <c:pt idx="619">
                <c:v>-1.4566999999999999</c:v>
              </c:pt>
              <c:pt idx="620">
                <c:v>1.0670000000000002</c:v>
              </c:pt>
              <c:pt idx="621">
                <c:v>0.50390000000000001</c:v>
              </c:pt>
              <c:pt idx="622">
                <c:v>2.0703999999999998</c:v>
              </c:pt>
              <c:pt idx="623">
                <c:v>0.49640000000000001</c:v>
              </c:pt>
              <c:pt idx="624">
                <c:v>0.41199999999999998</c:v>
              </c:pt>
              <c:pt idx="625">
                <c:v>6.2799999999999995E-2</c:v>
              </c:pt>
              <c:pt idx="626">
                <c:v>-1.7000000000000001E-2</c:v>
              </c:pt>
              <c:pt idx="627">
                <c:v>-0.78180000000000005</c:v>
              </c:pt>
              <c:pt idx="628">
                <c:v>-1.6374</c:v>
              </c:pt>
              <c:pt idx="629">
                <c:v>0.53410000000000002</c:v>
              </c:pt>
              <c:pt idx="630">
                <c:v>1.3352000000000002</c:v>
              </c:pt>
              <c:pt idx="631">
                <c:v>-0.22800000000000001</c:v>
              </c:pt>
              <c:pt idx="632">
                <c:v>-0.4017</c:v>
              </c:pt>
              <c:pt idx="633">
                <c:v>-0.17680000000000001</c:v>
              </c:pt>
              <c:pt idx="634">
                <c:v>-0.80259999999999998</c:v>
              </c:pt>
              <c:pt idx="635">
                <c:v>0.97</c:v>
              </c:pt>
              <c:pt idx="636">
                <c:v>-0.6865</c:v>
              </c:pt>
              <c:pt idx="637">
                <c:v>-0.64290000000000003</c:v>
              </c:pt>
              <c:pt idx="638">
                <c:v>0.53749999999999998</c:v>
              </c:pt>
              <c:pt idx="639">
                <c:v>0.4743</c:v>
              </c:pt>
              <c:pt idx="640">
                <c:v>-1.2357999999999998</c:v>
              </c:pt>
              <c:pt idx="641">
                <c:v>-1.4768999999999999</c:v>
              </c:pt>
              <c:pt idx="642">
                <c:v>-0.17510000000000001</c:v>
              </c:pt>
              <c:pt idx="643">
                <c:v>-0.65680000000000005</c:v>
              </c:pt>
              <c:pt idx="644">
                <c:v>0.59650000000000003</c:v>
              </c:pt>
              <c:pt idx="645">
                <c:v>1.0403</c:v>
              </c:pt>
              <c:pt idx="646">
                <c:v>-0.4415</c:v>
              </c:pt>
              <c:pt idx="647">
                <c:v>-0.81200000000000006</c:v>
              </c:pt>
              <c:pt idx="648">
                <c:v>0.47439999999999999</c:v>
              </c:pt>
              <c:pt idx="649">
                <c:v>-0.31630000000000003</c:v>
              </c:pt>
              <c:pt idx="650">
                <c:v>-0.86180000000000001</c:v>
              </c:pt>
              <c:pt idx="651">
                <c:v>-0.23650000000000002</c:v>
              </c:pt>
              <c:pt idx="652">
                <c:v>0.74829999999999997</c:v>
              </c:pt>
              <c:pt idx="653">
                <c:v>0.2717</c:v>
              </c:pt>
              <c:pt idx="654">
                <c:v>-0.94640000000000002</c:v>
              </c:pt>
              <c:pt idx="655">
                <c:v>4.4299999999999999E-2</c:v>
              </c:pt>
              <c:pt idx="656">
                <c:v>1.1801000000000001</c:v>
              </c:pt>
              <c:pt idx="657">
                <c:v>1.3048000000000002</c:v>
              </c:pt>
              <c:pt idx="658">
                <c:v>0.20829999999999999</c:v>
              </c:pt>
              <c:pt idx="659">
                <c:v>0.61099999999999999</c:v>
              </c:pt>
              <c:pt idx="660">
                <c:v>-6.4000000000000001E-2</c:v>
              </c:pt>
              <c:pt idx="661">
                <c:v>1.0511000000000001</c:v>
              </c:pt>
              <c:pt idx="662">
                <c:v>-6.3E-2</c:v>
              </c:pt>
              <c:pt idx="663">
                <c:v>0.33829999999999999</c:v>
              </c:pt>
              <c:pt idx="664">
                <c:v>0.20019999999999999</c:v>
              </c:pt>
              <c:pt idx="665">
                <c:v>-2.9999999999999992E-4</c:v>
              </c:pt>
              <c:pt idx="666">
                <c:v>0.19619999999999999</c:v>
              </c:pt>
              <c:pt idx="667">
                <c:v>-0.70030000000000003</c:v>
              </c:pt>
              <c:pt idx="668">
                <c:v>-0.31840000000000002</c:v>
              </c:pt>
              <c:pt idx="669">
                <c:v>1.3735000000000002</c:v>
              </c:pt>
              <c:pt idx="670">
                <c:v>-7.0400000000000004E-2</c:v>
              </c:pt>
              <c:pt idx="671">
                <c:v>-0.49630000000000002</c:v>
              </c:pt>
              <c:pt idx="672">
                <c:v>1.0108000000000001</c:v>
              </c:pt>
              <c:pt idx="673">
                <c:v>7.2800000000000004E-2</c:v>
              </c:pt>
              <c:pt idx="674">
                <c:v>-0.18660000000000002</c:v>
              </c:pt>
              <c:pt idx="675">
                <c:v>-1.208</c:v>
              </c:pt>
              <c:pt idx="676">
                <c:v>0.5575</c:v>
              </c:pt>
              <c:pt idx="677">
                <c:v>-0.6956</c:v>
              </c:pt>
              <c:pt idx="678">
                <c:v>0.15770000000000001</c:v>
              </c:pt>
              <c:pt idx="679">
                <c:v>0.35670000000000002</c:v>
              </c:pt>
              <c:pt idx="680">
                <c:v>1.7164000000000001</c:v>
              </c:pt>
              <c:pt idx="681">
                <c:v>6.3100000000000003E-2</c:v>
              </c:pt>
              <c:pt idx="682">
                <c:v>-0.373</c:v>
              </c:pt>
              <c:pt idx="683">
                <c:v>0.49960000000000004</c:v>
              </c:pt>
              <c:pt idx="684">
                <c:v>-0.37280000000000002</c:v>
              </c:pt>
              <c:pt idx="685">
                <c:v>5.2599999999999994E-2</c:v>
              </c:pt>
              <c:pt idx="686">
                <c:v>-0.9103</c:v>
              </c:pt>
              <c:pt idx="687">
                <c:v>1.1257000000000001</c:v>
              </c:pt>
              <c:pt idx="688">
                <c:v>-0.43049999999999999</c:v>
              </c:pt>
              <c:pt idx="689">
                <c:v>0.50580000000000003</c:v>
              </c:pt>
              <c:pt idx="690">
                <c:v>0.78800000000000003</c:v>
              </c:pt>
              <c:pt idx="691">
                <c:v>-0.26240000000000002</c:v>
              </c:pt>
              <c:pt idx="692">
                <c:v>-1.55E-2</c:v>
              </c:pt>
              <c:pt idx="693">
                <c:v>-0.29620000000000002</c:v>
              </c:pt>
              <c:pt idx="694">
                <c:v>0.23619999999999999</c:v>
              </c:pt>
              <c:pt idx="695">
                <c:v>-0.80369999999999997</c:v>
              </c:pt>
              <c:pt idx="696">
                <c:v>0.72770000000000001</c:v>
              </c:pt>
              <c:pt idx="697">
                <c:v>0.15329999999999999</c:v>
              </c:pt>
              <c:pt idx="698">
                <c:v>0.51910000000000001</c:v>
              </c:pt>
              <c:pt idx="699">
                <c:v>-0.1804</c:v>
              </c:pt>
              <c:pt idx="700">
                <c:v>-0.73799999999999999</c:v>
              </c:pt>
              <c:pt idx="701">
                <c:v>-0.40960000000000002</c:v>
              </c:pt>
              <c:pt idx="702">
                <c:v>-1.1095999999999999</c:v>
              </c:pt>
              <c:pt idx="703">
                <c:v>0.23599999999999999</c:v>
              </c:pt>
              <c:pt idx="704">
                <c:v>1.8000000000000002E-2</c:v>
              </c:pt>
              <c:pt idx="705">
                <c:v>-0.65849999999999997</c:v>
              </c:pt>
              <c:pt idx="706">
                <c:v>-0.57610000000000006</c:v>
              </c:pt>
              <c:pt idx="707">
                <c:v>0.15209999999999999</c:v>
              </c:pt>
              <c:pt idx="708">
                <c:v>-1.1195999999999999</c:v>
              </c:pt>
              <c:pt idx="709">
                <c:v>0.3745</c:v>
              </c:pt>
              <c:pt idx="710">
                <c:v>0.51449999999999996</c:v>
              </c:pt>
              <c:pt idx="711">
                <c:v>0.17219999999999999</c:v>
              </c:pt>
              <c:pt idx="712">
                <c:v>0.83279999999999998</c:v>
              </c:pt>
              <c:pt idx="713">
                <c:v>-0.68020000000000003</c:v>
              </c:pt>
              <c:pt idx="714">
                <c:v>-1.2911999999999999</c:v>
              </c:pt>
              <c:pt idx="715">
                <c:v>0.2107</c:v>
              </c:pt>
              <c:pt idx="716">
                <c:v>0.86460000000000004</c:v>
              </c:pt>
              <c:pt idx="717">
                <c:v>0.73329999999999995</c:v>
              </c:pt>
              <c:pt idx="718">
                <c:v>0.5756</c:v>
              </c:pt>
              <c:pt idx="719">
                <c:v>0.79600000000000004</c:v>
              </c:pt>
              <c:pt idx="720">
                <c:v>0.52649999999999997</c:v>
              </c:pt>
              <c:pt idx="721">
                <c:v>8.9499999999999996E-2</c:v>
              </c:pt>
              <c:pt idx="722">
                <c:v>-0.26550000000000001</c:v>
              </c:pt>
              <c:pt idx="723">
                <c:v>0.29980000000000001</c:v>
              </c:pt>
              <c:pt idx="724">
                <c:v>-0.50870000000000004</c:v>
              </c:pt>
              <c:pt idx="725">
                <c:v>-9.64E-2</c:v>
              </c:pt>
              <c:pt idx="726">
                <c:v>0.91179999999999994</c:v>
              </c:pt>
              <c:pt idx="727">
                <c:v>-1.7600000000000001E-2</c:v>
              </c:pt>
              <c:pt idx="728">
                <c:v>-0.11700000000000001</c:v>
              </c:pt>
              <c:pt idx="729">
                <c:v>-0.86560000000000004</c:v>
              </c:pt>
              <c:pt idx="730">
                <c:v>0.1835</c:v>
              </c:pt>
              <c:pt idx="731">
                <c:v>-0.75870000000000004</c:v>
              </c:pt>
              <c:pt idx="732">
                <c:v>0.4657</c:v>
              </c:pt>
              <c:pt idx="733">
                <c:v>-4.9600000000000005E-2</c:v>
              </c:pt>
              <c:pt idx="734">
                <c:v>0.69359999999999999</c:v>
              </c:pt>
              <c:pt idx="735">
                <c:v>1.04E-2</c:v>
              </c:pt>
              <c:pt idx="736">
                <c:v>0.56540000000000001</c:v>
              </c:pt>
              <c:pt idx="737">
                <c:v>-7.3599999999999999E-2</c:v>
              </c:pt>
              <c:pt idx="738">
                <c:v>0.20119999999999999</c:v>
              </c:pt>
              <c:pt idx="739">
                <c:v>0.2109</c:v>
              </c:pt>
              <c:pt idx="740">
                <c:v>0.57450000000000001</c:v>
              </c:pt>
              <c:pt idx="741">
                <c:v>1.0273000000000001</c:v>
              </c:pt>
              <c:pt idx="742">
                <c:v>-0.14130000000000001</c:v>
              </c:pt>
              <c:pt idx="743">
                <c:v>9.0000000000000011E-3</c:v>
              </c:pt>
              <c:pt idx="744">
                <c:v>-0.77229999999999999</c:v>
              </c:pt>
              <c:pt idx="745">
                <c:v>-0.54890000000000005</c:v>
              </c:pt>
              <c:pt idx="746">
                <c:v>0.14149999999999999</c:v>
              </c:pt>
              <c:pt idx="747">
                <c:v>0.50919999999999999</c:v>
              </c:pt>
              <c:pt idx="748">
                <c:v>-0.48720000000000002</c:v>
              </c:pt>
              <c:pt idx="749">
                <c:v>0.1691</c:v>
              </c:pt>
              <c:pt idx="750">
                <c:v>0.42809999999999998</c:v>
              </c:pt>
              <c:pt idx="751">
                <c:v>-0.21410000000000001</c:v>
              </c:pt>
              <c:pt idx="752">
                <c:v>0.63149999999999995</c:v>
              </c:pt>
              <c:pt idx="753">
                <c:v>0.1081</c:v>
              </c:pt>
              <c:pt idx="754">
                <c:v>-0.19020000000000001</c:v>
              </c:pt>
              <c:pt idx="755">
                <c:v>0.29389999999999999</c:v>
              </c:pt>
              <c:pt idx="756">
                <c:v>-0.2545</c:v>
              </c:pt>
              <c:pt idx="757">
                <c:v>0.29189999999999999</c:v>
              </c:pt>
              <c:pt idx="758">
                <c:v>-0.35370000000000001</c:v>
              </c:pt>
              <c:pt idx="759">
                <c:v>3.4299999999999997E-2</c:v>
              </c:pt>
              <c:pt idx="760">
                <c:v>-1.5942999999999998</c:v>
              </c:pt>
              <c:pt idx="761">
                <c:v>-2.3715999999999999</c:v>
              </c:pt>
              <c:pt idx="762">
                <c:v>0.55840000000000001</c:v>
              </c:pt>
              <c:pt idx="763">
                <c:v>0.9113</c:v>
              </c:pt>
              <c:pt idx="764">
                <c:v>5.1799999999999999E-2</c:v>
              </c:pt>
              <c:pt idx="765">
                <c:v>0.45600000000000002</c:v>
              </c:pt>
              <c:pt idx="766">
                <c:v>0.94510000000000005</c:v>
              </c:pt>
              <c:pt idx="767">
                <c:v>-0.51149999999999995</c:v>
              </c:pt>
              <c:pt idx="768">
                <c:v>0.53849999999999998</c:v>
              </c:pt>
              <c:pt idx="769">
                <c:v>6.59E-2</c:v>
              </c:pt>
              <c:pt idx="770">
                <c:v>0.42659999999999998</c:v>
              </c:pt>
              <c:pt idx="771">
                <c:v>0.23960000000000001</c:v>
              </c:pt>
              <c:pt idx="772">
                <c:v>-0.61570000000000003</c:v>
              </c:pt>
              <c:pt idx="773">
                <c:v>0.89900000000000002</c:v>
              </c:pt>
              <c:pt idx="774">
                <c:v>-0.48370000000000002</c:v>
              </c:pt>
              <c:pt idx="775">
                <c:v>0.17219999999999999</c:v>
              </c:pt>
              <c:pt idx="776">
                <c:v>0.29089999999999999</c:v>
              </c:pt>
              <c:pt idx="777">
                <c:v>0.44619999999999999</c:v>
              </c:pt>
              <c:pt idx="778">
                <c:v>-0.43919999999999998</c:v>
              </c:pt>
              <c:pt idx="779">
                <c:v>-0.55600000000000005</c:v>
              </c:pt>
              <c:pt idx="780">
                <c:v>0.90920000000000001</c:v>
              </c:pt>
              <c:pt idx="781">
                <c:v>0.92930000000000001</c:v>
              </c:pt>
              <c:pt idx="782">
                <c:v>-1E-3</c:v>
              </c:pt>
              <c:pt idx="783">
                <c:v>-0.56369999999999998</c:v>
              </c:pt>
              <c:pt idx="784">
                <c:v>0.42409999999999998</c:v>
              </c:pt>
              <c:pt idx="785">
                <c:v>-0.2054</c:v>
              </c:pt>
              <c:pt idx="786">
                <c:v>0.72050000000000003</c:v>
              </c:pt>
              <c:pt idx="787">
                <c:v>-0.69310000000000005</c:v>
              </c:pt>
              <c:pt idx="788">
                <c:v>0.1404</c:v>
              </c:pt>
              <c:pt idx="789">
                <c:v>0.36230000000000001</c:v>
              </c:pt>
              <c:pt idx="790">
                <c:v>-0.49070000000000003</c:v>
              </c:pt>
              <c:pt idx="791">
                <c:v>-1.0689</c:v>
              </c:pt>
              <c:pt idx="792">
                <c:v>-0.23780000000000001</c:v>
              </c:pt>
              <c:pt idx="793">
                <c:v>0.32540000000000002</c:v>
              </c:pt>
              <c:pt idx="794">
                <c:v>0.96750000000000003</c:v>
              </c:pt>
              <c:pt idx="795">
                <c:v>0.54749999999999999</c:v>
              </c:pt>
              <c:pt idx="796">
                <c:v>0.48</c:v>
              </c:pt>
              <c:pt idx="797">
                <c:v>-5.9200000000000003E-2</c:v>
              </c:pt>
              <c:pt idx="798">
                <c:v>0.84399999999999997</c:v>
              </c:pt>
              <c:pt idx="799">
                <c:v>0.26639999999999997</c:v>
              </c:pt>
              <c:pt idx="800">
                <c:v>0.3604</c:v>
              </c:pt>
              <c:pt idx="801">
                <c:v>-0.19309999999999999</c:v>
              </c:pt>
              <c:pt idx="802">
                <c:v>-0.13919999999999999</c:v>
              </c:pt>
              <c:pt idx="803">
                <c:v>0.13</c:v>
              </c:pt>
              <c:pt idx="804">
                <c:v>0.47199999999999998</c:v>
              </c:pt>
              <c:pt idx="805">
                <c:v>0.19309999999999999</c:v>
              </c:pt>
              <c:pt idx="806">
                <c:v>-0.4516</c:v>
              </c:pt>
              <c:pt idx="807">
                <c:v>-0.57299999999999995</c:v>
              </c:pt>
              <c:pt idx="808">
                <c:v>0.66420000000000001</c:v>
              </c:pt>
              <c:pt idx="809">
                <c:v>7.669999999999999E-2</c:v>
              </c:pt>
              <c:pt idx="810">
                <c:v>0.22470000000000001</c:v>
              </c:pt>
              <c:pt idx="811">
                <c:v>0.24819999999999998</c:v>
              </c:pt>
              <c:pt idx="812">
                <c:v>-0.1757</c:v>
              </c:pt>
              <c:pt idx="813">
                <c:v>0.25940000000000002</c:v>
              </c:pt>
              <c:pt idx="814">
                <c:v>-0.2014</c:v>
              </c:pt>
              <c:pt idx="815">
                <c:v>-0.13109999999999999</c:v>
              </c:pt>
              <c:pt idx="816">
                <c:v>-1.9368999999999998</c:v>
              </c:pt>
              <c:pt idx="817">
                <c:v>0.40179999999999999</c:v>
              </c:pt>
              <c:pt idx="818">
                <c:v>0.70279999999999998</c:v>
              </c:pt>
              <c:pt idx="819">
                <c:v>-0.91639999999999999</c:v>
              </c:pt>
              <c:pt idx="820">
                <c:v>0.85640000000000005</c:v>
              </c:pt>
              <c:pt idx="821">
                <c:v>3.2099999999999997E-2</c:v>
              </c:pt>
              <c:pt idx="822">
                <c:v>0.46889999999999998</c:v>
              </c:pt>
              <c:pt idx="823">
                <c:v>-0.21829999999999999</c:v>
              </c:pt>
              <c:pt idx="824">
                <c:v>0.41980000000000001</c:v>
              </c:pt>
              <c:pt idx="825">
                <c:v>-0.46550000000000002</c:v>
              </c:pt>
              <c:pt idx="826">
                <c:v>-0.91930000000000001</c:v>
              </c:pt>
              <c:pt idx="827">
                <c:v>0.10289999999999999</c:v>
              </c:pt>
              <c:pt idx="828">
                <c:v>0.64380000000000004</c:v>
              </c:pt>
              <c:pt idx="829">
                <c:v>5.8799999999999998E-2</c:v>
              </c:pt>
              <c:pt idx="830">
                <c:v>8.48E-2</c:v>
              </c:pt>
              <c:pt idx="831">
                <c:v>0.12570000000000001</c:v>
              </c:pt>
              <c:pt idx="832">
                <c:v>-0.13919999999999999</c:v>
              </c:pt>
              <c:pt idx="833">
                <c:v>-0.28889999999999999</c:v>
              </c:pt>
              <c:pt idx="834">
                <c:v>1.1995</c:v>
              </c:pt>
              <c:pt idx="835">
                <c:v>0.42630000000000001</c:v>
              </c:pt>
              <c:pt idx="836">
                <c:v>0.30619999999999997</c:v>
              </c:pt>
              <c:pt idx="837">
                <c:v>0.2089</c:v>
              </c:pt>
              <c:pt idx="838">
                <c:v>0.7278</c:v>
              </c:pt>
              <c:pt idx="839">
                <c:v>-0.1424</c:v>
              </c:pt>
              <c:pt idx="840">
                <c:v>-0.3669</c:v>
              </c:pt>
              <c:pt idx="841">
                <c:v>0.51949999999999996</c:v>
              </c:pt>
              <c:pt idx="842">
                <c:v>-4.1399999999999999E-2</c:v>
              </c:pt>
              <c:pt idx="843">
                <c:v>0.22439999999999999</c:v>
              </c:pt>
              <c:pt idx="844">
                <c:v>-7.1500000000000008E-2</c:v>
              </c:pt>
              <c:pt idx="845">
                <c:v>0.30609999999999998</c:v>
              </c:pt>
              <c:pt idx="846">
                <c:v>0.64570000000000005</c:v>
              </c:pt>
              <c:pt idx="847">
                <c:v>7.7499999999999999E-2</c:v>
              </c:pt>
              <c:pt idx="848">
                <c:v>-0.27589999999999998</c:v>
              </c:pt>
              <c:pt idx="849">
                <c:v>-9.2800000000000007E-2</c:v>
              </c:pt>
              <c:pt idx="850">
                <c:v>6.8099999999999994E-2</c:v>
              </c:pt>
              <c:pt idx="851">
                <c:v>0.40549999999999997</c:v>
              </c:pt>
              <c:pt idx="852">
                <c:v>0.42170000000000002</c:v>
              </c:pt>
              <c:pt idx="853">
                <c:v>0.39360000000000001</c:v>
              </c:pt>
              <c:pt idx="854">
                <c:v>-0.46579999999999999</c:v>
              </c:pt>
              <c:pt idx="855">
                <c:v>-0.49420000000000003</c:v>
              </c:pt>
              <c:pt idx="856">
                <c:v>0.19020000000000001</c:v>
              </c:pt>
              <c:pt idx="857">
                <c:v>-4.6700000000000005E-2</c:v>
              </c:pt>
              <c:pt idx="858">
                <c:v>0.8458</c:v>
              </c:pt>
              <c:pt idx="859">
                <c:v>-0.1545</c:v>
              </c:pt>
              <c:pt idx="860">
                <c:v>0.9194</c:v>
              </c:pt>
              <c:pt idx="861">
                <c:v>0.51570000000000005</c:v>
              </c:pt>
              <c:pt idx="862">
                <c:v>0.45179999999999998</c:v>
              </c:pt>
              <c:pt idx="863">
                <c:v>0.43119999999999997</c:v>
              </c:pt>
              <c:pt idx="864">
                <c:v>-0.17300000000000001</c:v>
              </c:pt>
              <c:pt idx="865">
                <c:v>0.1037</c:v>
              </c:pt>
              <c:pt idx="866">
                <c:v>0.11019999999999999</c:v>
              </c:pt>
              <c:pt idx="867">
                <c:v>-0.43409999999999999</c:v>
              </c:pt>
              <c:pt idx="868">
                <c:v>0.78569999999999995</c:v>
              </c:pt>
              <c:pt idx="869">
                <c:v>-0.72989999999999999</c:v>
              </c:pt>
              <c:pt idx="870">
                <c:v>0.25429999999999997</c:v>
              </c:pt>
              <c:pt idx="871">
                <c:v>0.50900000000000001</c:v>
              </c:pt>
              <c:pt idx="872">
                <c:v>-0.88929999999999998</c:v>
              </c:pt>
              <c:pt idx="873">
                <c:v>-0.81269999999999998</c:v>
              </c:pt>
              <c:pt idx="874">
                <c:v>-8.0299999999999996E-2</c:v>
              </c:pt>
              <c:pt idx="875">
                <c:v>0.42159999999999997</c:v>
              </c:pt>
              <c:pt idx="876">
                <c:v>0.61360000000000003</c:v>
              </c:pt>
              <c:pt idx="877">
                <c:v>0.29320000000000002</c:v>
              </c:pt>
              <c:pt idx="878">
                <c:v>-0.93359999999999999</c:v>
              </c:pt>
              <c:pt idx="879">
                <c:v>-0.20569999999999999</c:v>
              </c:pt>
              <c:pt idx="880">
                <c:v>-0.3039</c:v>
              </c:pt>
              <c:pt idx="881">
                <c:v>0.58240000000000003</c:v>
              </c:pt>
              <c:pt idx="882">
                <c:v>-1.4012</c:v>
              </c:pt>
              <c:pt idx="883">
                <c:v>-0.53400000000000003</c:v>
              </c:pt>
              <c:pt idx="884">
                <c:v>0.68189999999999995</c:v>
              </c:pt>
              <c:pt idx="885">
                <c:v>-2.0467</c:v>
              </c:pt>
              <c:pt idx="886">
                <c:v>2.47E-2</c:v>
              </c:pt>
              <c:pt idx="887">
                <c:v>-0.1401</c:v>
              </c:pt>
              <c:pt idx="888">
                <c:v>-0.50229999999999997</c:v>
              </c:pt>
              <c:pt idx="889">
                <c:v>0.94940000000000002</c:v>
              </c:pt>
              <c:pt idx="890">
                <c:v>-0.10980000000000001</c:v>
              </c:pt>
              <c:pt idx="891">
                <c:v>0.73839999999999995</c:v>
              </c:pt>
              <c:pt idx="892">
                <c:v>-1.06E-2</c:v>
              </c:pt>
              <c:pt idx="893">
                <c:v>-0.26119999999999999</c:v>
              </c:pt>
              <c:pt idx="894">
                <c:v>-0.71699999999999997</c:v>
              </c:pt>
              <c:pt idx="895">
                <c:v>1.1117000000000001</c:v>
              </c:pt>
              <c:pt idx="896">
                <c:v>0.4748</c:v>
              </c:pt>
              <c:pt idx="897">
                <c:v>-0.377</c:v>
              </c:pt>
              <c:pt idx="898">
                <c:v>1.3572000000000002</c:v>
              </c:pt>
              <c:pt idx="899">
                <c:v>0.1091</c:v>
              </c:pt>
              <c:pt idx="900">
                <c:v>3.2599999999999997E-2</c:v>
              </c:pt>
              <c:pt idx="901">
                <c:v>0.9677</c:v>
              </c:pt>
              <c:pt idx="902">
                <c:v>-7.9100000000000004E-2</c:v>
              </c:pt>
              <c:pt idx="903">
                <c:v>-0.44819999999999999</c:v>
              </c:pt>
              <c:pt idx="904">
                <c:v>0.8075</c:v>
              </c:pt>
              <c:pt idx="905">
                <c:v>-1.2016</c:v>
              </c:pt>
              <c:pt idx="906">
                <c:v>0.53420000000000001</c:v>
              </c:pt>
              <c:pt idx="907">
                <c:v>-0.2303</c:v>
              </c:pt>
              <c:pt idx="908">
                <c:v>-0.22539999999999999</c:v>
              </c:pt>
              <c:pt idx="909">
                <c:v>0.28179999999999999</c:v>
              </c:pt>
              <c:pt idx="910">
                <c:v>-0.82420000000000004</c:v>
              </c:pt>
              <c:pt idx="911">
                <c:v>-0.37409999999999999</c:v>
              </c:pt>
              <c:pt idx="912">
                <c:v>-1.0789</c:v>
              </c:pt>
              <c:pt idx="913">
                <c:v>-6.5000000000000002E-2</c:v>
              </c:pt>
              <c:pt idx="914">
                <c:v>-0.91910000000000003</c:v>
              </c:pt>
              <c:pt idx="915">
                <c:v>0.67100000000000004</c:v>
              </c:pt>
              <c:pt idx="916">
                <c:v>0.45119999999999999</c:v>
              </c:pt>
              <c:pt idx="917">
                <c:v>3.3999999999999996E-2</c:v>
              </c:pt>
              <c:pt idx="918">
                <c:v>-1.1545999999999998</c:v>
              </c:pt>
              <c:pt idx="919">
                <c:v>-0.54910000000000003</c:v>
              </c:pt>
              <c:pt idx="920">
                <c:v>0.14649999999999999</c:v>
              </c:pt>
              <c:pt idx="921">
                <c:v>-0.9627</c:v>
              </c:pt>
              <c:pt idx="922">
                <c:v>-0.24490000000000001</c:v>
              </c:pt>
              <c:pt idx="923">
                <c:v>-0.32679999999999998</c:v>
              </c:pt>
              <c:pt idx="924">
                <c:v>6.5699999999999995E-2</c:v>
              </c:pt>
              <c:pt idx="925">
                <c:v>0.25700000000000001</c:v>
              </c:pt>
              <c:pt idx="926">
                <c:v>-0.17080000000000001</c:v>
              </c:pt>
              <c:pt idx="927">
                <c:v>1.4470000000000001</c:v>
              </c:pt>
              <c:pt idx="928">
                <c:v>-0.12539999999999998</c:v>
              </c:pt>
              <c:pt idx="929">
                <c:v>-0.60209999999999997</c:v>
              </c:pt>
              <c:pt idx="930">
                <c:v>-0.95469999999999999</c:v>
              </c:pt>
              <c:pt idx="931">
                <c:v>0.1227</c:v>
              </c:pt>
              <c:pt idx="932">
                <c:v>-2.8887</c:v>
              </c:pt>
              <c:pt idx="933">
                <c:v>0.6492</c:v>
              </c:pt>
              <c:pt idx="934">
                <c:v>-1.2987</c:v>
              </c:pt>
              <c:pt idx="935">
                <c:v>-0.25540000000000002</c:v>
              </c:pt>
              <c:pt idx="936">
                <c:v>-1.4121999999999999</c:v>
              </c:pt>
              <c:pt idx="937">
                <c:v>1.7467000000000001</c:v>
              </c:pt>
              <c:pt idx="938">
                <c:v>-0.1012</c:v>
              </c:pt>
              <c:pt idx="939">
                <c:v>1.0794000000000001</c:v>
              </c:pt>
              <c:pt idx="940">
                <c:v>-0.20619999999999999</c:v>
              </c:pt>
              <c:pt idx="941">
                <c:v>-0.98199999999999998</c:v>
              </c:pt>
              <c:pt idx="942">
                <c:v>-0.21410000000000001</c:v>
              </c:pt>
              <c:pt idx="943">
                <c:v>1.6724000000000001</c:v>
              </c:pt>
              <c:pt idx="944">
                <c:v>1.4693000000000001</c:v>
              </c:pt>
              <c:pt idx="945">
                <c:v>-0.17849999999999999</c:v>
              </c:pt>
              <c:pt idx="946">
                <c:v>0.96760000000000002</c:v>
              </c:pt>
              <c:pt idx="947">
                <c:v>0.33179999999999998</c:v>
              </c:pt>
              <c:pt idx="948">
                <c:v>-0.17730000000000001</c:v>
              </c:pt>
              <c:pt idx="949">
                <c:v>-0.29909999999999998</c:v>
              </c:pt>
              <c:pt idx="950">
                <c:v>-0.80489999999999995</c:v>
              </c:pt>
              <c:pt idx="951">
                <c:v>0.23960000000000001</c:v>
              </c:pt>
              <c:pt idx="952">
                <c:v>1.5264000000000002</c:v>
              </c:pt>
              <c:pt idx="953">
                <c:v>-0.1782</c:v>
              </c:pt>
              <c:pt idx="954">
                <c:v>-1.2863</c:v>
              </c:pt>
              <c:pt idx="955">
                <c:v>0.68659999999999999</c:v>
              </c:pt>
              <c:pt idx="956">
                <c:v>2.1600000000000001E-2</c:v>
              </c:pt>
              <c:pt idx="957">
                <c:v>-1.1054999999999999</c:v>
              </c:pt>
              <c:pt idx="958">
                <c:v>-0.28839999999999999</c:v>
              </c:pt>
              <c:pt idx="959">
                <c:v>1.1660000000000001</c:v>
              </c:pt>
              <c:pt idx="960">
                <c:v>1.2788000000000002</c:v>
              </c:pt>
              <c:pt idx="961">
                <c:v>0.1363</c:v>
              </c:pt>
              <c:pt idx="962">
                <c:v>0.3352</c:v>
              </c:pt>
              <c:pt idx="963">
                <c:v>-6.9800000000000001E-2</c:v>
              </c:pt>
              <c:pt idx="964">
                <c:v>6.4399999999999999E-2</c:v>
              </c:pt>
              <c:pt idx="965">
                <c:v>0.46639999999999998</c:v>
              </c:pt>
              <c:pt idx="966">
                <c:v>0.23499999999999999</c:v>
              </c:pt>
              <c:pt idx="967">
                <c:v>-0.76170000000000004</c:v>
              </c:pt>
              <c:pt idx="968">
                <c:v>-0.91659999999999997</c:v>
              </c:pt>
              <c:pt idx="969">
                <c:v>1.5398000000000001</c:v>
              </c:pt>
              <c:pt idx="970">
                <c:v>0.53879999999999995</c:v>
              </c:pt>
              <c:pt idx="971">
                <c:v>-0.20419999999999999</c:v>
              </c:pt>
              <c:pt idx="972">
                <c:v>-0.21260000000000001</c:v>
              </c:pt>
              <c:pt idx="973">
                <c:v>-0.64059999999999995</c:v>
              </c:pt>
              <c:pt idx="974">
                <c:v>-1.0683999999999998</c:v>
              </c:pt>
              <c:pt idx="975">
                <c:v>-0.21460000000000001</c:v>
              </c:pt>
              <c:pt idx="976">
                <c:v>0.15509999999999999</c:v>
              </c:pt>
              <c:pt idx="977">
                <c:v>-0.46600000000000003</c:v>
              </c:pt>
              <c:pt idx="978">
                <c:v>-0.3901</c:v>
              </c:pt>
              <c:pt idx="979">
                <c:v>-1.3815999999999999</c:v>
              </c:pt>
              <c:pt idx="980">
                <c:v>0.56479999999999997</c:v>
              </c:pt>
              <c:pt idx="981">
                <c:v>1.3494000000000002</c:v>
              </c:pt>
              <c:pt idx="982">
                <c:v>1.0524</c:v>
              </c:pt>
              <c:pt idx="983">
                <c:v>2.6800000000000001E-2</c:v>
              </c:pt>
              <c:pt idx="984">
                <c:v>0.9647</c:v>
              </c:pt>
              <c:pt idx="985">
                <c:v>-0.30259999999999998</c:v>
              </c:pt>
              <c:pt idx="986">
                <c:v>0.59970000000000001</c:v>
              </c:pt>
              <c:pt idx="987">
                <c:v>4.5099999999999994E-2</c:v>
              </c:pt>
              <c:pt idx="988">
                <c:v>0.72960000000000003</c:v>
              </c:pt>
              <c:pt idx="989">
                <c:v>-0.19539999999999999</c:v>
              </c:pt>
              <c:pt idx="990">
                <c:v>0.41510000000000002</c:v>
              </c:pt>
              <c:pt idx="991">
                <c:v>-0.35980000000000001</c:v>
              </c:pt>
              <c:pt idx="992">
                <c:v>-2.4675000000000002</c:v>
              </c:pt>
              <c:pt idx="993">
                <c:v>0.3473</c:v>
              </c:pt>
              <c:pt idx="994">
                <c:v>1.7215</c:v>
              </c:pt>
              <c:pt idx="995">
                <c:v>-0.24629999999999999</c:v>
              </c:pt>
              <c:pt idx="996">
                <c:v>-0.40839999999999999</c:v>
              </c:pt>
              <c:pt idx="997">
                <c:v>0.57820000000000005</c:v>
              </c:pt>
              <c:pt idx="998">
                <c:v>-0.56320000000000003</c:v>
              </c:pt>
              <c:pt idx="999">
                <c:v>-0.1681</c:v>
              </c:pt>
              <c:pt idx="1000">
                <c:v>-0.29580000000000001</c:v>
              </c:pt>
              <c:pt idx="1001">
                <c:v>0.38769999999999999</c:v>
              </c:pt>
              <c:pt idx="1002">
                <c:v>0.83960000000000001</c:v>
              </c:pt>
              <c:pt idx="1003">
                <c:v>0.72950000000000004</c:v>
              </c:pt>
              <c:pt idx="1004">
                <c:v>0.52990000000000004</c:v>
              </c:pt>
              <c:pt idx="1005">
                <c:v>1.0737000000000001</c:v>
              </c:pt>
              <c:pt idx="1006">
                <c:v>6.7999999999999991E-2</c:v>
              </c:pt>
              <c:pt idx="1007">
                <c:v>0.45929999999999999</c:v>
              </c:pt>
              <c:pt idx="1008">
                <c:v>-0.11510000000000001</c:v>
              </c:pt>
              <c:pt idx="1009">
                <c:v>-0.89029999999999998</c:v>
              </c:pt>
              <c:pt idx="1010">
                <c:v>-0.69479999999999997</c:v>
              </c:pt>
              <c:pt idx="1011">
                <c:v>0.26450000000000001</c:v>
              </c:pt>
              <c:pt idx="1012">
                <c:v>0.65259999999999996</c:v>
              </c:pt>
              <c:pt idx="1013">
                <c:v>0.68459999999999999</c:v>
              </c:pt>
              <c:pt idx="1014">
                <c:v>-2.2699999999999998E-2</c:v>
              </c:pt>
              <c:pt idx="1015">
                <c:v>-0.59209999999999996</c:v>
              </c:pt>
              <c:pt idx="1016">
                <c:v>-0.37040000000000001</c:v>
              </c:pt>
              <c:pt idx="1017">
                <c:v>-0.29849999999999999</c:v>
              </c:pt>
              <c:pt idx="1018">
                <c:v>0.7238</c:v>
              </c:pt>
              <c:pt idx="1019">
                <c:v>0.35659999999999997</c:v>
              </c:pt>
              <c:pt idx="1020">
                <c:v>0.34599999999999997</c:v>
              </c:pt>
              <c:pt idx="1021">
                <c:v>1.0395000000000001</c:v>
              </c:pt>
              <c:pt idx="1022">
                <c:v>0.72309999999999997</c:v>
              </c:pt>
              <c:pt idx="1023">
                <c:v>-0.80459999999999998</c:v>
              </c:pt>
              <c:pt idx="1024">
                <c:v>-0.21879999999999999</c:v>
              </c:pt>
              <c:pt idx="1025">
                <c:v>4.2900000000000001E-2</c:v>
              </c:pt>
              <c:pt idx="1026">
                <c:v>0.16300000000000001</c:v>
              </c:pt>
              <c:pt idx="1027">
                <c:v>-0.28029999999999999</c:v>
              </c:pt>
              <c:pt idx="1028">
                <c:v>0.52380000000000004</c:v>
              </c:pt>
              <c:pt idx="1029">
                <c:v>-0.86499999999999999</c:v>
              </c:pt>
              <c:pt idx="1030">
                <c:v>-0.28000000000000003</c:v>
              </c:pt>
              <c:pt idx="1031">
                <c:v>-0.1431</c:v>
              </c:pt>
              <c:pt idx="1032">
                <c:v>0.75880000000000003</c:v>
              </c:pt>
              <c:pt idx="1033">
                <c:v>-0.1767</c:v>
              </c:pt>
              <c:pt idx="1034">
                <c:v>-0.69899999999999995</c:v>
              </c:pt>
              <c:pt idx="1035">
                <c:v>0.27550000000000002</c:v>
              </c:pt>
              <c:pt idx="1036">
                <c:v>1.1849000000000001</c:v>
              </c:pt>
              <c:pt idx="1037">
                <c:v>0.85619999999999996</c:v>
              </c:pt>
              <c:pt idx="1038">
                <c:v>0.13</c:v>
              </c:pt>
              <c:pt idx="1039">
                <c:v>8.3099999999999993E-2</c:v>
              </c:pt>
              <c:pt idx="1040">
                <c:v>-0.2742</c:v>
              </c:pt>
              <c:pt idx="1041">
                <c:v>-0.66110000000000002</c:v>
              </c:pt>
              <c:pt idx="1042">
                <c:v>-0.5081</c:v>
              </c:pt>
              <c:pt idx="1043">
                <c:v>-1.2099</c:v>
              </c:pt>
              <c:pt idx="1044">
                <c:v>0.18779999999999999</c:v>
              </c:pt>
              <c:pt idx="1045">
                <c:v>0.67279999999999995</c:v>
              </c:pt>
              <c:pt idx="1046">
                <c:v>-0.82820000000000005</c:v>
              </c:pt>
              <c:pt idx="1047">
                <c:v>0.96689999999999998</c:v>
              </c:pt>
              <c:pt idx="1048">
                <c:v>0.42919999999999997</c:v>
              </c:pt>
              <c:pt idx="1049">
                <c:v>-0.73089999999999999</c:v>
              </c:pt>
              <c:pt idx="1050">
                <c:v>-4.41E-2</c:v>
              </c:pt>
              <c:pt idx="1051">
                <c:v>0.51470000000000005</c:v>
              </c:pt>
              <c:pt idx="1052">
                <c:v>0.50329999999999997</c:v>
              </c:pt>
              <c:pt idx="1053">
                <c:v>-0.25469999999999998</c:v>
              </c:pt>
              <c:pt idx="1054">
                <c:v>-1.0681999999999998</c:v>
              </c:pt>
              <c:pt idx="1055">
                <c:v>1.2140000000000002</c:v>
              </c:pt>
              <c:pt idx="1056">
                <c:v>-0.89690000000000003</c:v>
              </c:pt>
              <c:pt idx="1057">
                <c:v>-0.19209999999999999</c:v>
              </c:pt>
              <c:pt idx="1058">
                <c:v>-0.20069999999999999</c:v>
              </c:pt>
              <c:pt idx="1059">
                <c:v>0.82240000000000002</c:v>
              </c:pt>
              <c:pt idx="1060">
                <c:v>1.8980000000000001</c:v>
              </c:pt>
              <c:pt idx="1061">
                <c:v>1.1719000000000002</c:v>
              </c:pt>
              <c:pt idx="1062">
                <c:v>0.5988</c:v>
              </c:pt>
              <c:pt idx="1063">
                <c:v>-0.16650000000000001</c:v>
              </c:pt>
              <c:pt idx="1064">
                <c:v>-1.0428999999999999</c:v>
              </c:pt>
              <c:pt idx="1065">
                <c:v>-0.34639999999999999</c:v>
              </c:pt>
              <c:pt idx="1066">
                <c:v>0.25119999999999998</c:v>
              </c:pt>
              <c:pt idx="1067">
                <c:v>-0.25630000000000003</c:v>
              </c:pt>
              <c:pt idx="1068">
                <c:v>-2.2699999999999998E-2</c:v>
              </c:pt>
              <c:pt idx="1069">
                <c:v>-1.1718</c:v>
              </c:pt>
              <c:pt idx="1070">
                <c:v>-0.12789999999999999</c:v>
              </c:pt>
              <c:pt idx="1071">
                <c:v>-0.29520000000000002</c:v>
              </c:pt>
              <c:pt idx="1072">
                <c:v>0.1729</c:v>
              </c:pt>
              <c:pt idx="1073">
                <c:v>0.44409999999999999</c:v>
              </c:pt>
              <c:pt idx="1074">
                <c:v>-1.1747999999999998</c:v>
              </c:pt>
              <c:pt idx="1075">
                <c:v>-0.32969999999999999</c:v>
              </c:pt>
              <c:pt idx="1076">
                <c:v>0.27450000000000002</c:v>
              </c:pt>
              <c:pt idx="1077">
                <c:v>1.1425000000000001</c:v>
              </c:pt>
              <c:pt idx="1078">
                <c:v>-0.32729999999999998</c:v>
              </c:pt>
              <c:pt idx="1079">
                <c:v>-1.1113</c:v>
              </c:pt>
              <c:pt idx="1080">
                <c:v>0.62390000000000001</c:v>
              </c:pt>
              <c:pt idx="1081">
                <c:v>6.3100000000000003E-2</c:v>
              </c:pt>
              <c:pt idx="1082">
                <c:v>0.248</c:v>
              </c:pt>
              <c:pt idx="1083">
                <c:v>0.2462</c:v>
              </c:pt>
              <c:pt idx="1084">
                <c:v>0.19589999999999999</c:v>
              </c:pt>
              <c:pt idx="1085">
                <c:v>-0.12430000000000001</c:v>
              </c:pt>
              <c:pt idx="1086">
                <c:v>-0.78310000000000002</c:v>
              </c:pt>
              <c:pt idx="1087">
                <c:v>-0.12180000000000001</c:v>
              </c:pt>
              <c:pt idx="1088">
                <c:v>-0.60540000000000005</c:v>
              </c:pt>
              <c:pt idx="1089">
                <c:v>-2.2023999999999999</c:v>
              </c:pt>
              <c:pt idx="1090">
                <c:v>-9.4E-2</c:v>
              </c:pt>
              <c:pt idx="1091">
                <c:v>0.29949999999999999</c:v>
              </c:pt>
              <c:pt idx="1092">
                <c:v>-1.9056</c:v>
              </c:pt>
              <c:pt idx="1093">
                <c:v>1.1504000000000001</c:v>
              </c:pt>
              <c:pt idx="1094">
                <c:v>3.9899999999999998E-2</c:v>
              </c:pt>
              <c:pt idx="1095">
                <c:v>-9.0000000000000011E-3</c:v>
              </c:pt>
              <c:pt idx="1096">
                <c:v>-0.46039999999999998</c:v>
              </c:pt>
              <c:pt idx="1097">
                <c:v>-0.50860000000000005</c:v>
              </c:pt>
              <c:pt idx="1098">
                <c:v>-0.25240000000000001</c:v>
              </c:pt>
              <c:pt idx="1099">
                <c:v>0.30709999999999998</c:v>
              </c:pt>
              <c:pt idx="1100">
                <c:v>1.3268000000000002</c:v>
              </c:pt>
              <c:pt idx="1101">
                <c:v>0.52410000000000001</c:v>
              </c:pt>
              <c:pt idx="1102">
                <c:v>6.2699999999999992E-2</c:v>
              </c:pt>
              <c:pt idx="1103">
                <c:v>0.83450000000000002</c:v>
              </c:pt>
              <c:pt idx="1104">
                <c:v>-0.1484</c:v>
              </c:pt>
              <c:pt idx="1105">
                <c:v>-2.4254000000000002</c:v>
              </c:pt>
              <c:pt idx="1106">
                <c:v>0.93369999999999997</c:v>
              </c:pt>
              <c:pt idx="1107">
                <c:v>0.5554</c:v>
              </c:pt>
              <c:pt idx="1108">
                <c:v>3.9799999999999995E-2</c:v>
              </c:pt>
              <c:pt idx="1109">
                <c:v>-0.2273</c:v>
              </c:pt>
              <c:pt idx="1110">
                <c:v>-1.1018999999999999</c:v>
              </c:pt>
              <c:pt idx="1111">
                <c:v>-6.5700000000000008E-2</c:v>
              </c:pt>
              <c:pt idx="1112">
                <c:v>-3.0104000000000002</c:v>
              </c:pt>
              <c:pt idx="1113">
                <c:v>-0.69589999999999996</c:v>
              </c:pt>
              <c:pt idx="1114">
                <c:v>1.3319000000000001</c:v>
              </c:pt>
              <c:pt idx="1115">
                <c:v>8.3699999999999997E-2</c:v>
              </c:pt>
              <c:pt idx="1116">
                <c:v>0.13450000000000001</c:v>
              </c:pt>
              <c:pt idx="1117">
                <c:v>-0.13550000000000001</c:v>
              </c:pt>
              <c:pt idx="1118">
                <c:v>3.8699999999999998E-2</c:v>
              </c:pt>
              <c:pt idx="1119">
                <c:v>-0.79079999999999995</c:v>
              </c:pt>
              <c:pt idx="1120">
                <c:v>0.34139999999999998</c:v>
              </c:pt>
              <c:pt idx="1121">
                <c:v>-0.97660000000000002</c:v>
              </c:pt>
              <c:pt idx="1122">
                <c:v>-1.4438</c:v>
              </c:pt>
              <c:pt idx="1123">
                <c:v>-0.26790000000000003</c:v>
              </c:pt>
              <c:pt idx="1124">
                <c:v>-2.4410000000000003</c:v>
              </c:pt>
              <c:pt idx="1125">
                <c:v>0.29820000000000002</c:v>
              </c:pt>
              <c:pt idx="1126">
                <c:v>-0.22470000000000001</c:v>
              </c:pt>
              <c:pt idx="1127">
                <c:v>1.0195000000000001</c:v>
              </c:pt>
              <c:pt idx="1128">
                <c:v>0.157</c:v>
              </c:pt>
              <c:pt idx="1129">
                <c:v>-1.6426999999999998</c:v>
              </c:pt>
              <c:pt idx="1130">
                <c:v>-0.16209999999999999</c:v>
              </c:pt>
              <c:pt idx="1131">
                <c:v>0.3654</c:v>
              </c:pt>
              <c:pt idx="1132">
                <c:v>-1.0941999999999998</c:v>
              </c:pt>
              <c:pt idx="1133">
                <c:v>-8.9099999999999999E-2</c:v>
              </c:pt>
              <c:pt idx="1134">
                <c:v>0.28739999999999999</c:v>
              </c:pt>
              <c:pt idx="1135">
                <c:v>-0.86540000000000006</c:v>
              </c:pt>
              <c:pt idx="1136">
                <c:v>-1.3312999999999999</c:v>
              </c:pt>
              <c:pt idx="1137">
                <c:v>0.33879999999999999</c:v>
              </c:pt>
              <c:pt idx="1138">
                <c:v>-7.640000000000001E-2</c:v>
              </c:pt>
              <c:pt idx="1139">
                <c:v>-1.1194999999999999</c:v>
              </c:pt>
              <c:pt idx="1140">
                <c:v>-0.44469999999999998</c:v>
              </c:pt>
              <c:pt idx="1141">
                <c:v>-1.9214</c:v>
              </c:pt>
              <c:pt idx="1142">
                <c:v>9.6299999999999997E-2</c:v>
              </c:pt>
              <c:pt idx="1143">
                <c:v>-3.0745</c:v>
              </c:pt>
              <c:pt idx="1144">
                <c:v>-4.9599000000000002</c:v>
              </c:pt>
              <c:pt idx="1145">
                <c:v>3.5145</c:v>
              </c:pt>
              <c:pt idx="1146">
                <c:v>0.5161</c:v>
              </c:pt>
              <c:pt idx="1147">
                <c:v>1.3993000000000002</c:v>
              </c:pt>
              <c:pt idx="1148">
                <c:v>2.4539999999999997</c:v>
              </c:pt>
              <c:pt idx="1149">
                <c:v>1.9205000000000001</c:v>
              </c:pt>
              <c:pt idx="1150">
                <c:v>-1.9466999999999999</c:v>
              </c:pt>
              <c:pt idx="1151">
                <c:v>0.21790000000000001</c:v>
              </c:pt>
              <c:pt idx="1152">
                <c:v>0.74909999999999999</c:v>
              </c:pt>
              <c:pt idx="1153">
                <c:v>-1.1877</c:v>
              </c:pt>
              <c:pt idx="1154">
                <c:v>-0.17860000000000001</c:v>
              </c:pt>
              <c:pt idx="1155">
                <c:v>0.18390000000000001</c:v>
              </c:pt>
              <c:pt idx="1156">
                <c:v>3.5019</c:v>
              </c:pt>
              <c:pt idx="1157">
                <c:v>-0.2233</c:v>
              </c:pt>
              <c:pt idx="1158">
                <c:v>0.44519999999999998</c:v>
              </c:pt>
              <c:pt idx="1159">
                <c:v>1.4700000000000001E-2</c:v>
              </c:pt>
              <c:pt idx="1160">
                <c:v>-0.57399999999999995</c:v>
              </c:pt>
              <c:pt idx="1161">
                <c:v>0.88049999999999995</c:v>
              </c:pt>
              <c:pt idx="1162">
                <c:v>1.3345</c:v>
              </c:pt>
              <c:pt idx="1163">
                <c:v>0.1938</c:v>
              </c:pt>
              <c:pt idx="1164">
                <c:v>-1.8529</c:v>
              </c:pt>
              <c:pt idx="1165">
                <c:v>0.70330000000000004</c:v>
              </c:pt>
              <c:pt idx="1166">
                <c:v>-2.0865</c:v>
              </c:pt>
              <c:pt idx="1167">
                <c:v>-0.86499999999999999</c:v>
              </c:pt>
              <c:pt idx="1168">
                <c:v>0.1108</c:v>
              </c:pt>
              <c:pt idx="1169">
                <c:v>0.59640000000000004</c:v>
              </c:pt>
              <c:pt idx="1170">
                <c:v>1.3893000000000002</c:v>
              </c:pt>
              <c:pt idx="1171">
                <c:v>0.1065</c:v>
              </c:pt>
              <c:pt idx="1172">
                <c:v>0.56530000000000002</c:v>
              </c:pt>
              <c:pt idx="1173">
                <c:v>0.4955</c:v>
              </c:pt>
              <c:pt idx="1174">
                <c:v>1.1946000000000001</c:v>
              </c:pt>
              <c:pt idx="1175">
                <c:v>-0.5847</c:v>
              </c:pt>
              <c:pt idx="1176">
                <c:v>1.4983000000000002</c:v>
              </c:pt>
              <c:pt idx="1177">
                <c:v>-7.0699999999999999E-2</c:v>
              </c:pt>
              <c:pt idx="1178">
                <c:v>-0.53439999999999999</c:v>
              </c:pt>
              <c:pt idx="1179">
                <c:v>0.91979999999999995</c:v>
              </c:pt>
              <c:pt idx="1180">
                <c:v>3.6899999999999995E-2</c:v>
              </c:pt>
              <c:pt idx="1181">
                <c:v>0.30509999999999998</c:v>
              </c:pt>
              <c:pt idx="1182">
                <c:v>0.25269999999999998</c:v>
              </c:pt>
              <c:pt idx="1183">
                <c:v>-0.5171</c:v>
              </c:pt>
              <c:pt idx="1184">
                <c:v>-1.1900000000000001E-2</c:v>
              </c:pt>
              <c:pt idx="1185">
                <c:v>0.75329999999999997</c:v>
              </c:pt>
              <c:pt idx="1186">
                <c:v>0.81850000000000001</c:v>
              </c:pt>
              <c:pt idx="1187">
                <c:v>-0.50790000000000002</c:v>
              </c:pt>
              <c:pt idx="1188">
                <c:v>-0.40989999999999999</c:v>
              </c:pt>
              <c:pt idx="1189">
                <c:v>-1.1041999999999998</c:v>
              </c:pt>
              <c:pt idx="1190">
                <c:v>-0.1988</c:v>
              </c:pt>
              <c:pt idx="1191">
                <c:v>0.70130000000000003</c:v>
              </c:pt>
              <c:pt idx="1192">
                <c:v>1.133</c:v>
              </c:pt>
              <c:pt idx="1193">
                <c:v>1.6342000000000001</c:v>
              </c:pt>
              <c:pt idx="1194">
                <c:v>-8.0299999999999996E-2</c:v>
              </c:pt>
              <c:pt idx="1195">
                <c:v>-1.7884</c:v>
              </c:pt>
              <c:pt idx="1196">
                <c:v>-0.59240000000000004</c:v>
              </c:pt>
              <c:pt idx="1197">
                <c:v>-1.2322</c:v>
              </c:pt>
              <c:pt idx="1198">
                <c:v>-1.4410999999999998</c:v>
              </c:pt>
              <c:pt idx="1199">
                <c:v>0.15229999999999999</c:v>
              </c:pt>
              <c:pt idx="1200">
                <c:v>-1.1797</c:v>
              </c:pt>
              <c:pt idx="1201">
                <c:v>-0.41320000000000001</c:v>
              </c:pt>
              <c:pt idx="1202">
                <c:v>1.4810000000000001</c:v>
              </c:pt>
              <c:pt idx="1203">
                <c:v>-0.94510000000000005</c:v>
              </c:pt>
              <c:pt idx="1204">
                <c:v>1.6231000000000002</c:v>
              </c:pt>
              <c:pt idx="1205">
                <c:v>-0.14169999999999999</c:v>
              </c:pt>
              <c:pt idx="1206">
                <c:v>0.23630000000000001</c:v>
              </c:pt>
              <c:pt idx="1207">
                <c:v>-1.0167999999999999</c:v>
              </c:pt>
              <c:pt idx="1208">
                <c:v>-0.1699</c:v>
              </c:pt>
              <c:pt idx="1209">
                <c:v>1.1679000000000002</c:v>
              </c:pt>
              <c:pt idx="1210">
                <c:v>-1.0276999999999998</c:v>
              </c:pt>
              <c:pt idx="1211">
                <c:v>-0.93359999999999999</c:v>
              </c:pt>
              <c:pt idx="1212">
                <c:v>1.6974</c:v>
              </c:pt>
              <c:pt idx="1213">
                <c:v>-7.2700000000000001E-2</c:v>
              </c:pt>
              <c:pt idx="1214">
                <c:v>-1.8800000000000001E-2</c:v>
              </c:pt>
              <c:pt idx="1215">
                <c:v>-0.68479999999999996</c:v>
              </c:pt>
              <c:pt idx="1216">
                <c:v>0.65769999999999995</c:v>
              </c:pt>
              <c:pt idx="1217">
                <c:v>-1.3175999999999999</c:v>
              </c:pt>
              <c:pt idx="1218">
                <c:v>-1.3815999999999999</c:v>
              </c:pt>
              <c:pt idx="1219">
                <c:v>-0.1666</c:v>
              </c:pt>
              <c:pt idx="1220">
                <c:v>-1.2309999999999999</c:v>
              </c:pt>
              <c:pt idx="1221">
                <c:v>-0.9405</c:v>
              </c:pt>
              <c:pt idx="1222">
                <c:v>0.40899999999999997</c:v>
              </c:pt>
              <c:pt idx="1223">
                <c:v>1.3663000000000001</c:v>
              </c:pt>
              <c:pt idx="1224">
                <c:v>1.6331000000000002</c:v>
              </c:pt>
              <c:pt idx="1225">
                <c:v>-0.75529999999999997</c:v>
              </c:pt>
              <c:pt idx="1226">
                <c:v>0.29749999999999999</c:v>
              </c:pt>
              <c:pt idx="1227">
                <c:v>0.1245</c:v>
              </c:pt>
              <c:pt idx="1228">
                <c:v>0.27350000000000002</c:v>
              </c:pt>
              <c:pt idx="1229">
                <c:v>0.1011</c:v>
              </c:pt>
              <c:pt idx="1230">
                <c:v>0.46350000000000002</c:v>
              </c:pt>
              <c:pt idx="1231">
                <c:v>-6.0299999999999999E-2</c:v>
              </c:pt>
              <c:pt idx="1232">
                <c:v>-0.77859999999999996</c:v>
              </c:pt>
              <c:pt idx="1233">
                <c:v>-0.17100000000000001</c:v>
              </c:pt>
              <c:pt idx="1234">
                <c:v>0.69589999999999996</c:v>
              </c:pt>
              <c:pt idx="1235">
                <c:v>-2.7238000000000002</c:v>
              </c:pt>
              <c:pt idx="1236">
                <c:v>-0.48670000000000002</c:v>
              </c:pt>
              <c:pt idx="1237">
                <c:v>-1.0576999999999999</c:v>
              </c:pt>
              <c:pt idx="1238">
                <c:v>-1.7493999999999998</c:v>
              </c:pt>
              <c:pt idx="1239">
                <c:v>0.52929999999999999</c:v>
              </c:pt>
              <c:pt idx="1240">
                <c:v>-1.3491</c:v>
              </c:pt>
              <c:pt idx="1241">
                <c:v>-0.25969999999999999</c:v>
              </c:pt>
              <c:pt idx="1242">
                <c:v>0.71730000000000005</c:v>
              </c:pt>
              <c:pt idx="1243">
                <c:v>-1.0529999999999999</c:v>
              </c:pt>
              <c:pt idx="1244">
                <c:v>0.24379999999999999</c:v>
              </c:pt>
              <c:pt idx="1245">
                <c:v>0.62849999999999995</c:v>
              </c:pt>
              <c:pt idx="1246">
                <c:v>0.55489999999999995</c:v>
              </c:pt>
              <c:pt idx="1247">
                <c:v>-2.0059</c:v>
              </c:pt>
              <c:pt idx="1248">
                <c:v>-0.46010000000000001</c:v>
              </c:pt>
              <c:pt idx="1249">
                <c:v>1.1925000000000001</c:v>
              </c:pt>
              <c:pt idx="1250">
                <c:v>1.7602000000000002</c:v>
              </c:pt>
              <c:pt idx="1251">
                <c:v>-0.83589999999999998</c:v>
              </c:pt>
              <c:pt idx="1252">
                <c:v>0.26689999999999997</c:v>
              </c:pt>
              <c:pt idx="1253">
                <c:v>0.6986</c:v>
              </c:pt>
              <c:pt idx="1254">
                <c:v>2.1928000000000001</c:v>
              </c:pt>
              <c:pt idx="1255">
                <c:v>0.79339999999999999</c:v>
              </c:pt>
              <c:pt idx="1256">
                <c:v>0.14119999999999999</c:v>
              </c:pt>
              <c:pt idx="1257">
                <c:v>-0.31880000000000003</c:v>
              </c:pt>
              <c:pt idx="1258">
                <c:v>-0.8458</c:v>
              </c:pt>
              <c:pt idx="1259">
                <c:v>4.0499999999999994E-2</c:v>
              </c:pt>
              <c:pt idx="1260">
                <c:v>1.7854000000000001</c:v>
              </c:pt>
              <c:pt idx="1261">
                <c:v>2.35E-2</c:v>
              </c:pt>
              <c:pt idx="1262">
                <c:v>1.2121000000000002</c:v>
              </c:pt>
              <c:pt idx="1263">
                <c:v>0.1216</c:v>
              </c:pt>
              <c:pt idx="1264">
                <c:v>1.67E-2</c:v>
              </c:pt>
              <c:pt idx="1265">
                <c:v>9.2600000000000002E-2</c:v>
              </c:pt>
              <c:pt idx="1266">
                <c:v>-0.62619999999999998</c:v>
              </c:pt>
              <c:pt idx="1267">
                <c:v>0.99409999999999998</c:v>
              </c:pt>
              <c:pt idx="1268">
                <c:v>0.53700000000000003</c:v>
              </c:pt>
              <c:pt idx="1269">
                <c:v>0.87919999999999998</c:v>
              </c:pt>
              <c:pt idx="1270">
                <c:v>0.68240000000000001</c:v>
              </c:pt>
              <c:pt idx="1271">
                <c:v>0.78669999999999995</c:v>
              </c:pt>
              <c:pt idx="1272">
                <c:v>0.36509999999999998</c:v>
              </c:pt>
              <c:pt idx="1273">
                <c:v>0.18190000000000001</c:v>
              </c:pt>
              <c:pt idx="1274">
                <c:v>5.1999999999999998E-2</c:v>
              </c:pt>
              <c:pt idx="1275">
                <c:v>-0.35220000000000001</c:v>
              </c:pt>
              <c:pt idx="1276">
                <c:v>0.30449999999999999</c:v>
              </c:pt>
              <c:pt idx="1277">
                <c:v>0.52029999999999998</c:v>
              </c:pt>
              <c:pt idx="1278">
                <c:v>0.47549999999999998</c:v>
              </c:pt>
              <c:pt idx="1279">
                <c:v>-1.5781999999999998</c:v>
              </c:pt>
              <c:pt idx="1280">
                <c:v>1.0133000000000001</c:v>
              </c:pt>
              <c:pt idx="1281">
                <c:v>0.40310000000000001</c:v>
              </c:pt>
              <c:pt idx="1282">
                <c:v>0.86529999999999996</c:v>
              </c:pt>
              <c:pt idx="1283">
                <c:v>1.9599999999999999E-2</c:v>
              </c:pt>
              <c:pt idx="1284">
                <c:v>-0.31009999999999999</c:v>
              </c:pt>
              <c:pt idx="1285">
                <c:v>-0.22620000000000001</c:v>
              </c:pt>
              <c:pt idx="1286">
                <c:v>-0.26240000000000002</c:v>
              </c:pt>
              <c:pt idx="1287">
                <c:v>-0.44330000000000003</c:v>
              </c:pt>
              <c:pt idx="1288">
                <c:v>-0.1699</c:v>
              </c:pt>
              <c:pt idx="1289">
                <c:v>-0.84770000000000001</c:v>
              </c:pt>
              <c:pt idx="1290">
                <c:v>1.3764000000000001</c:v>
              </c:pt>
              <c:pt idx="1291">
                <c:v>8.6099999999999996E-2</c:v>
              </c:pt>
              <c:pt idx="1292">
                <c:v>-1.0061</c:v>
              </c:pt>
              <c:pt idx="1293">
                <c:v>-1.6831999999999998</c:v>
              </c:pt>
              <c:pt idx="1294">
                <c:v>-0.27410000000000001</c:v>
              </c:pt>
              <c:pt idx="1295">
                <c:v>0.5988</c:v>
              </c:pt>
              <c:pt idx="1296">
                <c:v>0.24360000000000001</c:v>
              </c:pt>
              <c:pt idx="1297">
                <c:v>-0.3705</c:v>
              </c:pt>
              <c:pt idx="1298">
                <c:v>1.4042000000000001</c:v>
              </c:pt>
              <c:pt idx="1299">
                <c:v>0.17749999999999999</c:v>
              </c:pt>
              <c:pt idx="1300">
                <c:v>0.37330000000000002</c:v>
              </c:pt>
              <c:pt idx="1301">
                <c:v>-0.39889999999999998</c:v>
              </c:pt>
              <c:pt idx="1302">
                <c:v>-0.37630000000000002</c:v>
              </c:pt>
              <c:pt idx="1303">
                <c:v>-1.3936999999999999</c:v>
              </c:pt>
              <c:pt idx="1304">
                <c:v>0.63119999999999998</c:v>
              </c:pt>
              <c:pt idx="1305">
                <c:v>-0.38769999999999999</c:v>
              </c:pt>
              <c:pt idx="1306">
                <c:v>0.28399999999999997</c:v>
              </c:pt>
              <c:pt idx="1307">
                <c:v>0.24540000000000001</c:v>
              </c:pt>
              <c:pt idx="1308">
                <c:v>-0.219</c:v>
              </c:pt>
              <c:pt idx="1309">
                <c:v>-1.0498999999999998</c:v>
              </c:pt>
              <c:pt idx="1310">
                <c:v>-1.1419999999999999</c:v>
              </c:pt>
              <c:pt idx="1311">
                <c:v>-1.0079999999999998</c:v>
              </c:pt>
              <c:pt idx="1312">
                <c:v>-1.3215999999999999</c:v>
              </c:pt>
              <c:pt idx="1313">
                <c:v>-0.21710000000000002</c:v>
              </c:pt>
              <c:pt idx="1314">
                <c:v>-0.26690000000000003</c:v>
              </c:pt>
              <c:pt idx="1315">
                <c:v>-0.18240000000000001</c:v>
              </c:pt>
              <c:pt idx="1316">
                <c:v>0.29730000000000001</c:v>
              </c:pt>
              <c:pt idx="1317">
                <c:v>-0.25750000000000001</c:v>
              </c:pt>
              <c:pt idx="1318">
                <c:v>-0.3417</c:v>
              </c:pt>
              <c:pt idx="1319">
                <c:v>-0.67569999999999997</c:v>
              </c:pt>
              <c:pt idx="1320">
                <c:v>0.1696</c:v>
              </c:pt>
              <c:pt idx="1321">
                <c:v>0.89629999999999999</c:v>
              </c:pt>
              <c:pt idx="1322">
                <c:v>0.2326</c:v>
              </c:pt>
              <c:pt idx="1323">
                <c:v>-0.78669999999999995</c:v>
              </c:pt>
              <c:pt idx="1324">
                <c:v>0.43180000000000002</c:v>
              </c:pt>
              <c:pt idx="1325">
                <c:v>2.585</c:v>
              </c:pt>
              <c:pt idx="1326">
                <c:v>-0.52900000000000003</c:v>
              </c:pt>
              <c:pt idx="1327">
                <c:v>1.1414000000000002</c:v>
              </c:pt>
              <c:pt idx="1328">
                <c:v>-2.7799999999999998E-2</c:v>
              </c:pt>
              <c:pt idx="1329">
                <c:v>0.82140000000000002</c:v>
              </c:pt>
              <c:pt idx="1330">
                <c:v>0.84709999999999996</c:v>
              </c:pt>
              <c:pt idx="1331">
                <c:v>-6.3E-3</c:v>
              </c:pt>
              <c:pt idx="1332">
                <c:v>0.7157</c:v>
              </c:pt>
              <c:pt idx="1333">
                <c:v>-0.48270000000000002</c:v>
              </c:pt>
              <c:pt idx="1334">
                <c:v>0.36259999999999998</c:v>
              </c:pt>
              <c:pt idx="1335">
                <c:v>4.5999999999999999E-2</c:v>
              </c:pt>
              <c:pt idx="1336">
                <c:v>6.1499999999999999E-2</c:v>
              </c:pt>
              <c:pt idx="1337">
                <c:v>0.95540000000000003</c:v>
              </c:pt>
              <c:pt idx="1338">
                <c:v>0.40610000000000002</c:v>
              </c:pt>
              <c:pt idx="1339">
                <c:v>-2.0811999999999999</c:v>
              </c:pt>
              <c:pt idx="1340">
                <c:v>0.46329999999999999</c:v>
              </c:pt>
              <c:pt idx="1341">
                <c:v>0.34910000000000002</c:v>
              </c:pt>
              <c:pt idx="1342">
                <c:v>-1.3155999999999999</c:v>
              </c:pt>
              <c:pt idx="1343">
                <c:v>0.86370000000000002</c:v>
              </c:pt>
              <c:pt idx="1344">
                <c:v>0.66979999999999995</c:v>
              </c:pt>
              <c:pt idx="1345">
                <c:v>0.67789999999999995</c:v>
              </c:pt>
              <c:pt idx="1346">
                <c:v>0.3579</c:v>
              </c:pt>
              <c:pt idx="1347">
                <c:v>-0.45800000000000002</c:v>
              </c:pt>
              <c:pt idx="1348">
                <c:v>-2.3313999999999999</c:v>
              </c:pt>
              <c:pt idx="1349">
                <c:v>-0.217</c:v>
              </c:pt>
              <c:pt idx="1350">
                <c:v>0.54690000000000005</c:v>
              </c:pt>
              <c:pt idx="1351">
                <c:v>0.94540000000000002</c:v>
              </c:pt>
              <c:pt idx="1352">
                <c:v>0.92459999999999998</c:v>
              </c:pt>
              <c:pt idx="1353">
                <c:v>0.82050000000000001</c:v>
              </c:pt>
              <c:pt idx="1354">
                <c:v>0.25230000000000002</c:v>
              </c:pt>
              <c:pt idx="1355">
                <c:v>-0.51239999999999997</c:v>
              </c:pt>
              <c:pt idx="1356">
                <c:v>-1.6259999999999999</c:v>
              </c:pt>
              <c:pt idx="1357">
                <c:v>0.75390000000000001</c:v>
              </c:pt>
              <c:pt idx="1358">
                <c:v>1.6675000000000002</c:v>
              </c:pt>
              <c:pt idx="1359">
                <c:v>0.62090000000000001</c:v>
              </c:pt>
              <c:pt idx="1360">
                <c:v>0.18110000000000001</c:v>
              </c:pt>
              <c:pt idx="1361">
                <c:v>9.4199999999999992E-2</c:v>
              </c:pt>
              <c:pt idx="1362">
                <c:v>0.93420000000000003</c:v>
              </c:pt>
              <c:pt idx="1363">
                <c:v>0.64700000000000002</c:v>
              </c:pt>
              <c:pt idx="1364">
                <c:v>0.29249999999999998</c:v>
              </c:pt>
              <c:pt idx="1365">
                <c:v>-0.3044</c:v>
              </c:pt>
              <c:pt idx="1366">
                <c:v>0.53820000000000001</c:v>
              </c:pt>
              <c:pt idx="1367">
                <c:v>-0.48360000000000003</c:v>
              </c:pt>
              <c:pt idx="1368">
                <c:v>-0.24149999999999999</c:v>
              </c:pt>
              <c:pt idx="1369">
                <c:v>0.36470000000000002</c:v>
              </c:pt>
              <c:pt idx="1370">
                <c:v>0.42380000000000001</c:v>
              </c:pt>
              <c:pt idx="1371">
                <c:v>0.1431</c:v>
              </c:pt>
              <c:pt idx="1372">
                <c:v>-1.0243</c:v>
              </c:pt>
              <c:pt idx="1373">
                <c:v>1.0632000000000001</c:v>
              </c:pt>
              <c:pt idx="1374">
                <c:v>-0.13470000000000001</c:v>
              </c:pt>
              <c:pt idx="1375">
                <c:v>-0.74509999999999998</c:v>
              </c:pt>
              <c:pt idx="1376">
                <c:v>0.25219999999999998</c:v>
              </c:pt>
              <c:pt idx="1377">
                <c:v>0.74119999999999997</c:v>
              </c:pt>
              <c:pt idx="1378">
                <c:v>0.63439999999999996</c:v>
              </c:pt>
              <c:pt idx="1379">
                <c:v>4.9699999999999994E-2</c:v>
              </c:pt>
              <c:pt idx="1380">
                <c:v>0.49099999999999999</c:v>
              </c:pt>
              <c:pt idx="1381">
                <c:v>-0.75129999999999997</c:v>
              </c:pt>
              <c:pt idx="1382">
                <c:v>0.2</c:v>
              </c:pt>
              <c:pt idx="1383">
                <c:v>-2.35E-2</c:v>
              </c:pt>
              <c:pt idx="1384">
                <c:v>-0.4209</c:v>
              </c:pt>
              <c:pt idx="1385">
                <c:v>7.7499999999999999E-2</c:v>
              </c:pt>
              <c:pt idx="1386">
                <c:v>4.9599999999999998E-2</c:v>
              </c:pt>
              <c:pt idx="1387">
                <c:v>-0.97489999999999999</c:v>
              </c:pt>
              <c:pt idx="1388">
                <c:v>-0.58540000000000003</c:v>
              </c:pt>
              <c:pt idx="1389">
                <c:v>0.54239999999999999</c:v>
              </c:pt>
              <c:pt idx="1390">
                <c:v>-0.1532</c:v>
              </c:pt>
              <c:pt idx="1391">
                <c:v>1.0789000000000002</c:v>
              </c:pt>
              <c:pt idx="1392">
                <c:v>0.17510000000000001</c:v>
              </c:pt>
              <c:pt idx="1393">
                <c:v>-0.23930000000000001</c:v>
              </c:pt>
              <c:pt idx="1394">
                <c:v>1.2999999999999999E-3</c:v>
              </c:pt>
              <c:pt idx="1395">
                <c:v>-0.46189999999999998</c:v>
              </c:pt>
              <c:pt idx="1396">
                <c:v>-0.75229999999999997</c:v>
              </c:pt>
              <c:pt idx="1397">
                <c:v>-0.1542</c:v>
              </c:pt>
              <c:pt idx="1398">
                <c:v>1.1319000000000001</c:v>
              </c:pt>
              <c:pt idx="1399">
                <c:v>1.0009000000000001</c:v>
              </c:pt>
              <c:pt idx="1400">
                <c:v>0.83450000000000002</c:v>
              </c:pt>
              <c:pt idx="1401">
                <c:v>3.8199999999999998E-2</c:v>
              </c:pt>
              <c:pt idx="1402">
                <c:v>-1.0667</c:v>
              </c:pt>
              <c:pt idx="1403">
                <c:v>-1.2235999999999998</c:v>
              </c:pt>
              <c:pt idx="1404">
                <c:v>-1.1877</c:v>
              </c:pt>
              <c:pt idx="1405">
                <c:v>-7.2700000000000001E-2</c:v>
              </c:pt>
              <c:pt idx="1406">
                <c:v>-0.43490000000000001</c:v>
              </c:pt>
              <c:pt idx="1407">
                <c:v>2.7728999999999999</c:v>
              </c:pt>
              <c:pt idx="1408">
                <c:v>9.1999999999999998E-2</c:v>
              </c:pt>
              <c:pt idx="1409">
                <c:v>0.7248</c:v>
              </c:pt>
              <c:pt idx="1410">
                <c:v>7.0199999999999999E-2</c:v>
              </c:pt>
              <c:pt idx="1411">
                <c:v>0.53010000000000002</c:v>
              </c:pt>
              <c:pt idx="1412">
                <c:v>-0.97819999999999996</c:v>
              </c:pt>
              <c:pt idx="1413">
                <c:v>0.82430000000000003</c:v>
              </c:pt>
              <c:pt idx="1414">
                <c:v>-1.1316999999999999</c:v>
              </c:pt>
              <c:pt idx="1415">
                <c:v>0.72899999999999998</c:v>
              </c:pt>
              <c:pt idx="1416">
                <c:v>0.57540000000000002</c:v>
              </c:pt>
              <c:pt idx="1417">
                <c:v>-0.1699</c:v>
              </c:pt>
              <c:pt idx="1418">
                <c:v>0.12670000000000001</c:v>
              </c:pt>
              <c:pt idx="1419">
                <c:v>-0.20250000000000001</c:v>
              </c:pt>
              <c:pt idx="1420">
                <c:v>-0.50059999999999993</c:v>
              </c:pt>
              <c:pt idx="1421">
                <c:v>0.35189999999999999</c:v>
              </c:pt>
              <c:pt idx="1422">
                <c:v>-0.36499999999999999</c:v>
              </c:pt>
              <c:pt idx="1423">
                <c:v>-0.59050000000000002</c:v>
              </c:pt>
              <c:pt idx="1424">
                <c:v>0.11749999999999999</c:v>
              </c:pt>
              <c:pt idx="1425">
                <c:v>0.50090000000000001</c:v>
              </c:pt>
              <c:pt idx="1426">
                <c:v>0.66069999999999995</c:v>
              </c:pt>
              <c:pt idx="1427">
                <c:v>0.35449999999999998</c:v>
              </c:pt>
              <c:pt idx="1428">
                <c:v>-0.1176</c:v>
              </c:pt>
              <c:pt idx="1429">
                <c:v>0.16800000000000001</c:v>
              </c:pt>
              <c:pt idx="1430">
                <c:v>0.67210000000000003</c:v>
              </c:pt>
              <c:pt idx="1431">
                <c:v>-0.25259999999999999</c:v>
              </c:pt>
              <c:pt idx="1432">
                <c:v>-0.67500000000000004</c:v>
              </c:pt>
              <c:pt idx="1433">
                <c:v>7.6200000000000004E-2</c:v>
              </c:pt>
              <c:pt idx="1434">
                <c:v>-0.1837</c:v>
              </c:pt>
              <c:pt idx="1435">
                <c:v>-0.19070000000000001</c:v>
              </c:pt>
              <c:pt idx="1436">
                <c:v>-1.4548999999999999</c:v>
              </c:pt>
              <c:pt idx="1437">
                <c:v>-0.79139999999999999</c:v>
              </c:pt>
              <c:pt idx="1438">
                <c:v>6.7000000000000002E-3</c:v>
              </c:pt>
              <c:pt idx="1439">
                <c:v>1.33</c:v>
              </c:pt>
              <c:pt idx="1440">
                <c:v>0.29680000000000001</c:v>
              </c:pt>
              <c:pt idx="1441">
                <c:v>-3.0233000000000003</c:v>
              </c:pt>
              <c:pt idx="1442">
                <c:v>2.3068999999999997</c:v>
              </c:pt>
              <c:pt idx="1443">
                <c:v>-2.1502000000000003</c:v>
              </c:pt>
              <c:pt idx="1444">
                <c:v>-0.19700000000000001</c:v>
              </c:pt>
              <c:pt idx="1445">
                <c:v>-0.1079</c:v>
              </c:pt>
              <c:pt idx="1446">
                <c:v>0.34560000000000002</c:v>
              </c:pt>
              <c:pt idx="1447">
                <c:v>0.36499999999999999</c:v>
              </c:pt>
              <c:pt idx="1448">
                <c:v>0.14729999999999999</c:v>
              </c:pt>
              <c:pt idx="1449">
                <c:v>0.35509999999999997</c:v>
              </c:pt>
              <c:pt idx="1450">
                <c:v>1.0125000000000002</c:v>
              </c:pt>
              <c:pt idx="1451">
                <c:v>0.48670000000000002</c:v>
              </c:pt>
              <c:pt idx="1452">
                <c:v>-0.28799999999999998</c:v>
              </c:pt>
              <c:pt idx="1453">
                <c:v>7.2999999999999995E-2</c:v>
              </c:pt>
              <c:pt idx="1454">
                <c:v>0.68430000000000002</c:v>
              </c:pt>
              <c:pt idx="1455">
                <c:v>-0.32729999999999998</c:v>
              </c:pt>
              <c:pt idx="1456">
                <c:v>0.52139999999999997</c:v>
              </c:pt>
              <c:pt idx="1457">
                <c:v>0.24360000000000001</c:v>
              </c:pt>
              <c:pt idx="1458">
                <c:v>-0.80549999999999999</c:v>
              </c:pt>
              <c:pt idx="1459">
                <c:v>-0.31719999999999998</c:v>
              </c:pt>
              <c:pt idx="1460">
                <c:v>0.97589999999999999</c:v>
              </c:pt>
              <c:pt idx="1461">
                <c:v>0.13869999999999999</c:v>
              </c:pt>
              <c:pt idx="1462">
                <c:v>1.1984000000000001</c:v>
              </c:pt>
              <c:pt idx="1463">
                <c:v>0.1762</c:v>
              </c:pt>
              <c:pt idx="1464">
                <c:v>-0.45910000000000001</c:v>
              </c:pt>
              <c:pt idx="1465">
                <c:v>0.34079999999999999</c:v>
              </c:pt>
              <c:pt idx="1466">
                <c:v>-0.14830000000000002</c:v>
              </c:pt>
              <c:pt idx="1467">
                <c:v>-9.0200000000000002E-2</c:v>
              </c:pt>
              <c:pt idx="1468">
                <c:v>-0.36230000000000001</c:v>
              </c:pt>
              <c:pt idx="1469">
                <c:v>-0.94520000000000004</c:v>
              </c:pt>
              <c:pt idx="1470">
                <c:v>3.04E-2</c:v>
              </c:pt>
              <c:pt idx="1471">
                <c:v>-0.41660000000000003</c:v>
              </c:pt>
              <c:pt idx="1472">
                <c:v>-0.93640000000000001</c:v>
              </c:pt>
              <c:pt idx="1473">
                <c:v>-0.44380000000000003</c:v>
              </c:pt>
              <c:pt idx="1474">
                <c:v>0.3478</c:v>
              </c:pt>
              <c:pt idx="1475">
                <c:v>-1.6899999999999998E-2</c:v>
              </c:pt>
              <c:pt idx="1476">
                <c:v>1.0033000000000001</c:v>
              </c:pt>
              <c:pt idx="1477">
                <c:v>-0.52939999999999998</c:v>
              </c:pt>
              <c:pt idx="1478">
                <c:v>1.0880000000000001</c:v>
              </c:pt>
              <c:pt idx="1479">
                <c:v>0.20619999999999999</c:v>
              </c:pt>
              <c:pt idx="1480">
                <c:v>0.1487</c:v>
              </c:pt>
              <c:pt idx="1481">
                <c:v>0.76049999999999995</c:v>
              </c:pt>
              <c:pt idx="1482">
                <c:v>0.14729999999999999</c:v>
              </c:pt>
              <c:pt idx="1483">
                <c:v>-0.32150000000000001</c:v>
              </c:pt>
              <c:pt idx="1484">
                <c:v>7.4299999999999991E-2</c:v>
              </c:pt>
              <c:pt idx="1485">
                <c:v>-4.4700000000000004E-2</c:v>
              </c:pt>
              <c:pt idx="1486">
                <c:v>0.68410000000000004</c:v>
              </c:pt>
              <c:pt idx="1487">
                <c:v>-0.3367</c:v>
              </c:pt>
              <c:pt idx="1488">
                <c:v>-0.92959999999999998</c:v>
              </c:pt>
              <c:pt idx="1489">
                <c:v>0.66410000000000002</c:v>
              </c:pt>
              <c:pt idx="1490">
                <c:v>-0.13739999999999999</c:v>
              </c:pt>
              <c:pt idx="1491">
                <c:v>-0.2586</c:v>
              </c:pt>
              <c:pt idx="1492">
                <c:v>0.1401</c:v>
              </c:pt>
              <c:pt idx="1493">
                <c:v>0.98429999999999995</c:v>
              </c:pt>
              <c:pt idx="1494">
                <c:v>0.25030000000000002</c:v>
              </c:pt>
              <c:pt idx="1495">
                <c:v>-0.2041</c:v>
              </c:pt>
              <c:pt idx="1496">
                <c:v>0.27860000000000001</c:v>
              </c:pt>
              <c:pt idx="1497">
                <c:v>0.86519999999999997</c:v>
              </c:pt>
              <c:pt idx="1498">
                <c:v>0.1704</c:v>
              </c:pt>
              <c:pt idx="1499">
                <c:v>-0.12140000000000001</c:v>
              </c:pt>
              <c:pt idx="1500">
                <c:v>0.48759999999999998</c:v>
              </c:pt>
              <c:pt idx="1501">
                <c:v>0.7802</c:v>
              </c:pt>
              <c:pt idx="1502">
                <c:v>0.4587</c:v>
              </c:pt>
              <c:pt idx="1503">
                <c:v>8.4099999999999994E-2</c:v>
              </c:pt>
              <c:pt idx="1504">
                <c:v>0.82679999999999998</c:v>
              </c:pt>
              <c:pt idx="1505">
                <c:v>-0.29430000000000001</c:v>
              </c:pt>
              <c:pt idx="1506">
                <c:v>-0.1207</c:v>
              </c:pt>
              <c:pt idx="1507">
                <c:v>0.20330000000000001</c:v>
              </c:pt>
              <c:pt idx="1508">
                <c:v>-0.27660000000000001</c:v>
              </c:pt>
              <c:pt idx="1509">
                <c:v>0.107</c:v>
              </c:pt>
              <c:pt idx="1510">
                <c:v>0.14899999999999999</c:v>
              </c:pt>
              <c:pt idx="1511">
                <c:v>-9.9900000000000003E-2</c:v>
              </c:pt>
              <c:pt idx="1512">
                <c:v>-0.19600000000000001</c:v>
              </c:pt>
              <c:pt idx="1513">
                <c:v>-0.7823</c:v>
              </c:pt>
              <c:pt idx="1514">
                <c:v>0.17280000000000001</c:v>
              </c:pt>
              <c:pt idx="1515">
                <c:v>-0.45379999999999998</c:v>
              </c:pt>
              <c:pt idx="1516">
                <c:v>0.35310000000000002</c:v>
              </c:pt>
              <c:pt idx="1517">
                <c:v>0.56789999999999996</c:v>
              </c:pt>
              <c:pt idx="1518">
                <c:v>0.15479999999999999</c:v>
              </c:pt>
              <c:pt idx="1519">
                <c:v>-0.98009999999999997</c:v>
              </c:pt>
              <c:pt idx="1520">
                <c:v>-0.3216</c:v>
              </c:pt>
              <c:pt idx="1521">
                <c:v>0.71579999999999999</c:v>
              </c:pt>
              <c:pt idx="1522">
                <c:v>0.47920000000000001</c:v>
              </c:pt>
              <c:pt idx="1523">
                <c:v>-4.3000000000000003E-2</c:v>
              </c:pt>
              <c:pt idx="1524">
                <c:v>0.99319999999999997</c:v>
              </c:pt>
              <c:pt idx="1525">
                <c:v>0.7147</c:v>
              </c:pt>
              <c:pt idx="1526">
                <c:v>4.02E-2</c:v>
              </c:pt>
              <c:pt idx="1527">
                <c:v>0.59560000000000002</c:v>
              </c:pt>
              <c:pt idx="1528">
                <c:v>-0.50390000000000001</c:v>
              </c:pt>
              <c:pt idx="1529">
                <c:v>7.8399999999999997E-2</c:v>
              </c:pt>
              <c:pt idx="1530">
                <c:v>-0.28289999999999998</c:v>
              </c:pt>
              <c:pt idx="1531">
                <c:v>-0.26800000000000002</c:v>
              </c:pt>
              <c:pt idx="1532">
                <c:v>-6.2000000000000006E-3</c:v>
              </c:pt>
              <c:pt idx="1533">
                <c:v>-0.2077</c:v>
              </c:pt>
              <c:pt idx="1534">
                <c:v>-8.5199999999999998E-2</c:v>
              </c:pt>
              <c:pt idx="1535">
                <c:v>-0.37559999999999999</c:v>
              </c:pt>
              <c:pt idx="1536">
                <c:v>1.3933000000000002</c:v>
              </c:pt>
              <c:pt idx="1537">
                <c:v>-0.52380000000000004</c:v>
              </c:pt>
              <c:pt idx="1538">
                <c:v>-0.25009999999999999</c:v>
              </c:pt>
              <c:pt idx="1539">
                <c:v>8.9799999999999991E-2</c:v>
              </c:pt>
              <c:pt idx="1540">
                <c:v>-0.51139999999999997</c:v>
              </c:pt>
              <c:pt idx="1541">
                <c:v>-0.153</c:v>
              </c:pt>
              <c:pt idx="1542">
                <c:v>0.1903</c:v>
              </c:pt>
              <c:pt idx="1543">
                <c:v>-1.0632999999999999</c:v>
              </c:pt>
              <c:pt idx="1544">
                <c:v>-0.17300000000000001</c:v>
              </c:pt>
              <c:pt idx="1545">
                <c:v>0.30690000000000001</c:v>
              </c:pt>
              <c:pt idx="1546">
                <c:v>-1.103</c:v>
              </c:pt>
              <c:pt idx="1547">
                <c:v>-7.8200000000000006E-2</c:v>
              </c:pt>
              <c:pt idx="1548">
                <c:v>0.87270000000000003</c:v>
              </c:pt>
              <c:pt idx="1549">
                <c:v>2.5999999999999999E-3</c:v>
              </c:pt>
              <c:pt idx="1550">
                <c:v>1.2625000000000002</c:v>
              </c:pt>
              <c:pt idx="1551">
                <c:v>0.1467</c:v>
              </c:pt>
              <c:pt idx="1552">
                <c:v>3.9299999999999995E-2</c:v>
              </c:pt>
              <c:pt idx="1553">
                <c:v>0.1123</c:v>
              </c:pt>
              <c:pt idx="1554">
                <c:v>0.69620000000000004</c:v>
              </c:pt>
              <c:pt idx="1555">
                <c:v>0.13830000000000001</c:v>
              </c:pt>
              <c:pt idx="1556">
                <c:v>0.1206</c:v>
              </c:pt>
              <c:pt idx="1557">
                <c:v>-0.6845</c:v>
              </c:pt>
              <c:pt idx="1558">
                <c:v>0.37319999999999998</c:v>
              </c:pt>
              <c:pt idx="1559">
                <c:v>-0.2223</c:v>
              </c:pt>
              <c:pt idx="1560">
                <c:v>0.52849999999999997</c:v>
              </c:pt>
              <c:pt idx="1561">
                <c:v>0.3291</c:v>
              </c:pt>
              <c:pt idx="1562">
                <c:v>-0.1497</c:v>
              </c:pt>
              <c:pt idx="1563">
                <c:v>0.49640000000000001</c:v>
              </c:pt>
              <c:pt idx="1564">
                <c:v>-5.6100000000000004E-2</c:v>
              </c:pt>
              <c:pt idx="1565">
                <c:v>-0.18080000000000002</c:v>
              </c:pt>
              <c:pt idx="1566">
                <c:v>-0.4456</c:v>
              </c:pt>
              <c:pt idx="1567">
                <c:v>-0.22220000000000001</c:v>
              </c:pt>
            </c:numLit>
          </c:xVal>
          <c:yVal>
            <c:numLit>
              <c:formatCode>General</c:formatCode>
              <c:ptCount val="1568"/>
              <c:pt idx="0">
                <c:v>0.14069999999999999</c:v>
              </c:pt>
              <c:pt idx="1">
                <c:v>0.14050000000000001</c:v>
              </c:pt>
              <c:pt idx="2">
                <c:v>-1.9859</c:v>
              </c:pt>
              <c:pt idx="3">
                <c:v>1.7045999999999999</c:v>
              </c:pt>
              <c:pt idx="4">
                <c:v>2.0907</c:v>
              </c:pt>
              <c:pt idx="5">
                <c:v>2.3178000000000001</c:v>
              </c:pt>
              <c:pt idx="6">
                <c:v>0.40350000000000003</c:v>
              </c:pt>
              <c:pt idx="7">
                <c:v>0.53549999999999998</c:v>
              </c:pt>
              <c:pt idx="8">
                <c:v>-0.40129999999999999</c:v>
              </c:pt>
              <c:pt idx="9">
                <c:v>0.26769999999999999</c:v>
              </c:pt>
              <c:pt idx="10">
                <c:v>1.3280000000000001</c:v>
              </c:pt>
              <c:pt idx="11">
                <c:v>1.3106</c:v>
              </c:pt>
              <c:pt idx="12">
                <c:v>1.5504</c:v>
              </c:pt>
              <c:pt idx="13">
                <c:v>-2.0726</c:v>
              </c:pt>
              <c:pt idx="14">
                <c:v>-2.3841999999999999</c:v>
              </c:pt>
              <c:pt idx="15">
                <c:v>0.93400000000000005</c:v>
              </c:pt>
              <c:pt idx="16">
                <c:v>-0.3992</c:v>
              </c:pt>
              <c:pt idx="17">
                <c:v>-0.53480000000000005</c:v>
              </c:pt>
              <c:pt idx="18">
                <c:v>0.80110000000000003</c:v>
              </c:pt>
              <c:pt idx="19">
                <c:v>1.4521999999999999</c:v>
              </c:pt>
              <c:pt idx="20">
                <c:v>-1.054</c:v>
              </c:pt>
              <c:pt idx="21">
                <c:v>-2.2774000000000001</c:v>
              </c:pt>
              <c:pt idx="22">
                <c:v>-2.4693000000000001</c:v>
              </c:pt>
              <c:pt idx="23">
                <c:v>-0.83679999999999999</c:v>
              </c:pt>
              <c:pt idx="24">
                <c:v>1.5288999999999999</c:v>
              </c:pt>
              <c:pt idx="25">
                <c:v>0</c:v>
              </c:pt>
              <c:pt idx="26">
                <c:v>-0.55330000000000001</c:v>
              </c:pt>
              <c:pt idx="27">
                <c:v>0.55330000000000001</c:v>
              </c:pt>
              <c:pt idx="28">
                <c:v>0.68730000000000002</c:v>
              </c:pt>
              <c:pt idx="29">
                <c:v>0.5464</c:v>
              </c:pt>
              <c:pt idx="30">
                <c:v>-1.2337</c:v>
              </c:pt>
              <c:pt idx="31">
                <c:v>-2.0907</c:v>
              </c:pt>
              <c:pt idx="32">
                <c:v>-0.70669999999999999</c:v>
              </c:pt>
              <c:pt idx="33">
                <c:v>0</c:v>
              </c:pt>
              <c:pt idx="34">
                <c:v>1.2685</c:v>
              </c:pt>
              <c:pt idx="35">
                <c:v>-1.4105000000000001</c:v>
              </c:pt>
              <c:pt idx="36">
                <c:v>0.56659999999999999</c:v>
              </c:pt>
              <c:pt idx="37">
                <c:v>1.4025000000000001</c:v>
              </c:pt>
              <c:pt idx="38">
                <c:v>-1.2614000000000001</c:v>
              </c:pt>
              <c:pt idx="39">
                <c:v>0.8427</c:v>
              </c:pt>
              <c:pt idx="40">
                <c:v>-0.14000000000000001</c:v>
              </c:pt>
              <c:pt idx="41">
                <c:v>-1.2685</c:v>
              </c:pt>
              <c:pt idx="42">
                <c:v>-0.7117</c:v>
              </c:pt>
              <c:pt idx="43">
                <c:v>0.42770000000000002</c:v>
              </c:pt>
              <c:pt idx="44">
                <c:v>-3.3264</c:v>
              </c:pt>
              <c:pt idx="45">
                <c:v>0.73260000000000003</c:v>
              </c:pt>
              <c:pt idx="46">
                <c:v>-1.6189</c:v>
              </c:pt>
              <c:pt idx="47">
                <c:v>1.3265</c:v>
              </c:pt>
              <c:pt idx="48">
                <c:v>1.0197000000000001</c:v>
              </c:pt>
              <c:pt idx="49">
                <c:v>-0.58140000000000003</c:v>
              </c:pt>
              <c:pt idx="50">
                <c:v>0.1457</c:v>
              </c:pt>
              <c:pt idx="51">
                <c:v>1.0138</c:v>
              </c:pt>
              <c:pt idx="52">
                <c:v>2.5606</c:v>
              </c:pt>
              <c:pt idx="53">
                <c:v>-0.28129999999999999</c:v>
              </c:pt>
              <c:pt idx="54">
                <c:v>-0.28210000000000002</c:v>
              </c:pt>
              <c:pt idx="55">
                <c:v>-0.7087</c:v>
              </c:pt>
              <c:pt idx="56">
                <c:v>0.42580000000000001</c:v>
              </c:pt>
              <c:pt idx="57">
                <c:v>0.14149999999999999</c:v>
              </c:pt>
              <c:pt idx="58">
                <c:v>3.0642999999999998</c:v>
              </c:pt>
              <c:pt idx="59">
                <c:v>-0.13730000000000001</c:v>
              </c:pt>
              <c:pt idx="60">
                <c:v>0.13730000000000001</c:v>
              </c:pt>
              <c:pt idx="61">
                <c:v>-2.5001000000000002</c:v>
              </c:pt>
              <c:pt idx="62">
                <c:v>-1.4165000000000001</c:v>
              </c:pt>
              <c:pt idx="63">
                <c:v>0.85229999999999995</c:v>
              </c:pt>
              <c:pt idx="64">
                <c:v>-1.2811999999999999</c:v>
              </c:pt>
              <c:pt idx="65">
                <c:v>-0.86329999999999996</c:v>
              </c:pt>
              <c:pt idx="66">
                <c:v>-0.28939999999999999</c:v>
              </c:pt>
              <c:pt idx="67">
                <c:v>-1.3129</c:v>
              </c:pt>
              <c:pt idx="68">
                <c:v>2.4657</c:v>
              </c:pt>
              <c:pt idx="69">
                <c:v>1.2811999999999999</c:v>
              </c:pt>
              <c:pt idx="70">
                <c:v>0.28249999999999997</c:v>
              </c:pt>
              <c:pt idx="71">
                <c:v>-0.84989999999999999</c:v>
              </c:pt>
              <c:pt idx="72">
                <c:v>0</c:v>
              </c:pt>
              <c:pt idx="73">
                <c:v>2.8052000000000001</c:v>
              </c:pt>
              <c:pt idx="74">
                <c:v>0.96350000000000002</c:v>
              </c:pt>
              <c:pt idx="75">
                <c:v>0.27360000000000001</c:v>
              </c:pt>
              <c:pt idx="76">
                <c:v>1.8945000000000001</c:v>
              </c:pt>
              <c:pt idx="77">
                <c:v>-1.0782</c:v>
              </c:pt>
              <c:pt idx="78">
                <c:v>1.3459000000000001</c:v>
              </c:pt>
              <c:pt idx="79">
                <c:v>0.26700000000000002</c:v>
              </c:pt>
              <c:pt idx="80">
                <c:v>0.66449999999999998</c:v>
              </c:pt>
              <c:pt idx="81">
                <c:v>-1.4677</c:v>
              </c:pt>
              <c:pt idx="82">
                <c:v>0.80320000000000003</c:v>
              </c:pt>
              <c:pt idx="83">
                <c:v>0.92900000000000005</c:v>
              </c:pt>
              <c:pt idx="84">
                <c:v>0.26390000000000002</c:v>
              </c:pt>
              <c:pt idx="85">
                <c:v>-1.3263</c:v>
              </c:pt>
              <c:pt idx="86">
                <c:v>0.93020000000000003</c:v>
              </c:pt>
              <c:pt idx="87">
                <c:v>-0.39760000000000001</c:v>
              </c:pt>
              <c:pt idx="88">
                <c:v>-0.13289999999999999</c:v>
              </c:pt>
              <c:pt idx="89">
                <c:v>0.39810000000000001</c:v>
              </c:pt>
              <c:pt idx="90">
                <c:v>-0.53120000000000001</c:v>
              </c:pt>
              <c:pt idx="91">
                <c:v>-0.40029999999999999</c:v>
              </c:pt>
              <c:pt idx="92">
                <c:v>-0.40189999999999998</c:v>
              </c:pt>
              <c:pt idx="93">
                <c:v>-0.40350000000000003</c:v>
              </c:pt>
              <c:pt idx="94">
                <c:v>-0.26989999999999997</c:v>
              </c:pt>
              <c:pt idx="95">
                <c:v>1.4755</c:v>
              </c:pt>
              <c:pt idx="96">
                <c:v>2.1080999999999999</c:v>
              </c:pt>
              <c:pt idx="97">
                <c:v>0.39040000000000002</c:v>
              </c:pt>
              <c:pt idx="98">
                <c:v>-0.7823</c:v>
              </c:pt>
              <c:pt idx="99">
                <c:v>1.0417000000000001</c:v>
              </c:pt>
              <c:pt idx="100">
                <c:v>0.38779999999999998</c:v>
              </c:pt>
              <c:pt idx="101">
                <c:v>0</c:v>
              </c:pt>
              <c:pt idx="102">
                <c:v>-0.7772</c:v>
              </c:pt>
              <c:pt idx="103">
                <c:v>-2.1025999999999998</c:v>
              </c:pt>
              <c:pt idx="104">
                <c:v>-0.8</c:v>
              </c:pt>
              <c:pt idx="105">
                <c:v>1.9881</c:v>
              </c:pt>
              <c:pt idx="106">
                <c:v>1.0444</c:v>
              </c:pt>
              <c:pt idx="107">
                <c:v>-1.9673</c:v>
              </c:pt>
              <c:pt idx="108">
                <c:v>-1.7369000000000001</c:v>
              </c:pt>
              <c:pt idx="109">
                <c:v>0.93899999999999995</c:v>
              </c:pt>
              <c:pt idx="110">
                <c:v>1.3263</c:v>
              </c:pt>
              <c:pt idx="111">
                <c:v>-1.1929000000000001</c:v>
              </c:pt>
              <c:pt idx="112">
                <c:v>-1.0724</c:v>
              </c:pt>
              <c:pt idx="113">
                <c:v>-1.7676000000000001</c:v>
              </c:pt>
              <c:pt idx="114">
                <c:v>-1.2423</c:v>
              </c:pt>
              <c:pt idx="115">
                <c:v>0.69199999999999995</c:v>
              </c:pt>
              <c:pt idx="116">
                <c:v>2.5863</c:v>
              </c:pt>
              <c:pt idx="117">
                <c:v>1.1142000000000001</c:v>
              </c:pt>
              <c:pt idx="118">
                <c:v>0.8276</c:v>
              </c:pt>
              <c:pt idx="119">
                <c:v>0.95689999999999997</c:v>
              </c:pt>
              <c:pt idx="120">
                <c:v>-0.40899999999999997</c:v>
              </c:pt>
              <c:pt idx="121">
                <c:v>-0.54790000000000005</c:v>
              </c:pt>
              <c:pt idx="122">
                <c:v>-1.6620999999999999</c:v>
              </c:pt>
              <c:pt idx="123">
                <c:v>1.2491000000000001</c:v>
              </c:pt>
              <c:pt idx="124">
                <c:v>-1.669</c:v>
              </c:pt>
              <c:pt idx="125">
                <c:v>-1.4125000000000001</c:v>
              </c:pt>
              <c:pt idx="126">
                <c:v>2.6667999999999998</c:v>
              </c:pt>
              <c:pt idx="127">
                <c:v>-2.0994000000000002</c:v>
              </c:pt>
              <c:pt idx="128">
                <c:v>-1.1379999999999999</c:v>
              </c:pt>
              <c:pt idx="129">
                <c:v>-0.28649999999999998</c:v>
              </c:pt>
              <c:pt idx="130">
                <c:v>-1.7366999999999999</c:v>
              </c:pt>
              <c:pt idx="131">
                <c:v>4.4260999999999999</c:v>
              </c:pt>
              <c:pt idx="132">
                <c:v>0</c:v>
              </c:pt>
              <c:pt idx="133">
                <c:v>0.55710000000000004</c:v>
              </c:pt>
              <c:pt idx="134">
                <c:v>0</c:v>
              </c:pt>
              <c:pt idx="135">
                <c:v>2.3336999999999999</c:v>
              </c:pt>
              <c:pt idx="136">
                <c:v>-0.40789999999999998</c:v>
              </c:pt>
              <c:pt idx="137">
                <c:v>-0.5464</c:v>
              </c:pt>
              <c:pt idx="138">
                <c:v>-1.3793</c:v>
              </c:pt>
              <c:pt idx="139">
                <c:v>0.82989999999999997</c:v>
              </c:pt>
              <c:pt idx="140">
                <c:v>-1.6667000000000001</c:v>
              </c:pt>
              <c:pt idx="141">
                <c:v>-1.8374999999999999</c:v>
              </c:pt>
              <c:pt idx="142">
                <c:v>-0.14280000000000001</c:v>
              </c:pt>
              <c:pt idx="143">
                <c:v>-4.9790999999999999</c:v>
              </c:pt>
              <c:pt idx="144">
                <c:v>-2.1244999999999998</c:v>
              </c:pt>
              <c:pt idx="145">
                <c:v>-2.9573999999999998</c:v>
              </c:pt>
              <c:pt idx="146">
                <c:v>3.8734999999999999</c:v>
              </c:pt>
              <c:pt idx="147">
                <c:v>0.90769999999999995</c:v>
              </c:pt>
              <c:pt idx="148">
                <c:v>-1.9773000000000001</c:v>
              </c:pt>
              <c:pt idx="149">
                <c:v>2.5779000000000001</c:v>
              </c:pt>
              <c:pt idx="150">
                <c:v>-1.2048000000000001</c:v>
              </c:pt>
              <c:pt idx="151">
                <c:v>-0.30349999999999999</c:v>
              </c:pt>
              <c:pt idx="152">
                <c:v>-2.1505999999999998</c:v>
              </c:pt>
              <c:pt idx="153">
                <c:v>-0.77939999999999998</c:v>
              </c:pt>
              <c:pt idx="154">
                <c:v>1.7068000000000001</c:v>
              </c:pt>
              <c:pt idx="155">
                <c:v>2.7315999999999998</c:v>
              </c:pt>
              <c:pt idx="156">
                <c:v>1.0425</c:v>
              </c:pt>
              <c:pt idx="157">
                <c:v>-0.74350000000000005</c:v>
              </c:pt>
              <c:pt idx="158">
                <c:v>1.3343</c:v>
              </c:pt>
              <c:pt idx="159">
                <c:v>2.1850999999999998</c:v>
              </c:pt>
              <c:pt idx="160">
                <c:v>-0.57799999999999996</c:v>
              </c:pt>
              <c:pt idx="161">
                <c:v>0.57799999999999996</c:v>
              </c:pt>
              <c:pt idx="162">
                <c:v>-1.1594</c:v>
              </c:pt>
              <c:pt idx="163">
                <c:v>-1.6165</c:v>
              </c:pt>
              <c:pt idx="164">
                <c:v>-1.3423</c:v>
              </c:pt>
              <c:pt idx="165">
                <c:v>-0.75360000000000005</c:v>
              </c:pt>
              <c:pt idx="166">
                <c:v>3.7124000000000001</c:v>
              </c:pt>
              <c:pt idx="167">
                <c:v>0.1457</c:v>
              </c:pt>
              <c:pt idx="168">
                <c:v>0.86960000000000004</c:v>
              </c:pt>
              <c:pt idx="169">
                <c:v>-1.3071999999999999</c:v>
              </c:pt>
              <c:pt idx="170">
                <c:v>-1.77</c:v>
              </c:pt>
              <c:pt idx="171">
                <c:v>2.7881</c:v>
              </c:pt>
              <c:pt idx="172">
                <c:v>2.8532999999999999</c:v>
              </c:pt>
              <c:pt idx="173">
                <c:v>0.14050000000000001</c:v>
              </c:pt>
              <c:pt idx="174">
                <c:v>-0.98799999999999999</c:v>
              </c:pt>
              <c:pt idx="175">
                <c:v>2.1053000000000002</c:v>
              </c:pt>
              <c:pt idx="176">
                <c:v>-4.2560000000000002</c:v>
              </c:pt>
              <c:pt idx="177">
                <c:v>-2.1979000000000002</c:v>
              </c:pt>
              <c:pt idx="178">
                <c:v>-0.44540000000000002</c:v>
              </c:pt>
              <c:pt idx="179">
                <c:v>3.9392</c:v>
              </c:pt>
              <c:pt idx="180">
                <c:v>0.5706</c:v>
              </c:pt>
              <c:pt idx="181">
                <c:v>0</c:v>
              </c:pt>
              <c:pt idx="182">
                <c:v>-0.42770000000000002</c:v>
              </c:pt>
              <c:pt idx="183">
                <c:v>-2.0203000000000002</c:v>
              </c:pt>
              <c:pt idx="184">
                <c:v>0.72619999999999996</c:v>
              </c:pt>
              <c:pt idx="185">
                <c:v>0</c:v>
              </c:pt>
              <c:pt idx="186">
                <c:v>-0.14480000000000001</c:v>
              </c:pt>
              <c:pt idx="187">
                <c:v>0.14480000000000001</c:v>
              </c:pt>
              <c:pt idx="188">
                <c:v>1.2941</c:v>
              </c:pt>
              <c:pt idx="189">
                <c:v>0.56979999999999997</c:v>
              </c:pt>
              <c:pt idx="190">
                <c:v>0</c:v>
              </c:pt>
              <c:pt idx="191">
                <c:v>-0.1421</c:v>
              </c:pt>
              <c:pt idx="192">
                <c:v>1.1315999999999999</c:v>
              </c:pt>
              <c:pt idx="193">
                <c:v>-0.56420000000000003</c:v>
              </c:pt>
              <c:pt idx="194">
                <c:v>0.56420000000000003</c:v>
              </c:pt>
              <c:pt idx="195">
                <c:v>-1.9886999999999999</c:v>
              </c:pt>
              <c:pt idx="196">
                <c:v>0.85709999999999997</c:v>
              </c:pt>
              <c:pt idx="197">
                <c:v>1.9719</c:v>
              </c:pt>
              <c:pt idx="198">
                <c:v>-0.27929999999999999</c:v>
              </c:pt>
              <c:pt idx="199">
                <c:v>0.55789999999999995</c:v>
              </c:pt>
              <c:pt idx="200">
                <c:v>0</c:v>
              </c:pt>
              <c:pt idx="201">
                <c:v>1.6552</c:v>
              </c:pt>
              <c:pt idx="202">
                <c:v>0.68169999999999997</c:v>
              </c:pt>
              <c:pt idx="203">
                <c:v>0.27139999999999997</c:v>
              </c:pt>
              <c:pt idx="204">
                <c:v>0.13539999999999999</c:v>
              </c:pt>
              <c:pt idx="205">
                <c:v>-0.54269999999999996</c:v>
              </c:pt>
              <c:pt idx="206">
                <c:v>1.4855</c:v>
              </c:pt>
              <c:pt idx="207">
                <c:v>0.53480000000000005</c:v>
              </c:pt>
              <c:pt idx="208">
                <c:v>-0.66890000000000005</c:v>
              </c:pt>
              <c:pt idx="209">
                <c:v>-0.53839999999999999</c:v>
              </c:pt>
              <c:pt idx="210">
                <c:v>-2.0451000000000001</c:v>
              </c:pt>
              <c:pt idx="211">
                <c:v>1.0959000000000001</c:v>
              </c:pt>
              <c:pt idx="212">
                <c:v>3.3492999999999999</c:v>
              </c:pt>
              <c:pt idx="213">
                <c:v>0.13170000000000001</c:v>
              </c:pt>
              <c:pt idx="214">
                <c:v>-0.79259999999999997</c:v>
              </c:pt>
              <c:pt idx="215">
                <c:v>0.39710000000000001</c:v>
              </c:pt>
              <c:pt idx="216">
                <c:v>-2.0013999999999998</c:v>
              </c:pt>
              <c:pt idx="217">
                <c:v>-1.2203999999999999</c:v>
              </c:pt>
              <c:pt idx="218">
                <c:v>0.95040000000000002</c:v>
              </c:pt>
              <c:pt idx="219">
                <c:v>-0.81410000000000005</c:v>
              </c:pt>
              <c:pt idx="220">
                <c:v>-0.82079999999999997</c:v>
              </c:pt>
              <c:pt idx="221">
                <c:v>-1.6620999999999999</c:v>
              </c:pt>
              <c:pt idx="222">
                <c:v>2.7549999999999999</c:v>
              </c:pt>
              <c:pt idx="223">
                <c:v>0</c:v>
              </c:pt>
              <c:pt idx="224">
                <c:v>1.3494999999999999</c:v>
              </c:pt>
              <c:pt idx="225">
                <c:v>2.6457000000000002</c:v>
              </c:pt>
              <c:pt idx="226">
                <c:v>-0.78639999999999999</c:v>
              </c:pt>
              <c:pt idx="227">
                <c:v>0.39400000000000002</c:v>
              </c:pt>
              <c:pt idx="228">
                <c:v>-1.1866000000000001</c:v>
              </c:pt>
              <c:pt idx="229">
                <c:v>1.3174999999999999</c:v>
              </c:pt>
              <c:pt idx="230">
                <c:v>-0.13100000000000001</c:v>
              </c:pt>
              <c:pt idx="231">
                <c:v>-2.9257</c:v>
              </c:pt>
              <c:pt idx="232">
                <c:v>1.2073</c:v>
              </c:pt>
              <c:pt idx="233">
                <c:v>0.26629999999999998</c:v>
              </c:pt>
              <c:pt idx="234">
                <c:v>-0.93520000000000003</c:v>
              </c:pt>
              <c:pt idx="235">
                <c:v>-2.7212999999999998</c:v>
              </c:pt>
              <c:pt idx="236">
                <c:v>0.27550000000000002</c:v>
              </c:pt>
              <c:pt idx="237">
                <c:v>-0.27550000000000002</c:v>
              </c:pt>
              <c:pt idx="238">
                <c:v>0.41289999999999999</c:v>
              </c:pt>
              <c:pt idx="239">
                <c:v>4.3017000000000003</c:v>
              </c:pt>
              <c:pt idx="240">
                <c:v>-1.3245</c:v>
              </c:pt>
              <c:pt idx="241">
                <c:v>0.53190000000000004</c:v>
              </c:pt>
              <c:pt idx="242">
                <c:v>-0.53190000000000004</c:v>
              </c:pt>
              <c:pt idx="243">
                <c:v>0.66449999999999998</c:v>
              </c:pt>
              <c:pt idx="244">
                <c:v>0.2646</c:v>
              </c:pt>
              <c:pt idx="245">
                <c:v>0.13200000000000001</c:v>
              </c:pt>
              <c:pt idx="246">
                <c:v>0</c:v>
              </c:pt>
              <c:pt idx="247">
                <c:v>-1.0609999999999999</c:v>
              </c:pt>
              <c:pt idx="248">
                <c:v>0.92900000000000005</c:v>
              </c:pt>
              <c:pt idx="249">
                <c:v>0.13200000000000001</c:v>
              </c:pt>
              <c:pt idx="250">
                <c:v>0.26350000000000001</c:v>
              </c:pt>
              <c:pt idx="251">
                <c:v>-0.52769999999999995</c:v>
              </c:pt>
              <c:pt idx="252">
                <c:v>0</c:v>
              </c:pt>
              <c:pt idx="253">
                <c:v>1.1834</c:v>
              </c:pt>
              <c:pt idx="254">
                <c:v>0</c:v>
              </c:pt>
              <c:pt idx="255">
                <c:v>0.65149999999999997</c:v>
              </c:pt>
              <c:pt idx="256">
                <c:v>0.64729999999999999</c:v>
              </c:pt>
              <c:pt idx="257">
                <c:v>-2.8797999999999999</c:v>
              </c:pt>
              <c:pt idx="258">
                <c:v>0.39760000000000001</c:v>
              </c:pt>
              <c:pt idx="259">
                <c:v>1.4444999999999999</c:v>
              </c:pt>
              <c:pt idx="260">
                <c:v>2.5741000000000001</c:v>
              </c:pt>
              <c:pt idx="261">
                <c:v>-0.2545</c:v>
              </c:pt>
              <c:pt idx="262">
                <c:v>-1.9293</c:v>
              </c:pt>
              <c:pt idx="263">
                <c:v>-0.2601</c:v>
              </c:pt>
              <c:pt idx="264">
                <c:v>-0.7843</c:v>
              </c:pt>
              <c:pt idx="265">
                <c:v>0.39290000000000003</c:v>
              </c:pt>
              <c:pt idx="266">
                <c:v>1.1696</c:v>
              </c:pt>
              <c:pt idx="267">
                <c:v>0</c:v>
              </c:pt>
              <c:pt idx="268">
                <c:v>0.12909999999999999</c:v>
              </c:pt>
              <c:pt idx="269">
                <c:v>0.6431</c:v>
              </c:pt>
              <c:pt idx="270">
                <c:v>-1.4202999999999999</c:v>
              </c:pt>
              <c:pt idx="271">
                <c:v>-0.39090000000000003</c:v>
              </c:pt>
              <c:pt idx="272">
                <c:v>0.90969999999999995</c:v>
              </c:pt>
              <c:pt idx="273">
                <c:v>1.5405</c:v>
              </c:pt>
              <c:pt idx="274">
                <c:v>0</c:v>
              </c:pt>
              <c:pt idx="275">
                <c:v>1.8928</c:v>
              </c:pt>
              <c:pt idx="276">
                <c:v>0</c:v>
              </c:pt>
              <c:pt idx="277">
                <c:v>0</c:v>
              </c:pt>
              <c:pt idx="278">
                <c:v>-0.37569999999999998</c:v>
              </c:pt>
              <c:pt idx="279">
                <c:v>-2.028</c:v>
              </c:pt>
              <c:pt idx="280">
                <c:v>1.2723</c:v>
              </c:pt>
              <c:pt idx="281">
                <c:v>2.4969999999999999</c:v>
              </c:pt>
              <c:pt idx="282">
                <c:v>-1.2406999999999999</c:v>
              </c:pt>
              <c:pt idx="283">
                <c:v>-0.1249</c:v>
              </c:pt>
              <c:pt idx="284">
                <c:v>-0.87890000000000001</c:v>
              </c:pt>
              <c:pt idx="285">
                <c:v>-0.50570000000000004</c:v>
              </c:pt>
              <c:pt idx="286">
                <c:v>0.75760000000000005</c:v>
              </c:pt>
              <c:pt idx="287">
                <c:v>-0.50439999999999996</c:v>
              </c:pt>
              <c:pt idx="288">
                <c:v>0.75570000000000004</c:v>
              </c:pt>
              <c:pt idx="289">
                <c:v>0.37569999999999998</c:v>
              </c:pt>
              <c:pt idx="290">
                <c:v>0</c:v>
              </c:pt>
              <c:pt idx="291">
                <c:v>1.6119000000000001</c:v>
              </c:pt>
              <c:pt idx="292">
                <c:v>2.3100999999999998</c:v>
              </c:pt>
              <c:pt idx="293">
                <c:v>0</c:v>
              </c:pt>
              <c:pt idx="294">
                <c:v>-2.5564</c:v>
              </c:pt>
              <c:pt idx="295">
                <c:v>3.1556000000000002</c:v>
              </c:pt>
              <c:pt idx="296">
                <c:v>-0.59919999999999995</c:v>
              </c:pt>
              <c:pt idx="297">
                <c:v>2.0226999999999999</c:v>
              </c:pt>
              <c:pt idx="298">
                <c:v>0.35270000000000001</c:v>
              </c:pt>
              <c:pt idx="299">
                <c:v>0.23449999999999999</c:v>
              </c:pt>
              <c:pt idx="300">
                <c:v>-2.1303000000000001</c:v>
              </c:pt>
              <c:pt idx="301">
                <c:v>2.5975000000000001</c:v>
              </c:pt>
              <c:pt idx="302">
                <c:v>-0.3503</c:v>
              </c:pt>
              <c:pt idx="303">
                <c:v>-1.651</c:v>
              </c:pt>
              <c:pt idx="304">
                <c:v>0.94679999999999997</c:v>
              </c:pt>
              <c:pt idx="305">
                <c:v>0.23530000000000001</c:v>
              </c:pt>
              <c:pt idx="306">
                <c:v>-0.1176</c:v>
              </c:pt>
              <c:pt idx="307">
                <c:v>-2.2606999999999999</c:v>
              </c:pt>
              <c:pt idx="308">
                <c:v>0.83879999999999999</c:v>
              </c:pt>
              <c:pt idx="309">
                <c:v>-0.95920000000000005</c:v>
              </c:pt>
              <c:pt idx="310">
                <c:v>-1.2121</c:v>
              </c:pt>
              <c:pt idx="311">
                <c:v>0.48659999999999998</c:v>
              </c:pt>
              <c:pt idx="312">
                <c:v>0.2424</c:v>
              </c:pt>
              <c:pt idx="313">
                <c:v>2.7464</c:v>
              </c:pt>
              <c:pt idx="314">
                <c:v>0</c:v>
              </c:pt>
              <c:pt idx="315">
                <c:v>-1.3041</c:v>
              </c:pt>
              <c:pt idx="316">
                <c:v>1.4218</c:v>
              </c:pt>
              <c:pt idx="317">
                <c:v>0.93679999999999997</c:v>
              </c:pt>
              <c:pt idx="318">
                <c:v>-1.7637</c:v>
              </c:pt>
              <c:pt idx="319">
                <c:v>0</c:v>
              </c:pt>
              <c:pt idx="320">
                <c:v>0.35520000000000002</c:v>
              </c:pt>
              <c:pt idx="321">
                <c:v>-0.47389999999999999</c:v>
              </c:pt>
              <c:pt idx="322">
                <c:v>-0.23780000000000001</c:v>
              </c:pt>
              <c:pt idx="323">
                <c:v>2.3530000000000002</c:v>
              </c:pt>
              <c:pt idx="324">
                <c:v>0.92589999999999995</c:v>
              </c:pt>
              <c:pt idx="325">
                <c:v>1.8265</c:v>
              </c:pt>
              <c:pt idx="326">
                <c:v>0.56399999999999995</c:v>
              </c:pt>
              <c:pt idx="327">
                <c:v>-1.4731000000000001</c:v>
              </c:pt>
              <c:pt idx="328">
                <c:v>-2.3096000000000001</c:v>
              </c:pt>
              <c:pt idx="329">
                <c:v>-1.4117999999999999</c:v>
              </c:pt>
              <c:pt idx="330">
                <c:v>0.23669999999999999</c:v>
              </c:pt>
              <c:pt idx="331">
                <c:v>0.82399999999999995</c:v>
              </c:pt>
              <c:pt idx="332">
                <c:v>0.23419999999999999</c:v>
              </c:pt>
              <c:pt idx="333">
                <c:v>-0.11700000000000001</c:v>
              </c:pt>
              <c:pt idx="334">
                <c:v>0.11700000000000001</c:v>
              </c:pt>
              <c:pt idx="335">
                <c:v>-2.4868000000000001</c:v>
              </c:pt>
              <c:pt idx="336">
                <c:v>2.0179</c:v>
              </c:pt>
              <c:pt idx="337">
                <c:v>-3.9550000000000001</c:v>
              </c:pt>
              <c:pt idx="338">
                <c:v>0.85209999999999997</c:v>
              </c:pt>
              <c:pt idx="339">
                <c:v>-0.36430000000000001</c:v>
              </c:pt>
              <c:pt idx="340">
                <c:v>-3.8441999999999998</c:v>
              </c:pt>
              <c:pt idx="341">
                <c:v>1.8786</c:v>
              </c:pt>
              <c:pt idx="342">
                <c:v>-0.74719999999999998</c:v>
              </c:pt>
              <c:pt idx="343">
                <c:v>1.9802999999999999</c:v>
              </c:pt>
              <c:pt idx="344">
                <c:v>0.85419999999999996</c:v>
              </c:pt>
              <c:pt idx="345">
                <c:v>-0.73170000000000002</c:v>
              </c:pt>
              <c:pt idx="346">
                <c:v>4.0773000000000001</c:v>
              </c:pt>
              <c:pt idx="347">
                <c:v>-6.3051000000000004</c:v>
              </c:pt>
              <c:pt idx="348">
                <c:v>-4.3484999999999996</c:v>
              </c:pt>
              <c:pt idx="349">
                <c:v>2.1979000000000002</c:v>
              </c:pt>
              <c:pt idx="350">
                <c:v>-0.51280000000000003</c:v>
              </c:pt>
              <c:pt idx="351">
                <c:v>2.5381999999999998</c:v>
              </c:pt>
              <c:pt idx="352">
                <c:v>-2.4098000000000002</c:v>
              </c:pt>
              <c:pt idx="353">
                <c:v>3.1587999999999998</c:v>
              </c:pt>
              <c:pt idx="354">
                <c:v>-1.2516</c:v>
              </c:pt>
              <c:pt idx="355">
                <c:v>0.75280000000000002</c:v>
              </c:pt>
              <c:pt idx="356">
                <c:v>-1.0049999999999999</c:v>
              </c:pt>
              <c:pt idx="357">
                <c:v>-1.3986000000000001</c:v>
              </c:pt>
              <c:pt idx="358">
                <c:v>3.3986999999999998</c:v>
              </c:pt>
              <c:pt idx="359">
                <c:v>-0.372</c:v>
              </c:pt>
              <c:pt idx="360">
                <c:v>1.3572</c:v>
              </c:pt>
              <c:pt idx="361">
                <c:v>-1.2331000000000001</c:v>
              </c:pt>
              <c:pt idx="362">
                <c:v>-0.62229999999999996</c:v>
              </c:pt>
              <c:pt idx="363">
                <c:v>-0.62619999999999998</c:v>
              </c:pt>
              <c:pt idx="364">
                <c:v>-1.1371</c:v>
              </c:pt>
              <c:pt idx="365">
                <c:v>0.75949999999999995</c:v>
              </c:pt>
              <c:pt idx="366">
                <c:v>0.75380000000000003</c:v>
              </c:pt>
              <c:pt idx="367">
                <c:v>1.7370000000000001</c:v>
              </c:pt>
              <c:pt idx="368">
                <c:v>2.4302999999999999</c:v>
              </c:pt>
              <c:pt idx="369">
                <c:v>1.0746</c:v>
              </c:pt>
              <c:pt idx="370">
                <c:v>-5.9999999999999995E-4</c:v>
              </c:pt>
              <c:pt idx="371">
                <c:v>-0.24660000000000001</c:v>
              </c:pt>
              <c:pt idx="372">
                <c:v>-0.1235</c:v>
              </c:pt>
              <c:pt idx="373">
                <c:v>-1.1187</c:v>
              </c:pt>
              <c:pt idx="374">
                <c:v>-1.1314</c:v>
              </c:pt>
              <c:pt idx="375">
                <c:v>-1.2723</c:v>
              </c:pt>
              <c:pt idx="376">
                <c:v>-3.1212</c:v>
              </c:pt>
              <c:pt idx="377">
                <c:v>0.13200000000000001</c:v>
              </c:pt>
              <c:pt idx="378">
                <c:v>-0.39660000000000001</c:v>
              </c:pt>
              <c:pt idx="379">
                <c:v>-0.93149999999999999</c:v>
              </c:pt>
              <c:pt idx="380">
                <c:v>0</c:v>
              </c:pt>
              <c:pt idx="381">
                <c:v>3.5459999999999998</c:v>
              </c:pt>
              <c:pt idx="382">
                <c:v>-1.0376000000000001</c:v>
              </c:pt>
              <c:pt idx="383">
                <c:v>-3.1791</c:v>
              </c:pt>
              <c:pt idx="384">
                <c:v>0.67069999999999996</c:v>
              </c:pt>
              <c:pt idx="385">
                <c:v>-0.26769999999999999</c:v>
              </c:pt>
              <c:pt idx="386">
                <c:v>2.2532000000000001</c:v>
              </c:pt>
              <c:pt idx="387">
                <c:v>3.8565</c:v>
              </c:pt>
              <c:pt idx="388">
                <c:v>-0.379</c:v>
              </c:pt>
              <c:pt idx="389">
                <c:v>2.5001000000000002</c:v>
              </c:pt>
              <c:pt idx="390">
                <c:v>-1.2423</c:v>
              </c:pt>
              <c:pt idx="391">
                <c:v>-0.25030000000000002</c:v>
              </c:pt>
              <c:pt idx="392">
                <c:v>1.369</c:v>
              </c:pt>
              <c:pt idx="393">
                <c:v>0.61609999999999998</c:v>
              </c:pt>
              <c:pt idx="394">
                <c:v>-1.1117999999999999</c:v>
              </c:pt>
              <c:pt idx="395">
                <c:v>2.2113999999999998</c:v>
              </c:pt>
              <c:pt idx="396">
                <c:v>-0.36520000000000002</c:v>
              </c:pt>
              <c:pt idx="397">
                <c:v>0.85</c:v>
              </c:pt>
              <c:pt idx="398">
                <c:v>0.6028</c:v>
              </c:pt>
              <c:pt idx="399">
                <c:v>-0.2407</c:v>
              </c:pt>
              <c:pt idx="400">
                <c:v>-0.1206</c:v>
              </c:pt>
              <c:pt idx="401">
                <c:v>-1.0915999999999999</c:v>
              </c:pt>
              <c:pt idx="402">
                <c:v>0.48659999999999998</c:v>
              </c:pt>
              <c:pt idx="403">
                <c:v>1.4458</c:v>
              </c:pt>
              <c:pt idx="404">
                <c:v>-1.4458</c:v>
              </c:pt>
              <c:pt idx="405">
                <c:v>0.3634</c:v>
              </c:pt>
              <c:pt idx="406">
                <c:v>-0.85</c:v>
              </c:pt>
              <c:pt idx="407">
                <c:v>1.2121</c:v>
              </c:pt>
              <c:pt idx="408">
                <c:v>-0.72550000000000003</c:v>
              </c:pt>
              <c:pt idx="409">
                <c:v>0.3634</c:v>
              </c:pt>
              <c:pt idx="410">
                <c:v>0</c:v>
              </c:pt>
              <c:pt idx="411">
                <c:v>0.72289999999999999</c:v>
              </c:pt>
              <c:pt idx="412">
                <c:v>0.7177</c:v>
              </c:pt>
              <c:pt idx="413">
                <c:v>0.1191</c:v>
              </c:pt>
              <c:pt idx="414">
                <c:v>-2.4098000000000002</c:v>
              </c:pt>
              <c:pt idx="415">
                <c:v>-1.1035999999999999</c:v>
              </c:pt>
              <c:pt idx="416">
                <c:v>3.2749999999999999</c:v>
              </c:pt>
              <c:pt idx="417">
                <c:v>-0.35859999999999997</c:v>
              </c:pt>
              <c:pt idx="418">
                <c:v>1.0721000000000001</c:v>
              </c:pt>
              <c:pt idx="419">
                <c:v>0.11840000000000001</c:v>
              </c:pt>
              <c:pt idx="420">
                <c:v>0.59</c:v>
              </c:pt>
              <c:pt idx="421">
                <c:v>1.7493000000000001</c:v>
              </c:pt>
              <c:pt idx="422">
                <c:v>0</c:v>
              </c:pt>
              <c:pt idx="423">
                <c:v>-0.92920000000000003</c:v>
              </c:pt>
              <c:pt idx="424">
                <c:v>0.34939999999999999</c:v>
              </c:pt>
              <c:pt idx="425">
                <c:v>-0.81730000000000003</c:v>
              </c:pt>
              <c:pt idx="426">
                <c:v>0.46779999999999999</c:v>
              </c:pt>
              <c:pt idx="427">
                <c:v>0.4657</c:v>
              </c:pt>
              <c:pt idx="428">
                <c:v>-0.2326</c:v>
              </c:pt>
              <c:pt idx="429">
                <c:v>0.58040000000000003</c:v>
              </c:pt>
              <c:pt idx="430">
                <c:v>1.3793</c:v>
              </c:pt>
              <c:pt idx="431">
                <c:v>2.4803999999999999</c:v>
              </c:pt>
              <c:pt idx="432">
                <c:v>-1.0073000000000001</c:v>
              </c:pt>
              <c:pt idx="433">
                <c:v>0.7843</c:v>
              </c:pt>
              <c:pt idx="434">
                <c:v>0.223</c:v>
              </c:pt>
              <c:pt idx="435">
                <c:v>0.88690000000000002</c:v>
              </c:pt>
              <c:pt idx="436">
                <c:v>0.4405</c:v>
              </c:pt>
              <c:pt idx="437">
                <c:v>-2.11</c:v>
              </c:pt>
              <c:pt idx="438">
                <c:v>-2.2702</c:v>
              </c:pt>
              <c:pt idx="439">
                <c:v>-1.8541000000000001</c:v>
              </c:pt>
              <c:pt idx="440">
                <c:v>0.93130000000000002</c:v>
              </c:pt>
              <c:pt idx="441">
                <c:v>0.1158</c:v>
              </c:pt>
              <c:pt idx="442">
                <c:v>1.2650999999999999</c:v>
              </c:pt>
              <c:pt idx="443">
                <c:v>-0.1144</c:v>
              </c:pt>
              <c:pt idx="444">
                <c:v>0.79769999999999996</c:v>
              </c:pt>
              <c:pt idx="445">
                <c:v>-1.6019000000000001</c:v>
              </c:pt>
              <c:pt idx="446">
                <c:v>-0.81069999999999998</c:v>
              </c:pt>
              <c:pt idx="447">
                <c:v>-0.34939999999999999</c:v>
              </c:pt>
              <c:pt idx="448">
                <c:v>-0.35070000000000001</c:v>
              </c:pt>
              <c:pt idx="449">
                <c:v>-0.70509999999999995</c:v>
              </c:pt>
              <c:pt idx="450">
                <c:v>2.9055</c:v>
              </c:pt>
              <c:pt idx="451">
                <c:v>0.91220000000000001</c:v>
              </c:pt>
              <c:pt idx="452">
                <c:v>-0.11360000000000001</c:v>
              </c:pt>
              <c:pt idx="453">
                <c:v>0.7923</c:v>
              </c:pt>
              <c:pt idx="454">
                <c:v>0.56210000000000004</c:v>
              </c:pt>
              <c:pt idx="455">
                <c:v>0.78169999999999995</c:v>
              </c:pt>
              <c:pt idx="456">
                <c:v>0.44400000000000001</c:v>
              </c:pt>
              <c:pt idx="457">
                <c:v>0.11070000000000001</c:v>
              </c:pt>
              <c:pt idx="458">
                <c:v>0.66149999999999998</c:v>
              </c:pt>
              <c:pt idx="459">
                <c:v>-0.55100000000000005</c:v>
              </c:pt>
              <c:pt idx="460">
                <c:v>0.33090000000000003</c:v>
              </c:pt>
              <c:pt idx="461">
                <c:v>0.54920000000000002</c:v>
              </c:pt>
              <c:pt idx="462">
                <c:v>-1.1012999999999999</c:v>
              </c:pt>
              <c:pt idx="463">
                <c:v>0.22120000000000001</c:v>
              </c:pt>
              <c:pt idx="464">
                <c:v>-0.33200000000000002</c:v>
              </c:pt>
              <c:pt idx="465">
                <c:v>0</c:v>
              </c:pt>
              <c:pt idx="466">
                <c:v>-0.222</c:v>
              </c:pt>
              <c:pt idx="467">
                <c:v>0.44350000000000001</c:v>
              </c:pt>
              <c:pt idx="468">
                <c:v>0.1106</c:v>
              </c:pt>
              <c:pt idx="469">
                <c:v>0.88009999999999999</c:v>
              </c:pt>
              <c:pt idx="470">
                <c:v>4.4974999999999996</c:v>
              </c:pt>
              <c:pt idx="471">
                <c:v>-0.20960000000000001</c:v>
              </c:pt>
              <c:pt idx="472">
                <c:v>1.0439000000000001</c:v>
              </c:pt>
              <c:pt idx="473">
                <c:v>-0.41620000000000001</c:v>
              </c:pt>
              <c:pt idx="474">
                <c:v>0.62370000000000003</c:v>
              </c:pt>
              <c:pt idx="475">
                <c:v>2.2542</c:v>
              </c:pt>
              <c:pt idx="476">
                <c:v>-0.81379999999999997</c:v>
              </c:pt>
              <c:pt idx="477">
                <c:v>-1.3368</c:v>
              </c:pt>
              <c:pt idx="478">
                <c:v>0.31009999999999999</c:v>
              </c:pt>
              <c:pt idx="479">
                <c:v>-0.31009999999999999</c:v>
              </c:pt>
              <c:pt idx="480">
                <c:v>1.5408999999999999</c:v>
              </c:pt>
              <c:pt idx="481">
                <c:v>-1.6444000000000001</c:v>
              </c:pt>
              <c:pt idx="482">
                <c:v>1.8481000000000001</c:v>
              </c:pt>
              <c:pt idx="483">
                <c:v>0.1017</c:v>
              </c:pt>
              <c:pt idx="484">
                <c:v>0.80969999999999998</c:v>
              </c:pt>
              <c:pt idx="485">
                <c:v>-0.80969999999999998</c:v>
              </c:pt>
              <c:pt idx="486">
                <c:v>-1.4330000000000001</c:v>
              </c:pt>
              <c:pt idx="487">
                <c:v>-0.30980000000000002</c:v>
              </c:pt>
              <c:pt idx="488">
                <c:v>0.61860000000000004</c:v>
              </c:pt>
              <c:pt idx="489">
                <c:v>-1.3451</c:v>
              </c:pt>
              <c:pt idx="490">
                <c:v>-1.2579</c:v>
              </c:pt>
              <c:pt idx="491">
                <c:v>0.94489999999999996</c:v>
              </c:pt>
              <c:pt idx="492">
                <c:v>-0.52380000000000004</c:v>
              </c:pt>
              <c:pt idx="493">
                <c:v>1.3563000000000001</c:v>
              </c:pt>
              <c:pt idx="494">
                <c:v>-0.51949999999999996</c:v>
              </c:pt>
              <c:pt idx="495">
                <c:v>-0.41749999999999998</c:v>
              </c:pt>
              <c:pt idx="496">
                <c:v>1.4538</c:v>
              </c:pt>
              <c:pt idx="497">
                <c:v>2.6450999999999998</c:v>
              </c:pt>
              <c:pt idx="498">
                <c:v>1.3957999999999999</c:v>
              </c:pt>
              <c:pt idx="499">
                <c:v>0.49380000000000002</c:v>
              </c:pt>
              <c:pt idx="500">
                <c:v>-0.99009999999999998</c:v>
              </c:pt>
              <c:pt idx="501">
                <c:v>-0.79920000000000002</c:v>
              </c:pt>
              <c:pt idx="502">
                <c:v>0.30049999999999999</c:v>
              </c:pt>
              <c:pt idx="503">
                <c:v>0.995</c:v>
              </c:pt>
              <c:pt idx="504">
                <c:v>0</c:v>
              </c:pt>
              <c:pt idx="505">
                <c:v>0.98519999999999996</c:v>
              </c:pt>
              <c:pt idx="506">
                <c:v>-1.4815</c:v>
              </c:pt>
              <c:pt idx="507">
                <c:v>-1.302</c:v>
              </c:pt>
              <c:pt idx="508">
                <c:v>0.1008</c:v>
              </c:pt>
              <c:pt idx="509">
                <c:v>2.1913</c:v>
              </c:pt>
              <c:pt idx="510">
                <c:v>-0.99009999999999998</c:v>
              </c:pt>
              <c:pt idx="511">
                <c:v>0.49630000000000002</c:v>
              </c:pt>
              <c:pt idx="512">
                <c:v>0</c:v>
              </c:pt>
              <c:pt idx="513">
                <c:v>-1.0951</c:v>
              </c:pt>
              <c:pt idx="514">
                <c:v>-0.90500000000000003</c:v>
              </c:pt>
              <c:pt idx="515">
                <c:v>0.30259999999999998</c:v>
              </c:pt>
              <c:pt idx="516">
                <c:v>1.6975</c:v>
              </c:pt>
              <c:pt idx="517">
                <c:v>0.49380000000000002</c:v>
              </c:pt>
              <c:pt idx="518">
                <c:v>0</c:v>
              </c:pt>
              <c:pt idx="519">
                <c:v>0</c:v>
              </c:pt>
              <c:pt idx="520">
                <c:v>1.4670000000000001</c:v>
              </c:pt>
              <c:pt idx="521">
                <c:v>0</c:v>
              </c:pt>
              <c:pt idx="522">
                <c:v>1.9231</c:v>
              </c:pt>
              <c:pt idx="523">
                <c:v>1.8868</c:v>
              </c:pt>
              <c:pt idx="524">
                <c:v>0</c:v>
              </c:pt>
              <c:pt idx="525">
                <c:v>1.8519000000000001</c:v>
              </c:pt>
              <c:pt idx="526">
                <c:v>-1.8519000000000001</c:v>
              </c:pt>
              <c:pt idx="527">
                <c:v>-1.4117999999999999</c:v>
              </c:pt>
              <c:pt idx="528">
                <c:v>1.4117999999999999</c:v>
              </c:pt>
              <c:pt idx="529">
                <c:v>-1.8868</c:v>
              </c:pt>
              <c:pt idx="530">
                <c:v>-1.4389000000000001</c:v>
              </c:pt>
              <c:pt idx="531">
                <c:v>0.96150000000000002</c:v>
              </c:pt>
              <c:pt idx="532">
                <c:v>0.4773</c:v>
              </c:pt>
              <c:pt idx="533">
                <c:v>-2.8988</c:v>
              </c:pt>
              <c:pt idx="534">
                <c:v>1.9418</c:v>
              </c:pt>
              <c:pt idx="535">
                <c:v>0</c:v>
              </c:pt>
              <c:pt idx="536">
                <c:v>-0.96619999999999995</c:v>
              </c:pt>
              <c:pt idx="537">
                <c:v>0.48430000000000001</c:v>
              </c:pt>
              <c:pt idx="538">
                <c:v>-1.4599</c:v>
              </c:pt>
              <c:pt idx="539">
                <c:v>0.48899999999999999</c:v>
              </c:pt>
              <c:pt idx="540">
                <c:v>1.9323999999999999</c:v>
              </c:pt>
              <c:pt idx="541">
                <c:v>-0.47960000000000003</c:v>
              </c:pt>
              <c:pt idx="542">
                <c:v>-0.96619999999999995</c:v>
              </c:pt>
              <c:pt idx="543">
                <c:v>-2.4571000000000001</c:v>
              </c:pt>
              <c:pt idx="544">
                <c:v>-0.49880000000000002</c:v>
              </c:pt>
              <c:pt idx="545">
                <c:v>-1.2073</c:v>
              </c:pt>
              <c:pt idx="546">
                <c:v>-0.1013</c:v>
              </c:pt>
              <c:pt idx="547">
                <c:v>-0.7117</c:v>
              </c:pt>
              <c:pt idx="548">
                <c:v>1.5189999999999999</c:v>
              </c:pt>
              <c:pt idx="549">
                <c:v>-0.50380000000000003</c:v>
              </c:pt>
              <c:pt idx="550">
                <c:v>1.5038</c:v>
              </c:pt>
              <c:pt idx="551">
                <c:v>-0.49880000000000002</c:v>
              </c:pt>
              <c:pt idx="552">
                <c:v>0.49880000000000002</c:v>
              </c:pt>
              <c:pt idx="553">
                <c:v>0.49630000000000002</c:v>
              </c:pt>
              <c:pt idx="554">
                <c:v>-0.49630000000000002</c:v>
              </c:pt>
              <c:pt idx="555">
                <c:v>0</c:v>
              </c:pt>
              <c:pt idx="556">
                <c:v>-2.0101</c:v>
              </c:pt>
              <c:pt idx="557">
                <c:v>-1.0204</c:v>
              </c:pt>
              <c:pt idx="558">
                <c:v>0.81720000000000004</c:v>
              </c:pt>
              <c:pt idx="559">
                <c:v>3.2035</c:v>
              </c:pt>
              <c:pt idx="560">
                <c:v>-0.99009999999999998</c:v>
              </c:pt>
              <c:pt idx="561">
                <c:v>-1.1006</c:v>
              </c:pt>
              <c:pt idx="562">
                <c:v>1.1006</c:v>
              </c:pt>
              <c:pt idx="563">
                <c:v>-0.49880000000000002</c:v>
              </c:pt>
              <c:pt idx="564">
                <c:v>-0.10009999999999999</c:v>
              </c:pt>
              <c:pt idx="565">
                <c:v>6.3975</c:v>
              </c:pt>
              <c:pt idx="566">
                <c:v>1.8605</c:v>
              </c:pt>
              <c:pt idx="567">
                <c:v>-2.3311000000000002</c:v>
              </c:pt>
              <c:pt idx="568">
                <c:v>0</c:v>
              </c:pt>
              <c:pt idx="569">
                <c:v>0.93899999999999995</c:v>
              </c:pt>
              <c:pt idx="570">
                <c:v>1.3920999999999999</c:v>
              </c:pt>
              <c:pt idx="571">
                <c:v>-0.46189999999999998</c:v>
              </c:pt>
              <c:pt idx="572">
                <c:v>1.3793</c:v>
              </c:pt>
              <c:pt idx="573">
                <c:v>0.90910000000000002</c:v>
              </c:pt>
              <c:pt idx="574">
                <c:v>-0.45350000000000001</c:v>
              </c:pt>
              <c:pt idx="575">
                <c:v>1.3544</c:v>
              </c:pt>
              <c:pt idx="576">
                <c:v>0.89290000000000003</c:v>
              </c:pt>
              <c:pt idx="577">
                <c:v>1.7622</c:v>
              </c:pt>
              <c:pt idx="578">
                <c:v>0.43569999999999998</c:v>
              </c:pt>
              <c:pt idx="579">
                <c:v>-0.43569999999999998</c:v>
              </c:pt>
              <c:pt idx="580">
                <c:v>0</c:v>
              </c:pt>
              <c:pt idx="581">
                <c:v>0.86960000000000004</c:v>
              </c:pt>
              <c:pt idx="582">
                <c:v>-0.43380000000000002</c:v>
              </c:pt>
              <c:pt idx="583">
                <c:v>-1.3129</c:v>
              </c:pt>
              <c:pt idx="584">
                <c:v>0</c:v>
              </c:pt>
              <c:pt idx="585">
                <c:v>0.43959999999999999</c:v>
              </c:pt>
              <c:pt idx="586">
                <c:v>-1.3245</c:v>
              </c:pt>
              <c:pt idx="587">
                <c:v>-0.44540000000000002</c:v>
              </c:pt>
              <c:pt idx="588">
                <c:v>-3.6368</c:v>
              </c:pt>
              <c:pt idx="589">
                <c:v>1.3793</c:v>
              </c:pt>
              <c:pt idx="590">
                <c:v>2.2574000000000001</c:v>
              </c:pt>
              <c:pt idx="591">
                <c:v>-2.2574000000000001</c:v>
              </c:pt>
              <c:pt idx="592">
                <c:v>1.3606</c:v>
              </c:pt>
              <c:pt idx="593">
                <c:v>-0.90500000000000003</c:v>
              </c:pt>
              <c:pt idx="594">
                <c:v>-0.4556</c:v>
              </c:pt>
              <c:pt idx="595">
                <c:v>-1.8433999999999999</c:v>
              </c:pt>
              <c:pt idx="596">
                <c:v>1.3856999999999999</c:v>
              </c:pt>
              <c:pt idx="597">
                <c:v>0.4577</c:v>
              </c:pt>
              <c:pt idx="598">
                <c:v>-1.8433999999999999</c:v>
              </c:pt>
              <c:pt idx="599">
                <c:v>0.92589999999999995</c:v>
              </c:pt>
              <c:pt idx="600">
                <c:v>0</c:v>
              </c:pt>
              <c:pt idx="601">
                <c:v>-0.46189999999999998</c:v>
              </c:pt>
              <c:pt idx="602">
                <c:v>-3.2944</c:v>
              </c:pt>
              <c:pt idx="603">
                <c:v>1.4252</c:v>
              </c:pt>
              <c:pt idx="604">
                <c:v>0</c:v>
              </c:pt>
              <c:pt idx="605">
                <c:v>0.47060000000000002</c:v>
              </c:pt>
              <c:pt idx="606">
                <c:v>-0.94340000000000002</c:v>
              </c:pt>
              <c:pt idx="607">
                <c:v>-1.4319999999999999</c:v>
              </c:pt>
              <c:pt idx="608">
                <c:v>-0.4819</c:v>
              </c:pt>
              <c:pt idx="609">
                <c:v>-2.4451000000000001</c:v>
              </c:pt>
              <c:pt idx="610">
                <c:v>0</c:v>
              </c:pt>
              <c:pt idx="611">
                <c:v>0.49380000000000002</c:v>
              </c:pt>
              <c:pt idx="612">
                <c:v>2.9127999999999998</c:v>
              </c:pt>
              <c:pt idx="613">
                <c:v>6.0343</c:v>
              </c:pt>
              <c:pt idx="614">
                <c:v>-2.7399</c:v>
              </c:pt>
              <c:pt idx="615">
                <c:v>1.8349</c:v>
              </c:pt>
              <c:pt idx="616">
                <c:v>-4.0000000000000002E-4</c:v>
              </c:pt>
              <c:pt idx="617">
                <c:v>0</c:v>
              </c:pt>
              <c:pt idx="618">
                <c:v>1.8519000000000001</c:v>
              </c:pt>
              <c:pt idx="619">
                <c:v>-3.7387999999999999</c:v>
              </c:pt>
              <c:pt idx="620">
                <c:v>0.94789999999999996</c:v>
              </c:pt>
              <c:pt idx="621">
                <c:v>0</c:v>
              </c:pt>
              <c:pt idx="622">
                <c:v>3.2484999999999999</c:v>
              </c:pt>
              <c:pt idx="623">
                <c:v>0.4556</c:v>
              </c:pt>
              <c:pt idx="624">
                <c:v>-0.4556</c:v>
              </c:pt>
              <c:pt idx="625">
                <c:v>-1.3793</c:v>
              </c:pt>
              <c:pt idx="626">
                <c:v>0.92169999999999996</c:v>
              </c:pt>
              <c:pt idx="627">
                <c:v>-3.2637</c:v>
              </c:pt>
              <c:pt idx="628">
                <c:v>-7.1704999999999997</c:v>
              </c:pt>
              <c:pt idx="629">
                <c:v>-1.2295</c:v>
              </c:pt>
              <c:pt idx="630">
                <c:v>3.0459000000000001</c:v>
              </c:pt>
              <c:pt idx="631">
                <c:v>1.9802999999999999</c:v>
              </c:pt>
              <c:pt idx="632">
                <c:v>0.48899999999999999</c:v>
              </c:pt>
              <c:pt idx="633">
                <c:v>0</c:v>
              </c:pt>
              <c:pt idx="634">
                <c:v>-2.4693000000000001</c:v>
              </c:pt>
              <c:pt idx="635">
                <c:v>1.9802999999999999</c:v>
              </c:pt>
              <c:pt idx="636">
                <c:v>0.48899999999999999</c:v>
              </c:pt>
              <c:pt idx="637">
                <c:v>-1.9704999999999999</c:v>
              </c:pt>
              <c:pt idx="638">
                <c:v>0</c:v>
              </c:pt>
              <c:pt idx="639">
                <c:v>0</c:v>
              </c:pt>
              <c:pt idx="640">
                <c:v>-1.706</c:v>
              </c:pt>
              <c:pt idx="641">
                <c:v>-1.8387</c:v>
              </c:pt>
              <c:pt idx="642">
                <c:v>-0.62050000000000005</c:v>
              </c:pt>
              <c:pt idx="643">
                <c:v>0</c:v>
              </c:pt>
              <c:pt idx="644">
                <c:v>-0.4158</c:v>
              </c:pt>
              <c:pt idx="645">
                <c:v>1.2423</c:v>
              </c:pt>
              <c:pt idx="646">
                <c:v>-0.41239999999999999</c:v>
              </c:pt>
              <c:pt idx="647">
                <c:v>-0.82989999999999997</c:v>
              </c:pt>
              <c:pt idx="648">
                <c:v>0.51949999999999996</c:v>
              </c:pt>
              <c:pt idx="649">
                <c:v>-1.0417000000000001</c:v>
              </c:pt>
              <c:pt idx="650">
                <c:v>-1.1585000000000001</c:v>
              </c:pt>
              <c:pt idx="651">
                <c:v>0.10589999999999999</c:v>
              </c:pt>
              <c:pt idx="652">
                <c:v>2.6111</c:v>
              </c:pt>
              <c:pt idx="653">
                <c:v>-0.2064</c:v>
              </c:pt>
              <c:pt idx="654">
                <c:v>-1.2474000000000001</c:v>
              </c:pt>
              <c:pt idx="655">
                <c:v>1.2474000000000001</c:v>
              </c:pt>
              <c:pt idx="656">
                <c:v>1.9438</c:v>
              </c:pt>
              <c:pt idx="657">
                <c:v>1.8072999999999999</c:v>
              </c:pt>
              <c:pt idx="658">
                <c:v>1.4815</c:v>
              </c:pt>
              <c:pt idx="659">
                <c:v>0</c:v>
              </c:pt>
              <c:pt idx="660">
                <c:v>-1.4815</c:v>
              </c:pt>
              <c:pt idx="661">
                <c:v>0.99009999999999998</c:v>
              </c:pt>
              <c:pt idx="662">
                <c:v>0.4914</c:v>
              </c:pt>
              <c:pt idx="663">
                <c:v>0.97560000000000002</c:v>
              </c:pt>
              <c:pt idx="664">
                <c:v>1.4458</c:v>
              </c:pt>
              <c:pt idx="665">
                <c:v>0</c:v>
              </c:pt>
              <c:pt idx="666">
                <c:v>-0.96150000000000002</c:v>
              </c:pt>
              <c:pt idx="667">
                <c:v>-0.97089999999999999</c:v>
              </c:pt>
              <c:pt idx="668">
                <c:v>0</c:v>
              </c:pt>
              <c:pt idx="669">
                <c:v>2.8847999999999998</c:v>
              </c:pt>
              <c:pt idx="670">
                <c:v>0</c:v>
              </c:pt>
              <c:pt idx="671">
                <c:v>-2.3982000000000001</c:v>
              </c:pt>
              <c:pt idx="672">
                <c:v>2.3982000000000001</c:v>
              </c:pt>
              <c:pt idx="673">
                <c:v>-0.47510000000000002</c:v>
              </c:pt>
              <c:pt idx="674">
                <c:v>-1.9231</c:v>
              </c:pt>
              <c:pt idx="675">
                <c:v>-1.4670000000000001</c:v>
              </c:pt>
              <c:pt idx="676">
                <c:v>1.4670000000000001</c:v>
              </c:pt>
              <c:pt idx="677">
                <c:v>-2.4571000000000001</c:v>
              </c:pt>
              <c:pt idx="678">
                <c:v>0.99009999999999998</c:v>
              </c:pt>
              <c:pt idx="679">
                <c:v>1.4670000000000001</c:v>
              </c:pt>
              <c:pt idx="680">
                <c:v>1.9231</c:v>
              </c:pt>
              <c:pt idx="681">
                <c:v>-0.95689999999999997</c:v>
              </c:pt>
              <c:pt idx="682">
                <c:v>-0.96619999999999995</c:v>
              </c:pt>
              <c:pt idx="683">
                <c:v>1.9231</c:v>
              </c:pt>
              <c:pt idx="684">
                <c:v>0</c:v>
              </c:pt>
              <c:pt idx="685">
                <c:v>1.4185000000000001</c:v>
              </c:pt>
              <c:pt idx="686">
                <c:v>-1.4185000000000001</c:v>
              </c:pt>
              <c:pt idx="687">
                <c:v>1.8868</c:v>
              </c:pt>
              <c:pt idx="688">
                <c:v>-0.93899999999999995</c:v>
              </c:pt>
              <c:pt idx="689">
                <c:v>0.93899999999999995</c:v>
              </c:pt>
              <c:pt idx="690">
                <c:v>2.7652000000000001</c:v>
              </c:pt>
              <c:pt idx="691">
                <c:v>0</c:v>
              </c:pt>
              <c:pt idx="692">
                <c:v>1.3544</c:v>
              </c:pt>
              <c:pt idx="693">
                <c:v>-0.44940000000000002</c:v>
              </c:pt>
              <c:pt idx="694">
                <c:v>-0.90500000000000003</c:v>
              </c:pt>
              <c:pt idx="695">
                <c:v>-2.7652000000000001</c:v>
              </c:pt>
              <c:pt idx="696">
                <c:v>2.3096000000000001</c:v>
              </c:pt>
              <c:pt idx="697">
                <c:v>0</c:v>
              </c:pt>
              <c:pt idx="698">
                <c:v>0.4556</c:v>
              </c:pt>
              <c:pt idx="699">
                <c:v>-0.4556</c:v>
              </c:pt>
              <c:pt idx="700">
                <c:v>0</c:v>
              </c:pt>
              <c:pt idx="701">
                <c:v>-0.4577</c:v>
              </c:pt>
              <c:pt idx="702">
                <c:v>-2.3203</c:v>
              </c:pt>
              <c:pt idx="703">
                <c:v>0.46839999999999998</c:v>
              </c:pt>
              <c:pt idx="704">
                <c:v>0</c:v>
              </c:pt>
              <c:pt idx="705">
                <c:v>-0.93899999999999995</c:v>
              </c:pt>
              <c:pt idx="706">
                <c:v>-1.4252</c:v>
              </c:pt>
              <c:pt idx="707">
                <c:v>0.4773</c:v>
              </c:pt>
              <c:pt idx="708">
                <c:v>-1.9231</c:v>
              </c:pt>
              <c:pt idx="709">
                <c:v>0.48430000000000001</c:v>
              </c:pt>
              <c:pt idx="710">
                <c:v>0.4819</c:v>
              </c:pt>
              <c:pt idx="711">
                <c:v>0</c:v>
              </c:pt>
              <c:pt idx="712">
                <c:v>0.95689999999999997</c:v>
              </c:pt>
              <c:pt idx="713">
                <c:v>-1.9231</c:v>
              </c:pt>
              <c:pt idx="714">
                <c:v>-1.9608000000000001</c:v>
              </c:pt>
              <c:pt idx="715">
                <c:v>-0.995</c:v>
              </c:pt>
              <c:pt idx="716">
                <c:v>0.995</c:v>
              </c:pt>
              <c:pt idx="717">
                <c:v>2.4451000000000001</c:v>
              </c:pt>
              <c:pt idx="718">
                <c:v>1.4389000000000001</c:v>
              </c:pt>
              <c:pt idx="719">
                <c:v>0</c:v>
              </c:pt>
              <c:pt idx="720">
                <c:v>0</c:v>
              </c:pt>
              <c:pt idx="721">
                <c:v>-0.4773</c:v>
              </c:pt>
              <c:pt idx="722">
                <c:v>-0.47960000000000003</c:v>
              </c:pt>
              <c:pt idx="723">
                <c:v>0.95689999999999997</c:v>
              </c:pt>
              <c:pt idx="724">
                <c:v>-0.95689999999999997</c:v>
              </c:pt>
              <c:pt idx="725">
                <c:v>-0.96619999999999995</c:v>
              </c:pt>
              <c:pt idx="726">
                <c:v>1.9231</c:v>
              </c:pt>
              <c:pt idx="727">
                <c:v>-0.95689999999999997</c:v>
              </c:pt>
              <c:pt idx="728">
                <c:v>0.95689999999999997</c:v>
              </c:pt>
              <c:pt idx="729">
                <c:v>-1.9231</c:v>
              </c:pt>
              <c:pt idx="730">
                <c:v>-0.48659999999999998</c:v>
              </c:pt>
              <c:pt idx="731">
                <c:v>-0.48899999999999999</c:v>
              </c:pt>
              <c:pt idx="732">
                <c:v>1.4599</c:v>
              </c:pt>
              <c:pt idx="733">
                <c:v>-2.4451000000000001</c:v>
              </c:pt>
              <c:pt idx="734">
                <c:v>1.4742</c:v>
              </c:pt>
              <c:pt idx="735">
                <c:v>-0.48899999999999999</c:v>
              </c:pt>
              <c:pt idx="736">
                <c:v>1.9418</c:v>
              </c:pt>
              <c:pt idx="737">
                <c:v>-0.96619999999999995</c:v>
              </c:pt>
              <c:pt idx="738">
                <c:v>0</c:v>
              </c:pt>
              <c:pt idx="739">
                <c:v>0.96619999999999995</c:v>
              </c:pt>
              <c:pt idx="740">
                <c:v>0.47960000000000003</c:v>
              </c:pt>
              <c:pt idx="741">
                <c:v>1.4252</c:v>
              </c:pt>
              <c:pt idx="742">
                <c:v>-0.4728</c:v>
              </c:pt>
              <c:pt idx="743">
                <c:v>-0.95240000000000002</c:v>
              </c:pt>
              <c:pt idx="744">
                <c:v>-1.9323999999999999</c:v>
              </c:pt>
              <c:pt idx="745">
                <c:v>0</c:v>
              </c:pt>
              <c:pt idx="746">
                <c:v>-0.48899999999999999</c:v>
              </c:pt>
              <c:pt idx="747">
                <c:v>1.9418</c:v>
              </c:pt>
              <c:pt idx="748">
                <c:v>-2.927</c:v>
              </c:pt>
              <c:pt idx="749">
                <c:v>0.98519999999999996</c:v>
              </c:pt>
              <c:pt idx="750">
                <c:v>0.97560000000000002</c:v>
              </c:pt>
              <c:pt idx="751">
                <c:v>0.48430000000000001</c:v>
              </c:pt>
              <c:pt idx="752">
                <c:v>1.4389000000000001</c:v>
              </c:pt>
              <c:pt idx="753">
                <c:v>1.8868</c:v>
              </c:pt>
              <c:pt idx="754">
                <c:v>0.4662</c:v>
              </c:pt>
              <c:pt idx="755">
                <c:v>0</c:v>
              </c:pt>
              <c:pt idx="756">
                <c:v>-0.93459999999999999</c:v>
              </c:pt>
              <c:pt idx="757">
                <c:v>0.93459999999999999</c:v>
              </c:pt>
              <c:pt idx="758">
                <c:v>0</c:v>
              </c:pt>
              <c:pt idx="759">
                <c:v>0.46400000000000002</c:v>
              </c:pt>
              <c:pt idx="760">
                <c:v>-2.8170999999999999</c:v>
              </c:pt>
              <c:pt idx="761">
                <c:v>-4.3803000000000001</c:v>
              </c:pt>
              <c:pt idx="762">
                <c:v>1.4815</c:v>
              </c:pt>
              <c:pt idx="763">
                <c:v>1.9418</c:v>
              </c:pt>
              <c:pt idx="764">
                <c:v>-0.96619999999999995</c:v>
              </c:pt>
              <c:pt idx="765">
                <c:v>1.4458</c:v>
              </c:pt>
              <c:pt idx="766">
                <c:v>0.4773</c:v>
              </c:pt>
              <c:pt idx="767">
                <c:v>0</c:v>
              </c:pt>
              <c:pt idx="768">
                <c:v>2.3530000000000002</c:v>
              </c:pt>
              <c:pt idx="769">
                <c:v>0.92589999999999995</c:v>
              </c:pt>
              <c:pt idx="770">
                <c:v>-0.46189999999999998</c:v>
              </c:pt>
              <c:pt idx="771">
                <c:v>0</c:v>
              </c:pt>
              <c:pt idx="772">
                <c:v>-1.3986000000000001</c:v>
              </c:pt>
              <c:pt idx="773">
                <c:v>0.93459999999999999</c:v>
              </c:pt>
              <c:pt idx="774">
                <c:v>-0.4662</c:v>
              </c:pt>
              <c:pt idx="775">
                <c:v>0.93020000000000003</c:v>
              </c:pt>
              <c:pt idx="776">
                <c:v>-0.46400000000000002</c:v>
              </c:pt>
              <c:pt idx="777">
                <c:v>0.46400000000000002</c:v>
              </c:pt>
              <c:pt idx="778">
                <c:v>0</c:v>
              </c:pt>
              <c:pt idx="779">
                <c:v>-0.46400000000000002</c:v>
              </c:pt>
              <c:pt idx="780">
                <c:v>2.2989999999999999</c:v>
              </c:pt>
              <c:pt idx="781">
                <c:v>2.6907000000000001</c:v>
              </c:pt>
              <c:pt idx="782">
                <c:v>1.3187</c:v>
              </c:pt>
              <c:pt idx="783">
                <c:v>-1.3187</c:v>
              </c:pt>
              <c:pt idx="784">
                <c:v>0.88109999999999999</c:v>
              </c:pt>
              <c:pt idx="785">
                <c:v>-0.88109999999999999</c:v>
              </c:pt>
              <c:pt idx="786">
                <c:v>3.0503</c:v>
              </c:pt>
              <c:pt idx="787">
                <c:v>-1.2959000000000001</c:v>
              </c:pt>
              <c:pt idx="788">
                <c:v>-0.87339999999999995</c:v>
              </c:pt>
              <c:pt idx="789">
                <c:v>0.43759999999999999</c:v>
              </c:pt>
              <c:pt idx="790">
                <c:v>0</c:v>
              </c:pt>
              <c:pt idx="791">
                <c:v>-2.2075999999999998</c:v>
              </c:pt>
              <c:pt idx="792">
                <c:v>0.44540000000000002</c:v>
              </c:pt>
              <c:pt idx="793">
                <c:v>0</c:v>
              </c:pt>
              <c:pt idx="794">
                <c:v>0.88500000000000001</c:v>
              </c:pt>
              <c:pt idx="795">
                <c:v>1.7467999999999999</c:v>
              </c:pt>
              <c:pt idx="796">
                <c:v>0.432</c:v>
              </c:pt>
              <c:pt idx="797">
                <c:v>1.2847999999999999</c:v>
              </c:pt>
              <c:pt idx="798">
                <c:v>0.84750000000000003</c:v>
              </c:pt>
              <c:pt idx="799">
                <c:v>0.84030000000000005</c:v>
              </c:pt>
              <c:pt idx="800">
                <c:v>0.41749999999999998</c:v>
              </c:pt>
              <c:pt idx="801">
                <c:v>-1.2579</c:v>
              </c:pt>
              <c:pt idx="802">
                <c:v>-0.84750000000000003</c:v>
              </c:pt>
              <c:pt idx="803">
                <c:v>1.2685</c:v>
              </c:pt>
              <c:pt idx="804">
                <c:v>0</c:v>
              </c:pt>
              <c:pt idx="805">
                <c:v>0.41930000000000001</c:v>
              </c:pt>
              <c:pt idx="806">
                <c:v>0.41749999999999998</c:v>
              </c:pt>
              <c:pt idx="807">
                <c:v>0.4158</c:v>
              </c:pt>
              <c:pt idx="808">
                <c:v>1.6460999999999999</c:v>
              </c:pt>
              <c:pt idx="809">
                <c:v>-1.232</c:v>
              </c:pt>
              <c:pt idx="810">
                <c:v>-0.82989999999999997</c:v>
              </c:pt>
              <c:pt idx="811">
                <c:v>2.4693000000000001</c:v>
              </c:pt>
              <c:pt idx="812">
                <c:v>-1.2270000000000001</c:v>
              </c:pt>
              <c:pt idx="813">
                <c:v>0</c:v>
              </c:pt>
              <c:pt idx="814">
                <c:v>-0.41239999999999999</c:v>
              </c:pt>
              <c:pt idx="815">
                <c:v>0</c:v>
              </c:pt>
              <c:pt idx="816">
                <c:v>-2.0878000000000001</c:v>
              </c:pt>
              <c:pt idx="817">
                <c:v>0.42109999999999997</c:v>
              </c:pt>
              <c:pt idx="818">
                <c:v>1.2525999999999999</c:v>
              </c:pt>
              <c:pt idx="819">
                <c:v>-1.6737</c:v>
              </c:pt>
              <c:pt idx="820">
                <c:v>-0.42280000000000001</c:v>
              </c:pt>
              <c:pt idx="821">
                <c:v>-0.85109999999999997</c:v>
              </c:pt>
              <c:pt idx="822">
                <c:v>0.85109999999999997</c:v>
              </c:pt>
              <c:pt idx="823">
                <c:v>0.42280000000000001</c:v>
              </c:pt>
              <c:pt idx="824">
                <c:v>0.84030000000000005</c:v>
              </c:pt>
              <c:pt idx="825">
                <c:v>0.41749999999999998</c:v>
              </c:pt>
              <c:pt idx="826">
                <c:v>-1.2579</c:v>
              </c:pt>
              <c:pt idx="827">
                <c:v>1.6737</c:v>
              </c:pt>
              <c:pt idx="828">
                <c:v>1.2371000000000001</c:v>
              </c:pt>
              <c:pt idx="829">
                <c:v>0</c:v>
              </c:pt>
              <c:pt idx="830">
                <c:v>0</c:v>
              </c:pt>
              <c:pt idx="831">
                <c:v>-0.82299999999999995</c:v>
              </c:pt>
              <c:pt idx="832">
                <c:v>0</c:v>
              </c:pt>
              <c:pt idx="833">
                <c:v>-0.41410000000000002</c:v>
              </c:pt>
              <c:pt idx="834">
                <c:v>1.2371000000000001</c:v>
              </c:pt>
              <c:pt idx="835">
                <c:v>0</c:v>
              </c:pt>
              <c:pt idx="836">
                <c:v>0.81630000000000003</c:v>
              </c:pt>
              <c:pt idx="837">
                <c:v>0.40570000000000001</c:v>
              </c:pt>
              <c:pt idx="838">
                <c:v>0.40400000000000003</c:v>
              </c:pt>
              <c:pt idx="839">
                <c:v>-1.6261000000000001</c:v>
              </c:pt>
              <c:pt idx="840">
                <c:v>-2.0705</c:v>
              </c:pt>
              <c:pt idx="841">
                <c:v>2.4794999999999998</c:v>
              </c:pt>
              <c:pt idx="842">
                <c:v>0.81299999999999994</c:v>
              </c:pt>
              <c:pt idx="843">
                <c:v>-0.40570000000000001</c:v>
              </c:pt>
              <c:pt idx="844">
                <c:v>-0.4073</c:v>
              </c:pt>
              <c:pt idx="845">
                <c:v>0.4073</c:v>
              </c:pt>
              <c:pt idx="846">
                <c:v>1.2121</c:v>
              </c:pt>
              <c:pt idx="847">
                <c:v>0.40079999999999999</c:v>
              </c:pt>
              <c:pt idx="848">
                <c:v>-1.2073</c:v>
              </c:pt>
              <c:pt idx="849">
                <c:v>-0.40570000000000001</c:v>
              </c:pt>
              <c:pt idx="850">
                <c:v>0.80969999999999998</c:v>
              </c:pt>
              <c:pt idx="851">
                <c:v>0.80320000000000003</c:v>
              </c:pt>
              <c:pt idx="852">
                <c:v>0.3992</c:v>
              </c:pt>
              <c:pt idx="853">
                <c:v>0.39760000000000001</c:v>
              </c:pt>
              <c:pt idx="854">
                <c:v>-1.1976</c:v>
              </c:pt>
              <c:pt idx="855">
                <c:v>-1.2121</c:v>
              </c:pt>
              <c:pt idx="856">
                <c:v>0</c:v>
              </c:pt>
              <c:pt idx="857">
                <c:v>0.40570000000000001</c:v>
              </c:pt>
              <c:pt idx="858">
                <c:v>0.80649999999999999</c:v>
              </c:pt>
              <c:pt idx="859">
                <c:v>0.8</c:v>
              </c:pt>
              <c:pt idx="860">
                <c:v>0.79369999999999996</c:v>
              </c:pt>
              <c:pt idx="861">
                <c:v>1.1788000000000001</c:v>
              </c:pt>
              <c:pt idx="862">
                <c:v>3.4552</c:v>
              </c:pt>
              <c:pt idx="863">
                <c:v>1.4982</c:v>
              </c:pt>
              <c:pt idx="864">
                <c:v>0.37109999999999999</c:v>
              </c:pt>
              <c:pt idx="865">
                <c:v>0.73799999999999999</c:v>
              </c:pt>
              <c:pt idx="866">
                <c:v>-1.1091</c:v>
              </c:pt>
              <c:pt idx="867">
                <c:v>-0.37240000000000001</c:v>
              </c:pt>
              <c:pt idx="868">
                <c:v>0.37240000000000001</c:v>
              </c:pt>
              <c:pt idx="869">
                <c:v>1.476</c:v>
              </c:pt>
              <c:pt idx="870">
                <c:v>-0.73540000000000005</c:v>
              </c:pt>
              <c:pt idx="871">
                <c:v>0.37659999999999999</c:v>
              </c:pt>
              <c:pt idx="872">
                <c:v>-1.8976</c:v>
              </c:pt>
              <c:pt idx="873">
                <c:v>-4.7068000000000003</c:v>
              </c:pt>
              <c:pt idx="874">
                <c:v>-0.80649999999999999</c:v>
              </c:pt>
              <c:pt idx="875">
                <c:v>0</c:v>
              </c:pt>
              <c:pt idx="876">
                <c:v>0.80649999999999999</c:v>
              </c:pt>
              <c:pt idx="877">
                <c:v>0.40079999999999999</c:v>
              </c:pt>
              <c:pt idx="878">
                <c:v>-1.6129</c:v>
              </c:pt>
              <c:pt idx="879">
                <c:v>-1.2270000000000001</c:v>
              </c:pt>
              <c:pt idx="880">
                <c:v>2.0367000000000002</c:v>
              </c:pt>
              <c:pt idx="881">
                <c:v>0.40239999999999998</c:v>
              </c:pt>
              <c:pt idx="882">
                <c:v>-2.8515000000000001</c:v>
              </c:pt>
              <c:pt idx="883">
                <c:v>-0.82989999999999997</c:v>
              </c:pt>
              <c:pt idx="884">
                <c:v>2.8748999999999998</c:v>
              </c:pt>
              <c:pt idx="885">
                <c:v>-3.2925</c:v>
              </c:pt>
              <c:pt idx="886">
                <c:v>0.83330000000000004</c:v>
              </c:pt>
              <c:pt idx="887">
                <c:v>0.82650000000000001</c:v>
              </c:pt>
              <c:pt idx="888">
                <c:v>-0.82650000000000001</c:v>
              </c:pt>
              <c:pt idx="889">
                <c:v>0</c:v>
              </c:pt>
              <c:pt idx="890">
                <c:v>0.82650000000000001</c:v>
              </c:pt>
              <c:pt idx="891">
                <c:v>0.81969999999999998</c:v>
              </c:pt>
              <c:pt idx="892">
                <c:v>1.2171000000000001</c:v>
              </c:pt>
              <c:pt idx="893">
                <c:v>0</c:v>
              </c:pt>
              <c:pt idx="894">
                <c:v>-0.80969999999999998</c:v>
              </c:pt>
              <c:pt idx="895">
                <c:v>0.80969999999999998</c:v>
              </c:pt>
              <c:pt idx="896">
                <c:v>1.2023999999999999</c:v>
              </c:pt>
              <c:pt idx="897">
                <c:v>-0.8</c:v>
              </c:pt>
              <c:pt idx="898">
                <c:v>0.8</c:v>
              </c:pt>
              <c:pt idx="899">
                <c:v>-0.3992</c:v>
              </c:pt>
              <c:pt idx="900">
                <c:v>-0.40079999999999999</c:v>
              </c:pt>
              <c:pt idx="901">
                <c:v>0.8</c:v>
              </c:pt>
              <c:pt idx="902">
                <c:v>-0.3992</c:v>
              </c:pt>
              <c:pt idx="903">
                <c:v>-0.80320000000000003</c:v>
              </c:pt>
              <c:pt idx="904">
                <c:v>3.5647000000000002</c:v>
              </c:pt>
              <c:pt idx="905">
                <c:v>-1.9646999999999999</c:v>
              </c:pt>
              <c:pt idx="906">
                <c:v>1.5748</c:v>
              </c:pt>
              <c:pt idx="907">
                <c:v>-0.39140000000000003</c:v>
              </c:pt>
              <c:pt idx="908">
                <c:v>-0.39290000000000003</c:v>
              </c:pt>
              <c:pt idx="909">
                <c:v>0</c:v>
              </c:pt>
              <c:pt idx="910">
                <c:v>-1.5872999999999999</c:v>
              </c:pt>
              <c:pt idx="911">
                <c:v>0</c:v>
              </c:pt>
              <c:pt idx="912">
                <c:v>-1.6129</c:v>
              </c:pt>
              <c:pt idx="913">
                <c:v>0.40570000000000001</c:v>
              </c:pt>
              <c:pt idx="914">
                <c:v>-0.81299999999999994</c:v>
              </c:pt>
              <c:pt idx="915">
                <c:v>1.6194999999999999</c:v>
              </c:pt>
              <c:pt idx="916">
                <c:v>0.40079999999999999</c:v>
              </c:pt>
              <c:pt idx="917">
                <c:v>0</c:v>
              </c:pt>
              <c:pt idx="918">
                <c:v>-2.4293</c:v>
              </c:pt>
              <c:pt idx="919">
                <c:v>0.40899999999999997</c:v>
              </c:pt>
              <c:pt idx="920">
                <c:v>0.4073</c:v>
              </c:pt>
              <c:pt idx="921">
                <c:v>-0.81630000000000003</c:v>
              </c:pt>
              <c:pt idx="922">
                <c:v>-0.82299999999999995</c:v>
              </c:pt>
              <c:pt idx="923">
                <c:v>-0.41410000000000002</c:v>
              </c:pt>
              <c:pt idx="924">
                <c:v>-0.4158</c:v>
              </c:pt>
              <c:pt idx="925">
                <c:v>1.2423</c:v>
              </c:pt>
              <c:pt idx="926">
                <c:v>-0.41239999999999999</c:v>
              </c:pt>
              <c:pt idx="927">
                <c:v>2.8515000000000001</c:v>
              </c:pt>
              <c:pt idx="928">
                <c:v>1.1976</c:v>
              </c:pt>
              <c:pt idx="929">
                <c:v>-0.79679999999999995</c:v>
              </c:pt>
              <c:pt idx="930">
                <c:v>-2.0203000000000002</c:v>
              </c:pt>
              <c:pt idx="931">
                <c:v>2.0203000000000002</c:v>
              </c:pt>
              <c:pt idx="932">
                <c:v>-3.6663999999999999</c:v>
              </c:pt>
              <c:pt idx="933">
                <c:v>0.41410000000000002</c:v>
              </c:pt>
              <c:pt idx="934">
                <c:v>0.41239999999999999</c:v>
              </c:pt>
              <c:pt idx="935">
                <c:v>0</c:v>
              </c:pt>
              <c:pt idx="936">
                <c:v>1.6327</c:v>
              </c:pt>
              <c:pt idx="937">
                <c:v>2.0041000000000002</c:v>
              </c:pt>
              <c:pt idx="938">
                <c:v>-0.79679999999999995</c:v>
              </c:pt>
              <c:pt idx="939">
                <c:v>3.1499000000000001</c:v>
              </c:pt>
              <c:pt idx="940">
                <c:v>-1.1696</c:v>
              </c:pt>
              <c:pt idx="941">
                <c:v>-1.5810999999999999</c:v>
              </c:pt>
              <c:pt idx="942">
                <c:v>1.9724999999999999</c:v>
              </c:pt>
              <c:pt idx="943">
                <c:v>0</c:v>
              </c:pt>
              <c:pt idx="944">
                <c:v>0.7782</c:v>
              </c:pt>
              <c:pt idx="945">
                <c:v>-0.38840000000000002</c:v>
              </c:pt>
              <c:pt idx="946">
                <c:v>1.5444</c:v>
              </c:pt>
              <c:pt idx="947">
                <c:v>0.38240000000000002</c:v>
              </c:pt>
              <c:pt idx="948">
                <c:v>0.76049999999999995</c:v>
              </c:pt>
              <c:pt idx="949">
                <c:v>0</c:v>
              </c:pt>
              <c:pt idx="950">
                <c:v>0</c:v>
              </c:pt>
              <c:pt idx="951">
                <c:v>-0.76049999999999995</c:v>
              </c:pt>
              <c:pt idx="952">
                <c:v>2.6366999999999998</c:v>
              </c:pt>
              <c:pt idx="953">
                <c:v>-0.37240000000000001</c:v>
              </c:pt>
              <c:pt idx="954">
                <c:v>-1.5038</c:v>
              </c:pt>
              <c:pt idx="955">
                <c:v>1.5038</c:v>
              </c:pt>
              <c:pt idx="956">
                <c:v>0.74350000000000005</c:v>
              </c:pt>
              <c:pt idx="957">
                <c:v>-1.4925999999999999</c:v>
              </c:pt>
              <c:pt idx="958">
                <c:v>-1.1342000000000001</c:v>
              </c:pt>
              <c:pt idx="959">
                <c:v>3.3647999999999998</c:v>
              </c:pt>
              <c:pt idx="960">
                <c:v>2.1819000000000002</c:v>
              </c:pt>
              <c:pt idx="961">
                <c:v>-0.3604</c:v>
              </c:pt>
              <c:pt idx="962">
                <c:v>0</c:v>
              </c:pt>
              <c:pt idx="963">
                <c:v>0.3604</c:v>
              </c:pt>
              <c:pt idx="964">
                <c:v>0</c:v>
              </c:pt>
              <c:pt idx="965">
                <c:v>0.71679999999999999</c:v>
              </c:pt>
              <c:pt idx="966">
                <c:v>1.0657000000000001</c:v>
              </c:pt>
              <c:pt idx="967">
                <c:v>-1.0657000000000001</c:v>
              </c:pt>
              <c:pt idx="968">
                <c:v>-1.8019000000000001</c:v>
              </c:pt>
              <c:pt idx="969">
                <c:v>0.36299999999999999</c:v>
              </c:pt>
              <c:pt idx="970">
                <c:v>0.72199999999999998</c:v>
              </c:pt>
              <c:pt idx="971">
                <c:v>-1.085</c:v>
              </c:pt>
              <c:pt idx="972">
                <c:v>0.36299999999999999</c:v>
              </c:pt>
              <c:pt idx="973">
                <c:v>0</c:v>
              </c:pt>
              <c:pt idx="974">
                <c:v>-1.4599</c:v>
              </c:pt>
              <c:pt idx="975">
                <c:v>-1.1091</c:v>
              </c:pt>
              <c:pt idx="976">
                <c:v>0.37109999999999999</c:v>
              </c:pt>
              <c:pt idx="977">
                <c:v>0.73799999999999999</c:v>
              </c:pt>
              <c:pt idx="978">
                <c:v>-2.2305999999999999</c:v>
              </c:pt>
              <c:pt idx="979">
                <c:v>-1.8976</c:v>
              </c:pt>
              <c:pt idx="980">
                <c:v>0.76339999999999997</c:v>
              </c:pt>
              <c:pt idx="981">
                <c:v>4.8247</c:v>
              </c:pt>
              <c:pt idx="982">
                <c:v>0.36170000000000002</c:v>
              </c:pt>
              <c:pt idx="983">
                <c:v>-0.72460000000000002</c:v>
              </c:pt>
              <c:pt idx="984">
                <c:v>0.36299999999999999</c:v>
              </c:pt>
              <c:pt idx="985">
                <c:v>-0.36299999999999999</c:v>
              </c:pt>
              <c:pt idx="986">
                <c:v>1.085</c:v>
              </c:pt>
              <c:pt idx="987">
                <c:v>-0.3604</c:v>
              </c:pt>
              <c:pt idx="988">
                <c:v>1.7889999999999999</c:v>
              </c:pt>
              <c:pt idx="989">
                <c:v>-0.7117</c:v>
              </c:pt>
              <c:pt idx="990">
                <c:v>0.7117</c:v>
              </c:pt>
              <c:pt idx="991">
                <c:v>-1.0694999999999999</c:v>
              </c:pt>
              <c:pt idx="992">
                <c:v>-4.3963000000000001</c:v>
              </c:pt>
              <c:pt idx="993">
                <c:v>0.37380000000000002</c:v>
              </c:pt>
              <c:pt idx="994">
                <c:v>2.9413999999999998</c:v>
              </c:pt>
              <c:pt idx="995">
                <c:v>-2.9413999999999998</c:v>
              </c:pt>
              <c:pt idx="996">
                <c:v>-1.5038</c:v>
              </c:pt>
              <c:pt idx="997">
                <c:v>0.37809999999999999</c:v>
              </c:pt>
              <c:pt idx="998">
                <c:v>-1.9048</c:v>
              </c:pt>
              <c:pt idx="999">
                <c:v>1.1472</c:v>
              </c:pt>
              <c:pt idx="1000">
                <c:v>4.0974000000000004</c:v>
              </c:pt>
              <c:pt idx="1001">
                <c:v>1.4493</c:v>
              </c:pt>
              <c:pt idx="1002">
                <c:v>-0.72199999999999998</c:v>
              </c:pt>
              <c:pt idx="1003">
                <c:v>2.1505999999999998</c:v>
              </c:pt>
              <c:pt idx="1004">
                <c:v>-0.7117</c:v>
              </c:pt>
              <c:pt idx="1005">
                <c:v>3.5091000000000001</c:v>
              </c:pt>
              <c:pt idx="1006">
                <c:v>0</c:v>
              </c:pt>
              <c:pt idx="1007">
                <c:v>1.3698999999999999</c:v>
              </c:pt>
              <c:pt idx="1008">
                <c:v>-0.3407</c:v>
              </c:pt>
              <c:pt idx="1009">
                <c:v>-2.069</c:v>
              </c:pt>
              <c:pt idx="1010">
                <c:v>-1.7575000000000001</c:v>
              </c:pt>
              <c:pt idx="1011">
                <c:v>1.0582</c:v>
              </c:pt>
              <c:pt idx="1012">
                <c:v>1.3937999999999999</c:v>
              </c:pt>
              <c:pt idx="1013">
                <c:v>1.0327</c:v>
              </c:pt>
              <c:pt idx="1014">
                <c:v>-0.34310000000000002</c:v>
              </c:pt>
              <c:pt idx="1015">
                <c:v>-1.7331000000000001</c:v>
              </c:pt>
              <c:pt idx="1016">
                <c:v>-0.70179999999999998</c:v>
              </c:pt>
              <c:pt idx="1017">
                <c:v>0.35149999999999998</c:v>
              </c:pt>
              <c:pt idx="1018">
                <c:v>3.7869999999999999</c:v>
              </c:pt>
              <c:pt idx="1019">
                <c:v>0.33729999999999999</c:v>
              </c:pt>
              <c:pt idx="1020">
                <c:v>0</c:v>
              </c:pt>
              <c:pt idx="1021">
                <c:v>1.6695</c:v>
              </c:pt>
              <c:pt idx="1022">
                <c:v>2.2913999999999999</c:v>
              </c:pt>
              <c:pt idx="1023">
                <c:v>-2.6231</c:v>
              </c:pt>
              <c:pt idx="1024">
                <c:v>-1.0017</c:v>
              </c:pt>
              <c:pt idx="1025">
                <c:v>1.0017</c:v>
              </c:pt>
              <c:pt idx="1026">
                <c:v>0</c:v>
              </c:pt>
              <c:pt idx="1027">
                <c:v>-0.33279999999999998</c:v>
              </c:pt>
              <c:pt idx="1028">
                <c:v>-0.66890000000000005</c:v>
              </c:pt>
              <c:pt idx="1029">
                <c:v>-2.3769999999999998</c:v>
              </c:pt>
              <c:pt idx="1030">
                <c:v>-1.0363</c:v>
              </c:pt>
              <c:pt idx="1031">
                <c:v>1.3793</c:v>
              </c:pt>
              <c:pt idx="1032">
                <c:v>1.3606</c:v>
              </c:pt>
              <c:pt idx="1033">
                <c:v>0.6734</c:v>
              </c:pt>
              <c:pt idx="1034">
                <c:v>-2.0339999999999998</c:v>
              </c:pt>
              <c:pt idx="1035">
                <c:v>2.0339999999999998</c:v>
              </c:pt>
              <c:pt idx="1036">
                <c:v>2.9754</c:v>
              </c:pt>
              <c:pt idx="1037">
                <c:v>0.32519999999999999</c:v>
              </c:pt>
              <c:pt idx="1038">
                <c:v>0</c:v>
              </c:pt>
              <c:pt idx="1039">
                <c:v>-0.32519999999999999</c:v>
              </c:pt>
              <c:pt idx="1040">
                <c:v>-1.3115000000000001</c:v>
              </c:pt>
              <c:pt idx="1041">
                <c:v>-0.3306</c:v>
              </c:pt>
              <c:pt idx="1042">
                <c:v>-3.7103999999999999</c:v>
              </c:pt>
              <c:pt idx="1043">
                <c:v>-2.0834000000000001</c:v>
              </c:pt>
              <c:pt idx="1044">
                <c:v>0</c:v>
              </c:pt>
              <c:pt idx="1045">
                <c:v>2.0834000000000001</c:v>
              </c:pt>
              <c:pt idx="1046">
                <c:v>-1.0363</c:v>
              </c:pt>
              <c:pt idx="1047">
                <c:v>2.0619000000000001</c:v>
              </c:pt>
              <c:pt idx="1048">
                <c:v>-0.68259999999999998</c:v>
              </c:pt>
              <c:pt idx="1049">
                <c:v>-2.0762</c:v>
              </c:pt>
              <c:pt idx="1050">
                <c:v>0</c:v>
              </c:pt>
              <c:pt idx="1051">
                <c:v>2.7587999999999999</c:v>
              </c:pt>
              <c:pt idx="1052">
                <c:v>0</c:v>
              </c:pt>
              <c:pt idx="1053">
                <c:v>-2.0619000000000001</c:v>
              </c:pt>
              <c:pt idx="1054">
                <c:v>-0.69689999999999996</c:v>
              </c:pt>
              <c:pt idx="1055">
                <c:v>2.7587999999999999</c:v>
              </c:pt>
              <c:pt idx="1056">
                <c:v>-3.1091000000000002</c:v>
              </c:pt>
              <c:pt idx="1057">
                <c:v>0.3503</c:v>
              </c:pt>
              <c:pt idx="1058">
                <c:v>-0.3503</c:v>
              </c:pt>
              <c:pt idx="1059">
                <c:v>0.69930000000000003</c:v>
              </c:pt>
              <c:pt idx="1060">
                <c:v>2.4098000000000002</c:v>
              </c:pt>
              <c:pt idx="1061">
                <c:v>3.6732</c:v>
              </c:pt>
              <c:pt idx="1062">
                <c:v>-0.65790000000000004</c:v>
              </c:pt>
              <c:pt idx="1063">
                <c:v>0</c:v>
              </c:pt>
              <c:pt idx="1064">
                <c:v>-2.0001000000000002</c:v>
              </c:pt>
              <c:pt idx="1065">
                <c:v>-1.0152000000000001</c:v>
              </c:pt>
              <c:pt idx="1066">
                <c:v>0.33960000000000001</c:v>
              </c:pt>
              <c:pt idx="1067">
                <c:v>-0.33960000000000001</c:v>
              </c:pt>
              <c:pt idx="1068">
                <c:v>0.33960000000000001</c:v>
              </c:pt>
              <c:pt idx="1069">
                <c:v>-0.68030000000000002</c:v>
              </c:pt>
              <c:pt idx="1070">
                <c:v>0</c:v>
              </c:pt>
              <c:pt idx="1071">
                <c:v>1.3560000000000001</c:v>
              </c:pt>
              <c:pt idx="1072">
                <c:v>-0.67569999999999997</c:v>
              </c:pt>
              <c:pt idx="1073">
                <c:v>0.33839999999999998</c:v>
              </c:pt>
              <c:pt idx="1074">
                <c:v>-1.3606</c:v>
              </c:pt>
              <c:pt idx="1075">
                <c:v>0.34189999999999998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-0.68489999999999995</c:v>
              </c:pt>
              <c:pt idx="1080">
                <c:v>0</c:v>
              </c:pt>
              <c:pt idx="1081">
                <c:v>1.3652</c:v>
              </c:pt>
              <c:pt idx="1082">
                <c:v>-0.68030000000000002</c:v>
              </c:pt>
              <c:pt idx="1083">
                <c:v>-1.0291999999999999</c:v>
              </c:pt>
              <c:pt idx="1084">
                <c:v>1.3698999999999999</c:v>
              </c:pt>
              <c:pt idx="1085">
                <c:v>-0.68259999999999998</c:v>
              </c:pt>
              <c:pt idx="1086">
                <c:v>-0.68730000000000002</c:v>
              </c:pt>
              <c:pt idx="1087">
                <c:v>-0.69199999999999995</c:v>
              </c:pt>
              <c:pt idx="1088">
                <c:v>-0.69689999999999996</c:v>
              </c:pt>
              <c:pt idx="1089">
                <c:v>-1.4085000000000001</c:v>
              </c:pt>
              <c:pt idx="1090">
                <c:v>-0.7117</c:v>
              </c:pt>
              <c:pt idx="1091">
                <c:v>-1.0771999999999999</c:v>
              </c:pt>
              <c:pt idx="1092">
                <c:v>0.3604</c:v>
              </c:pt>
              <c:pt idx="1093">
                <c:v>0.35909999999999997</c:v>
              </c:pt>
              <c:pt idx="1094">
                <c:v>2.827</c:v>
              </c:pt>
              <c:pt idx="1095">
                <c:v>0.69440000000000002</c:v>
              </c:pt>
              <c:pt idx="1096">
                <c:v>-1.0435000000000001</c:v>
              </c:pt>
              <c:pt idx="1097">
                <c:v>-0.70179999999999998</c:v>
              </c:pt>
              <c:pt idx="1098">
                <c:v>0.35149999999999998</c:v>
              </c:pt>
              <c:pt idx="1099">
                <c:v>-0.35149999999999998</c:v>
              </c:pt>
              <c:pt idx="1100">
                <c:v>0</c:v>
              </c:pt>
              <c:pt idx="1101">
                <c:v>1.7452000000000001</c:v>
              </c:pt>
              <c:pt idx="1102">
                <c:v>0.34539999999999998</c:v>
              </c:pt>
              <c:pt idx="1103">
                <c:v>1.0291999999999999</c:v>
              </c:pt>
              <c:pt idx="1104">
                <c:v>-0.34189999999999998</c:v>
              </c:pt>
              <c:pt idx="1105">
                <c:v>-2.0762999999999998</c:v>
              </c:pt>
              <c:pt idx="1106">
                <c:v>1.4337</c:v>
              </c:pt>
              <c:pt idx="1107">
                <c:v>0.35520000000000002</c:v>
              </c:pt>
              <c:pt idx="1108">
                <c:v>0.35399999999999998</c:v>
              </c:pt>
              <c:pt idx="1109">
                <c:v>0.70420000000000005</c:v>
              </c:pt>
              <c:pt idx="1110">
                <c:v>-1.4135</c:v>
              </c:pt>
              <c:pt idx="1111">
                <c:v>0</c:v>
              </c:pt>
              <c:pt idx="1112">
                <c:v>-1.7954000000000001</c:v>
              </c:pt>
              <c:pt idx="1113">
                <c:v>-1.0929</c:v>
              </c:pt>
              <c:pt idx="1114">
                <c:v>1.4545999999999999</c:v>
              </c:pt>
              <c:pt idx="1115">
                <c:v>0</c:v>
              </c:pt>
              <c:pt idx="1116">
                <c:v>0</c:v>
              </c:pt>
              <c:pt idx="1117">
                <c:v>-1.4545999999999999</c:v>
              </c:pt>
              <c:pt idx="1118">
                <c:v>2.5318000000000001</c:v>
              </c:pt>
              <c:pt idx="1119">
                <c:v>-0.71679999999999999</c:v>
              </c:pt>
              <c:pt idx="1120">
                <c:v>1.0733999999999999</c:v>
              </c:pt>
              <c:pt idx="1121">
                <c:v>-1.0733999999999999</c:v>
              </c:pt>
              <c:pt idx="1122">
                <c:v>-2.1819000000000002</c:v>
              </c:pt>
              <c:pt idx="1123">
                <c:v>0.73260000000000003</c:v>
              </c:pt>
              <c:pt idx="1124">
                <c:v>-2.2141000000000002</c:v>
              </c:pt>
              <c:pt idx="1125">
                <c:v>0</c:v>
              </c:pt>
              <c:pt idx="1126">
                <c:v>1.1132</c:v>
              </c:pt>
              <c:pt idx="1127">
                <c:v>2.1899000000000002</c:v>
              </c:pt>
              <c:pt idx="1128">
                <c:v>0.71940000000000004</c:v>
              </c:pt>
              <c:pt idx="1129">
                <c:v>-3.65</c:v>
              </c:pt>
              <c:pt idx="1130">
                <c:v>1.476</c:v>
              </c:pt>
              <c:pt idx="1131">
                <c:v>-1.8485</c:v>
              </c:pt>
              <c:pt idx="1132">
                <c:v>0</c:v>
              </c:pt>
              <c:pt idx="1133">
                <c:v>-0.74909999999999999</c:v>
              </c:pt>
              <c:pt idx="1134">
                <c:v>-3.0537000000000001</c:v>
              </c:pt>
              <c:pt idx="1135">
                <c:v>1.1560999999999999</c:v>
              </c:pt>
              <c:pt idx="1136">
                <c:v>-1.5444</c:v>
              </c:pt>
              <c:pt idx="1137">
                <c:v>-0.38990000000000002</c:v>
              </c:pt>
              <c:pt idx="1138">
                <c:v>-1.5748</c:v>
              </c:pt>
              <c:pt idx="1139">
                <c:v>-1.6</c:v>
              </c:pt>
              <c:pt idx="1140">
                <c:v>1.6</c:v>
              </c:pt>
              <c:pt idx="1141">
                <c:v>-0.79679999999999995</c:v>
              </c:pt>
              <c:pt idx="1142">
                <c:v>0.79679999999999995</c:v>
              </c:pt>
              <c:pt idx="1143">
                <c:v>-4.0491000000000001</c:v>
              </c:pt>
              <c:pt idx="1144">
                <c:v>-5.0857999999999999</c:v>
              </c:pt>
              <c:pt idx="1145">
                <c:v>7.1308999999999996</c:v>
              </c:pt>
              <c:pt idx="1146">
                <c:v>-0.81299999999999994</c:v>
              </c:pt>
              <c:pt idx="1147">
                <c:v>1.2171000000000001</c:v>
              </c:pt>
              <c:pt idx="1148">
                <c:v>0.80320000000000003</c:v>
              </c:pt>
              <c:pt idx="1149">
                <c:v>3.1499000000000001</c:v>
              </c:pt>
              <c:pt idx="1150">
                <c:v>-3.9531000000000001</c:v>
              </c:pt>
              <c:pt idx="1151">
                <c:v>1.2023999999999999</c:v>
              </c:pt>
              <c:pt idx="1152">
                <c:v>1.1880999999999999</c:v>
              </c:pt>
              <c:pt idx="1153">
                <c:v>-1.5872999999999999</c:v>
              </c:pt>
              <c:pt idx="1154">
                <c:v>-2.0203000000000002</c:v>
              </c:pt>
              <c:pt idx="1155">
                <c:v>0.4073</c:v>
              </c:pt>
              <c:pt idx="1156">
                <c:v>4.7628000000000004</c:v>
              </c:pt>
              <c:pt idx="1157">
                <c:v>-3.1499000000000001</c:v>
              </c:pt>
              <c:pt idx="1158">
                <c:v>1.9802999999999999</c:v>
              </c:pt>
              <c:pt idx="1159">
                <c:v>0</c:v>
              </c:pt>
              <c:pt idx="1160">
                <c:v>-1.1834</c:v>
              </c:pt>
              <c:pt idx="1161">
                <c:v>2.7399</c:v>
              </c:pt>
              <c:pt idx="1162">
                <c:v>1.1516</c:v>
              </c:pt>
              <c:pt idx="1163">
                <c:v>0.38100000000000001</c:v>
              </c:pt>
              <c:pt idx="1164">
                <c:v>-1.5326</c:v>
              </c:pt>
              <c:pt idx="1165">
                <c:v>-0.38679999999999998</c:v>
              </c:pt>
              <c:pt idx="1166">
                <c:v>-3.5507</c:v>
              </c:pt>
              <c:pt idx="1167">
                <c:v>1.9881</c:v>
              </c:pt>
              <c:pt idx="1168">
                <c:v>0</c:v>
              </c:pt>
              <c:pt idx="1169">
                <c:v>2.3347000000000002</c:v>
              </c:pt>
              <c:pt idx="1170">
                <c:v>2.6566999999999998</c:v>
              </c:pt>
              <c:pt idx="1171">
                <c:v>-1.1299999999999999</c:v>
              </c:pt>
              <c:pt idx="1172">
                <c:v>0.37809999999999999</c:v>
              </c:pt>
              <c:pt idx="1173">
                <c:v>0.37659999999999999</c:v>
              </c:pt>
              <c:pt idx="1174">
                <c:v>1.4925999999999999</c:v>
              </c:pt>
              <c:pt idx="1175">
                <c:v>0.73799999999999999</c:v>
              </c:pt>
              <c:pt idx="1176">
                <c:v>1.8214999999999999</c:v>
              </c:pt>
              <c:pt idx="1177">
                <c:v>-0.72460000000000002</c:v>
              </c:pt>
              <c:pt idx="1178">
                <c:v>-0.72989999999999999</c:v>
              </c:pt>
              <c:pt idx="1179">
                <c:v>2.5318000000000001</c:v>
              </c:pt>
              <c:pt idx="1180">
                <c:v>-1.8019000000000001</c:v>
              </c:pt>
              <c:pt idx="1181">
                <c:v>0.36299999999999999</c:v>
              </c:pt>
              <c:pt idx="1182">
                <c:v>0.72199999999999998</c:v>
              </c:pt>
              <c:pt idx="1183">
                <c:v>-0.3604</c:v>
              </c:pt>
              <c:pt idx="1184">
                <c:v>-0.72460000000000002</c:v>
              </c:pt>
              <c:pt idx="1185">
                <c:v>1.8019000000000001</c:v>
              </c:pt>
              <c:pt idx="1186">
                <c:v>0</c:v>
              </c:pt>
              <c:pt idx="1187">
                <c:v>-0.71679999999999999</c:v>
              </c:pt>
              <c:pt idx="1188">
                <c:v>-0.72199999999999998</c:v>
              </c:pt>
              <c:pt idx="1189">
                <c:v>-1.0929</c:v>
              </c:pt>
              <c:pt idx="1190">
                <c:v>0</c:v>
              </c:pt>
              <c:pt idx="1191">
                <c:v>0.72989999999999999</c:v>
              </c:pt>
              <c:pt idx="1192">
                <c:v>1.4440999999999999</c:v>
              </c:pt>
              <c:pt idx="1193">
                <c:v>3.5215000000000001</c:v>
              </c:pt>
              <c:pt idx="1194">
                <c:v>-1.3937999999999999</c:v>
              </c:pt>
              <c:pt idx="1195">
                <c:v>-1.77</c:v>
              </c:pt>
              <c:pt idx="1196">
                <c:v>1.4185000000000001</c:v>
              </c:pt>
              <c:pt idx="1197">
                <c:v>-1.7762</c:v>
              </c:pt>
              <c:pt idx="1198">
                <c:v>-1.4440999999999999</c:v>
              </c:pt>
              <c:pt idx="1199">
                <c:v>0.72460000000000002</c:v>
              </c:pt>
              <c:pt idx="1200">
                <c:v>-1.8214999999999999</c:v>
              </c:pt>
              <c:pt idx="1201">
                <c:v>-0.73799999999999999</c:v>
              </c:pt>
              <c:pt idx="1202">
                <c:v>2.5596000000000001</c:v>
              </c:pt>
              <c:pt idx="1203">
                <c:v>-1.0889</c:v>
              </c:pt>
              <c:pt idx="1204">
                <c:v>2.5226999999999999</c:v>
              </c:pt>
              <c:pt idx="1205">
                <c:v>0.35520000000000002</c:v>
              </c:pt>
              <c:pt idx="1206">
                <c:v>0</c:v>
              </c:pt>
              <c:pt idx="1207">
                <c:v>-1.0694999999999999</c:v>
              </c:pt>
              <c:pt idx="1208">
                <c:v>1.0694999999999999</c:v>
              </c:pt>
              <c:pt idx="1209">
                <c:v>1.0582</c:v>
              </c:pt>
              <c:pt idx="1210">
                <c:v>-2.4868000000000001</c:v>
              </c:pt>
              <c:pt idx="1211">
                <c:v>0</c:v>
              </c:pt>
              <c:pt idx="1212">
                <c:v>2.4868000000000001</c:v>
              </c:pt>
              <c:pt idx="1213">
                <c:v>0</c:v>
              </c:pt>
              <c:pt idx="1214">
                <c:v>0</c:v>
              </c:pt>
              <c:pt idx="1215">
                <c:v>-1.4135</c:v>
              </c:pt>
              <c:pt idx="1216">
                <c:v>2.1128</c:v>
              </c:pt>
              <c:pt idx="1217">
                <c:v>-0.69930000000000003</c:v>
              </c:pt>
              <c:pt idx="1218">
                <c:v>-1.4135</c:v>
              </c:pt>
              <c:pt idx="1219">
                <c:v>0.35520000000000002</c:v>
              </c:pt>
              <c:pt idx="1220">
                <c:v>-1.0694999999999999</c:v>
              </c:pt>
              <c:pt idx="1221">
                <c:v>-0.35909999999999997</c:v>
              </c:pt>
              <c:pt idx="1222">
                <c:v>-0.72199999999999998</c:v>
              </c:pt>
              <c:pt idx="1223">
                <c:v>3.9081000000000001</c:v>
              </c:pt>
              <c:pt idx="1224">
                <c:v>1.0399</c:v>
              </c:pt>
              <c:pt idx="1225">
                <c:v>-2.0907</c:v>
              </c:pt>
              <c:pt idx="1226">
                <c:v>-0.35270000000000001</c:v>
              </c:pt>
              <c:pt idx="1227">
                <c:v>0.35270000000000001</c:v>
              </c:pt>
              <c:pt idx="1228">
                <c:v>-0.35270000000000001</c:v>
              </c:pt>
              <c:pt idx="1229">
                <c:v>0.35270000000000001</c:v>
              </c:pt>
              <c:pt idx="1230">
                <c:v>0.70179999999999998</c:v>
              </c:pt>
              <c:pt idx="1231">
                <c:v>0.34899999999999998</c:v>
              </c:pt>
              <c:pt idx="1232">
                <c:v>-1.0508</c:v>
              </c:pt>
              <c:pt idx="1233">
                <c:v>0.35149999999999998</c:v>
              </c:pt>
              <c:pt idx="1234">
                <c:v>0.3503</c:v>
              </c:pt>
              <c:pt idx="1235">
                <c:v>-2.4780000000000002</c:v>
              </c:pt>
              <c:pt idx="1236">
                <c:v>-1.0810999999999999</c:v>
              </c:pt>
              <c:pt idx="1237">
                <c:v>-1.8282</c:v>
              </c:pt>
              <c:pt idx="1238">
                <c:v>-1.8623000000000001</c:v>
              </c:pt>
              <c:pt idx="1239">
                <c:v>0.74909999999999999</c:v>
              </c:pt>
              <c:pt idx="1240">
                <c:v>-0.74909999999999999</c:v>
              </c:pt>
              <c:pt idx="1241">
                <c:v>0</c:v>
              </c:pt>
              <c:pt idx="1242">
                <c:v>0.37519999999999998</c:v>
              </c:pt>
              <c:pt idx="1243">
                <c:v>-1.5095000000000001</c:v>
              </c:pt>
              <c:pt idx="1244">
                <c:v>4.0974000000000004</c:v>
              </c:pt>
              <c:pt idx="1245">
                <c:v>0</c:v>
              </c:pt>
              <c:pt idx="1246">
                <c:v>0.72729999999999995</c:v>
              </c:pt>
              <c:pt idx="1247">
                <c:v>-2.5689000000000002</c:v>
              </c:pt>
              <c:pt idx="1248">
                <c:v>0.37109999999999999</c:v>
              </c:pt>
              <c:pt idx="1249">
                <c:v>2.5596000000000001</c:v>
              </c:pt>
              <c:pt idx="1250">
                <c:v>0.71940000000000004</c:v>
              </c:pt>
              <c:pt idx="1251">
                <c:v>-1.4440999999999999</c:v>
              </c:pt>
              <c:pt idx="1252">
                <c:v>1.4440999999999999</c:v>
              </c:pt>
              <c:pt idx="1253">
                <c:v>0.35780000000000001</c:v>
              </c:pt>
              <c:pt idx="1254">
                <c:v>2.1202000000000001</c:v>
              </c:pt>
              <c:pt idx="1255">
                <c:v>-0.70179999999999998</c:v>
              </c:pt>
              <c:pt idx="1256">
                <c:v>1.3986000000000001</c:v>
              </c:pt>
              <c:pt idx="1257">
                <c:v>-1.0470999999999999</c:v>
              </c:pt>
              <c:pt idx="1258">
                <c:v>2.4264999999999999</c:v>
              </c:pt>
              <c:pt idx="1259">
                <c:v>-0.68730000000000002</c:v>
              </c:pt>
              <c:pt idx="1260">
                <c:v>1.7094</c:v>
              </c:pt>
              <c:pt idx="1261">
                <c:v>0.33839999999999998</c:v>
              </c:pt>
              <c:pt idx="1262">
                <c:v>2.0068000000000001</c:v>
              </c:pt>
              <c:pt idx="1263">
                <c:v>0</c:v>
              </c:pt>
              <c:pt idx="1264">
                <c:v>0</c:v>
              </c:pt>
              <c:pt idx="1265">
                <c:v>-0.99829999999999997</c:v>
              </c:pt>
              <c:pt idx="1266">
                <c:v>-1.0084</c:v>
              </c:pt>
              <c:pt idx="1267">
                <c:v>1.6751</c:v>
              </c:pt>
              <c:pt idx="1268">
                <c:v>-1.0017</c:v>
              </c:pt>
              <c:pt idx="1269">
                <c:v>1.9934000000000001</c:v>
              </c:pt>
              <c:pt idx="1270">
                <c:v>0.65569999999999995</c:v>
              </c:pt>
              <c:pt idx="1271">
                <c:v>0.65149999999999997</c:v>
              </c:pt>
              <c:pt idx="1272">
                <c:v>-0.9788</c:v>
              </c:pt>
              <c:pt idx="1273">
                <c:v>-0.32840000000000003</c:v>
              </c:pt>
              <c:pt idx="1274">
                <c:v>0</c:v>
              </c:pt>
              <c:pt idx="1275">
                <c:v>0.65569999999999995</c:v>
              </c:pt>
              <c:pt idx="1276">
                <c:v>0.97560000000000002</c:v>
              </c:pt>
              <c:pt idx="1277">
                <c:v>0.3231</c:v>
              </c:pt>
              <c:pt idx="1278">
                <c:v>0.6431</c:v>
              </c:pt>
              <c:pt idx="1279">
                <c:v>-0.96619999999999995</c:v>
              </c:pt>
              <c:pt idx="1280">
                <c:v>0.96619999999999995</c:v>
              </c:pt>
              <c:pt idx="1281">
                <c:v>1.5899000000000001</c:v>
              </c:pt>
              <c:pt idx="1282">
                <c:v>0.62890000000000001</c:v>
              </c:pt>
              <c:pt idx="1283">
                <c:v>0.313</c:v>
              </c:pt>
              <c:pt idx="1284">
                <c:v>-0.94189999999999996</c:v>
              </c:pt>
              <c:pt idx="1285">
                <c:v>0.62890000000000001</c:v>
              </c:pt>
              <c:pt idx="1286">
                <c:v>-0.62890000000000001</c:v>
              </c:pt>
              <c:pt idx="1287">
                <c:v>-0.316</c:v>
              </c:pt>
              <c:pt idx="1288">
                <c:v>0.63090000000000002</c:v>
              </c:pt>
              <c:pt idx="1289">
                <c:v>0</c:v>
              </c:pt>
              <c:pt idx="1290">
                <c:v>1.5601</c:v>
              </c:pt>
              <c:pt idx="1291">
                <c:v>0.30909999999999999</c:v>
              </c:pt>
              <c:pt idx="1292">
                <c:v>-2.1842000000000001</c:v>
              </c:pt>
              <c:pt idx="1293">
                <c:v>-3.2054</c:v>
              </c:pt>
              <c:pt idx="1294">
                <c:v>0.64939999999999998</c:v>
              </c:pt>
              <c:pt idx="1295">
                <c:v>1.9231</c:v>
              </c:pt>
              <c:pt idx="1296">
                <c:v>0.63290000000000002</c:v>
              </c:pt>
              <c:pt idx="1297">
                <c:v>0</c:v>
              </c:pt>
              <c:pt idx="1298">
                <c:v>1.8751</c:v>
              </c:pt>
              <c:pt idx="1299">
                <c:v>0</c:v>
              </c:pt>
              <c:pt idx="1300">
                <c:v>-1.2461</c:v>
              </c:pt>
              <c:pt idx="1301">
                <c:v>-0.94489999999999996</c:v>
              </c:pt>
              <c:pt idx="1302">
                <c:v>-0.317</c:v>
              </c:pt>
              <c:pt idx="1303">
                <c:v>-2.2473000000000001</c:v>
              </c:pt>
              <c:pt idx="1304">
                <c:v>1.9293</c:v>
              </c:pt>
              <c:pt idx="1305">
                <c:v>-0.31900000000000001</c:v>
              </c:pt>
              <c:pt idx="1306">
                <c:v>0.63690000000000002</c:v>
              </c:pt>
              <c:pt idx="1307">
                <c:v>0.317</c:v>
              </c:pt>
              <c:pt idx="1308">
                <c:v>-0.95389999999999997</c:v>
              </c:pt>
              <c:pt idx="1309">
                <c:v>-2.2618</c:v>
              </c:pt>
              <c:pt idx="1310">
                <c:v>-1.9802999999999999</c:v>
              </c:pt>
              <c:pt idx="1311">
                <c:v>-1.6807000000000001</c:v>
              </c:pt>
              <c:pt idx="1312">
                <c:v>-0.33960000000000001</c:v>
              </c:pt>
              <c:pt idx="1313">
                <c:v>0.33960000000000001</c:v>
              </c:pt>
              <c:pt idx="1314">
                <c:v>0.33839999999999998</c:v>
              </c:pt>
              <c:pt idx="1315">
                <c:v>-0.33839999999999998</c:v>
              </c:pt>
              <c:pt idx="1316">
                <c:v>-0.33960000000000001</c:v>
              </c:pt>
              <c:pt idx="1317">
                <c:v>0</c:v>
              </c:pt>
              <c:pt idx="1318">
                <c:v>-0.68259999999999998</c:v>
              </c:pt>
              <c:pt idx="1319">
                <c:v>-1.3793</c:v>
              </c:pt>
              <c:pt idx="1320">
                <c:v>0.34660000000000002</c:v>
              </c:pt>
              <c:pt idx="1321">
                <c:v>1.7153</c:v>
              </c:pt>
              <c:pt idx="1322">
                <c:v>0</c:v>
              </c:pt>
              <c:pt idx="1323">
                <c:v>0</c:v>
              </c:pt>
              <c:pt idx="1324">
                <c:v>1.0152000000000001</c:v>
              </c:pt>
              <c:pt idx="1325">
                <c:v>3.6368</c:v>
              </c:pt>
              <c:pt idx="1326">
                <c:v>-1.9673</c:v>
              </c:pt>
              <c:pt idx="1327">
                <c:v>2.2913999999999999</c:v>
              </c:pt>
              <c:pt idx="1328">
                <c:v>0.3231</c:v>
              </c:pt>
              <c:pt idx="1329">
                <c:v>0.96309999999999996</c:v>
              </c:pt>
              <c:pt idx="1330">
                <c:v>0.31900000000000001</c:v>
              </c:pt>
              <c:pt idx="1331">
                <c:v>-0.31900000000000001</c:v>
              </c:pt>
              <c:pt idx="1332">
                <c:v>1.5848</c:v>
              </c:pt>
              <c:pt idx="1333">
                <c:v>0</c:v>
              </c:pt>
              <c:pt idx="1334">
                <c:v>0.93899999999999995</c:v>
              </c:pt>
              <c:pt idx="1335">
                <c:v>-0.312</c:v>
              </c:pt>
              <c:pt idx="1336">
                <c:v>0.62309999999999999</c:v>
              </c:pt>
              <c:pt idx="1337">
                <c:v>0.61919999999999997</c:v>
              </c:pt>
              <c:pt idx="1338">
                <c:v>2.1375000000000002</c:v>
              </c:pt>
              <c:pt idx="1339">
                <c:v>-2.1375000000000002</c:v>
              </c:pt>
              <c:pt idx="1340">
                <c:v>0</c:v>
              </c:pt>
              <c:pt idx="1341">
                <c:v>0.61539999999999995</c:v>
              </c:pt>
              <c:pt idx="1342">
                <c:v>-1.5456000000000001</c:v>
              </c:pt>
              <c:pt idx="1343">
                <c:v>1.5456000000000001</c:v>
              </c:pt>
              <c:pt idx="1344">
                <c:v>0</c:v>
              </c:pt>
              <c:pt idx="1345">
                <c:v>1.5221</c:v>
              </c:pt>
              <c:pt idx="1346">
                <c:v>0.30170000000000002</c:v>
              </c:pt>
              <c:pt idx="1347">
                <c:v>-1.2121</c:v>
              </c:pt>
              <c:pt idx="1348">
                <c:v>-3.0962000000000001</c:v>
              </c:pt>
              <c:pt idx="1349">
                <c:v>1.5601</c:v>
              </c:pt>
              <c:pt idx="1350">
                <c:v>0.96</c:v>
              </c:pt>
              <c:pt idx="1351">
                <c:v>1.2658</c:v>
              </c:pt>
              <c:pt idx="1352">
                <c:v>2.1774</c:v>
              </c:pt>
              <c:pt idx="1353">
                <c:v>2.1309999999999998</c:v>
              </c:pt>
              <c:pt idx="1354">
                <c:v>0</c:v>
              </c:pt>
              <c:pt idx="1355">
                <c:v>-1.2121</c:v>
              </c:pt>
              <c:pt idx="1356">
                <c:v>-1.5361</c:v>
              </c:pt>
              <c:pt idx="1357">
                <c:v>1.8405</c:v>
              </c:pt>
              <c:pt idx="1358">
                <c:v>3.2888000000000002</c:v>
              </c:pt>
              <c:pt idx="1359">
                <c:v>0.58650000000000002</c:v>
              </c:pt>
              <c:pt idx="1360">
                <c:v>-1.4728000000000001</c:v>
              </c:pt>
              <c:pt idx="1361">
                <c:v>0.29630000000000001</c:v>
              </c:pt>
              <c:pt idx="1362">
                <c:v>0.2954</c:v>
              </c:pt>
              <c:pt idx="1363">
                <c:v>0</c:v>
              </c:pt>
              <c:pt idx="1364">
                <c:v>0.58819999999999995</c:v>
              </c:pt>
              <c:pt idx="1365">
                <c:v>-0.29370000000000002</c:v>
              </c:pt>
              <c:pt idx="1366">
                <c:v>1.1696</c:v>
              </c:pt>
              <c:pt idx="1367">
                <c:v>-0.58309999999999995</c:v>
              </c:pt>
              <c:pt idx="1368">
                <c:v>0.29199999999999998</c:v>
              </c:pt>
              <c:pt idx="1369">
                <c:v>0.87080000000000002</c:v>
              </c:pt>
              <c:pt idx="1370">
                <c:v>1.1494</c:v>
              </c:pt>
              <c:pt idx="1371">
                <c:v>0.85350000000000004</c:v>
              </c:pt>
              <c:pt idx="1372">
                <c:v>-2.2924000000000002</c:v>
              </c:pt>
              <c:pt idx="1373">
                <c:v>2.5752000000000002</c:v>
              </c:pt>
              <c:pt idx="1374">
                <c:v>-0.56659999999999999</c:v>
              </c:pt>
              <c:pt idx="1375">
                <c:v>-2.0087000000000002</c:v>
              </c:pt>
              <c:pt idx="1376">
                <c:v>1.1528</c:v>
              </c:pt>
              <c:pt idx="1377">
                <c:v>1.4225000000000001</c:v>
              </c:pt>
              <c:pt idx="1378">
                <c:v>0.56340000000000001</c:v>
              </c:pt>
              <c:pt idx="1379">
                <c:v>0.28050000000000003</c:v>
              </c:pt>
              <c:pt idx="1380">
                <c:v>0.55869999999999997</c:v>
              </c:pt>
              <c:pt idx="1381">
                <c:v>-1.6854</c:v>
              </c:pt>
              <c:pt idx="1382">
                <c:v>0.56499999999999995</c:v>
              </c:pt>
              <c:pt idx="1383">
                <c:v>0.84150000000000003</c:v>
              </c:pt>
              <c:pt idx="1384">
                <c:v>-1.9746999999999999</c:v>
              </c:pt>
              <c:pt idx="1385">
                <c:v>0.85109999999999997</c:v>
              </c:pt>
              <c:pt idx="1386">
                <c:v>-0.56659999999999999</c:v>
              </c:pt>
              <c:pt idx="1387">
                <c:v>-0.85589999999999999</c:v>
              </c:pt>
              <c:pt idx="1388">
                <c:v>-0.86329999999999996</c:v>
              </c:pt>
              <c:pt idx="1389">
                <c:v>0.57640000000000002</c:v>
              </c:pt>
              <c:pt idx="1390">
                <c:v>-0.2878</c:v>
              </c:pt>
              <c:pt idx="1391">
                <c:v>1.9972000000000001</c:v>
              </c:pt>
              <c:pt idx="1392">
                <c:v>0</c:v>
              </c:pt>
              <c:pt idx="1393">
                <c:v>-0.28289999999999998</c:v>
              </c:pt>
              <c:pt idx="1394">
                <c:v>-1.1395999999999999</c:v>
              </c:pt>
              <c:pt idx="1395">
                <c:v>0.85589999999999999</c:v>
              </c:pt>
              <c:pt idx="1396">
                <c:v>-1.4306000000000001</c:v>
              </c:pt>
              <c:pt idx="1397">
                <c:v>0.57469999999999999</c:v>
              </c:pt>
              <c:pt idx="1398">
                <c:v>1.1395999999999999</c:v>
              </c:pt>
              <c:pt idx="1399">
                <c:v>1.4065000000000001</c:v>
              </c:pt>
              <c:pt idx="1400">
                <c:v>2.7549999999999999</c:v>
              </c:pt>
              <c:pt idx="1401">
                <c:v>-0.54500000000000004</c:v>
              </c:pt>
              <c:pt idx="1402">
                <c:v>-1.9311</c:v>
              </c:pt>
              <c:pt idx="1403">
                <c:v>-0.83919999999999995</c:v>
              </c:pt>
              <c:pt idx="1404">
                <c:v>-1.6998</c:v>
              </c:pt>
              <c:pt idx="1405">
                <c:v>0</c:v>
              </c:pt>
              <c:pt idx="1406">
                <c:v>-0.86080000000000001</c:v>
              </c:pt>
              <c:pt idx="1407">
                <c:v>5.0572999999999997</c:v>
              </c:pt>
              <c:pt idx="1408">
                <c:v>0.27360000000000001</c:v>
              </c:pt>
              <c:pt idx="1409">
                <c:v>0.54500000000000004</c:v>
              </c:pt>
              <c:pt idx="1410">
                <c:v>0.81189999999999996</c:v>
              </c:pt>
              <c:pt idx="1411">
                <c:v>1.0724</c:v>
              </c:pt>
              <c:pt idx="1412">
                <c:v>-2.4293</c:v>
              </c:pt>
              <c:pt idx="1413">
                <c:v>1.3569</c:v>
              </c:pt>
              <c:pt idx="1414">
                <c:v>-1.6305000000000001</c:v>
              </c:pt>
              <c:pt idx="1415">
                <c:v>1.8996999999999999</c:v>
              </c:pt>
              <c:pt idx="1416">
                <c:v>0.53620000000000001</c:v>
              </c:pt>
              <c:pt idx="1417">
                <c:v>-0.53620000000000001</c:v>
              </c:pt>
              <c:pt idx="1418">
                <c:v>0.80320000000000003</c:v>
              </c:pt>
              <c:pt idx="1419">
                <c:v>0.26629999999999998</c:v>
              </c:pt>
              <c:pt idx="1420">
                <c:v>-0.26629999999999998</c:v>
              </c:pt>
              <c:pt idx="1421">
                <c:v>1.0609999999999999</c:v>
              </c:pt>
              <c:pt idx="1422">
                <c:v>-0.52910000000000001</c:v>
              </c:pt>
              <c:pt idx="1423">
                <c:v>-0.2656</c:v>
              </c:pt>
              <c:pt idx="1424">
                <c:v>-0.80110000000000003</c:v>
              </c:pt>
              <c:pt idx="1425">
                <c:v>0.26769999999999999</c:v>
              </c:pt>
              <c:pt idx="1426">
                <c:v>1.3280000000000001</c:v>
              </c:pt>
              <c:pt idx="1427">
                <c:v>0.52629999999999999</c:v>
              </c:pt>
              <c:pt idx="1428">
                <c:v>-1.0553999999999999</c:v>
              </c:pt>
              <c:pt idx="1429">
                <c:v>1.3174999999999999</c:v>
              </c:pt>
              <c:pt idx="1430">
                <c:v>1.0417000000000001</c:v>
              </c:pt>
              <c:pt idx="1431">
                <c:v>-0.7802</c:v>
              </c:pt>
              <c:pt idx="1432">
                <c:v>-1.579</c:v>
              </c:pt>
              <c:pt idx="1433">
                <c:v>0.52910000000000001</c:v>
              </c:pt>
              <c:pt idx="1434">
                <c:v>-0.52910000000000001</c:v>
              </c:pt>
              <c:pt idx="1435">
                <c:v>0.52910000000000001</c:v>
              </c:pt>
              <c:pt idx="1436">
                <c:v>-1.8642000000000001</c:v>
              </c:pt>
              <c:pt idx="1437">
                <c:v>-0.80969999999999998</c:v>
              </c:pt>
              <c:pt idx="1438">
                <c:v>0</c:v>
              </c:pt>
              <c:pt idx="1439">
                <c:v>2.4098000000000002</c:v>
              </c:pt>
              <c:pt idx="1440">
                <c:v>-0.26490000000000002</c:v>
              </c:pt>
              <c:pt idx="1441">
                <c:v>-3.5091000000000001</c:v>
              </c:pt>
              <c:pt idx="1442">
                <c:v>1.9048</c:v>
              </c:pt>
              <c:pt idx="1443">
                <c:v>-2.1798999999999999</c:v>
              </c:pt>
              <c:pt idx="1444">
                <c:v>-0.55249999999999999</c:v>
              </c:pt>
              <c:pt idx="1445">
                <c:v>-0.27739999999999998</c:v>
              </c:pt>
              <c:pt idx="1446">
                <c:v>0</c:v>
              </c:pt>
              <c:pt idx="1447">
                <c:v>0.82989999999999997</c:v>
              </c:pt>
              <c:pt idx="1448">
                <c:v>-0.27589999999999998</c:v>
              </c:pt>
              <c:pt idx="1449">
                <c:v>0</c:v>
              </c:pt>
              <c:pt idx="1450">
                <c:v>1.6438999999999999</c:v>
              </c:pt>
              <c:pt idx="1451">
                <c:v>0.81189999999999996</c:v>
              </c:pt>
              <c:pt idx="1452">
                <c:v>-1.3569</c:v>
              </c:pt>
              <c:pt idx="1453">
                <c:v>-0.54790000000000005</c:v>
              </c:pt>
              <c:pt idx="1454">
                <c:v>1.0929</c:v>
              </c:pt>
              <c:pt idx="1455">
                <c:v>-1.0929</c:v>
              </c:pt>
              <c:pt idx="1456">
                <c:v>0.54790000000000005</c:v>
              </c:pt>
              <c:pt idx="1457">
                <c:v>0</c:v>
              </c:pt>
              <c:pt idx="1458">
                <c:v>-2.7703000000000002</c:v>
              </c:pt>
              <c:pt idx="1459">
                <c:v>0.56020000000000003</c:v>
              </c:pt>
              <c:pt idx="1460">
                <c:v>1.6620999999999999</c:v>
              </c:pt>
              <c:pt idx="1461">
                <c:v>-0.27510000000000001</c:v>
              </c:pt>
              <c:pt idx="1462">
                <c:v>2.1798999999999999</c:v>
              </c:pt>
              <c:pt idx="1463">
                <c:v>0.26919999999999999</c:v>
              </c:pt>
              <c:pt idx="1464">
                <c:v>-0.53910000000000002</c:v>
              </c:pt>
              <c:pt idx="1465">
                <c:v>0.53910000000000002</c:v>
              </c:pt>
              <c:pt idx="1466">
                <c:v>0.80320000000000003</c:v>
              </c:pt>
              <c:pt idx="1467">
                <c:v>-0.26700000000000002</c:v>
              </c:pt>
              <c:pt idx="1468">
                <c:v>-1.0752999999999999</c:v>
              </c:pt>
              <c:pt idx="1469">
                <c:v>-1.3606</c:v>
              </c:pt>
              <c:pt idx="1470">
                <c:v>0</c:v>
              </c:pt>
              <c:pt idx="1471">
                <c:v>-1.3793</c:v>
              </c:pt>
              <c:pt idx="1472">
                <c:v>-0.55710000000000004</c:v>
              </c:pt>
              <c:pt idx="1473">
                <c:v>-0.2797</c:v>
              </c:pt>
              <c:pt idx="1474">
                <c:v>0.55869999999999997</c:v>
              </c:pt>
              <c:pt idx="1475">
                <c:v>0.2782</c:v>
              </c:pt>
              <c:pt idx="1476">
                <c:v>1.105</c:v>
              </c:pt>
              <c:pt idx="1477">
                <c:v>-1.105</c:v>
              </c:pt>
              <c:pt idx="1478">
                <c:v>0.82989999999999997</c:v>
              </c:pt>
              <c:pt idx="1479">
                <c:v>0.82299999999999995</c:v>
              </c:pt>
              <c:pt idx="1480">
                <c:v>0</c:v>
              </c:pt>
              <c:pt idx="1481">
                <c:v>0.27289999999999998</c:v>
              </c:pt>
              <c:pt idx="1482">
                <c:v>0.27210000000000001</c:v>
              </c:pt>
              <c:pt idx="1483">
                <c:v>0</c:v>
              </c:pt>
              <c:pt idx="1484">
                <c:v>0</c:v>
              </c:pt>
              <c:pt idx="1485">
                <c:v>-1.0929</c:v>
              </c:pt>
              <c:pt idx="1486">
                <c:v>1.3643000000000001</c:v>
              </c:pt>
              <c:pt idx="1487">
                <c:v>-1.6394</c:v>
              </c:pt>
              <c:pt idx="1488">
                <c:v>-1.1080000000000001</c:v>
              </c:pt>
              <c:pt idx="1489">
                <c:v>0.83220000000000005</c:v>
              </c:pt>
              <c:pt idx="1490">
                <c:v>0</c:v>
              </c:pt>
              <c:pt idx="1491">
                <c:v>-0.27660000000000001</c:v>
              </c:pt>
              <c:pt idx="1492">
                <c:v>0.27660000000000001</c:v>
              </c:pt>
              <c:pt idx="1493">
                <c:v>2.1859000000000002</c:v>
              </c:pt>
              <c:pt idx="1494">
                <c:v>0.26989999999999997</c:v>
              </c:pt>
              <c:pt idx="1495">
                <c:v>-0.54049999999999998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-0.54349999999999998</c:v>
              </c:pt>
              <c:pt idx="1500">
                <c:v>0.27210000000000001</c:v>
              </c:pt>
              <c:pt idx="1501">
                <c:v>0.81189999999999996</c:v>
              </c:pt>
              <c:pt idx="1502">
                <c:v>1.0724</c:v>
              </c:pt>
              <c:pt idx="1503">
                <c:v>0</c:v>
              </c:pt>
              <c:pt idx="1504">
                <c:v>0.79679999999999995</c:v>
              </c:pt>
              <c:pt idx="1505">
                <c:v>0</c:v>
              </c:pt>
              <c:pt idx="1506">
                <c:v>0.26419999999999999</c:v>
              </c:pt>
              <c:pt idx="1507">
                <c:v>0</c:v>
              </c:pt>
              <c:pt idx="1508">
                <c:v>0.26350000000000001</c:v>
              </c:pt>
              <c:pt idx="1509">
                <c:v>0</c:v>
              </c:pt>
              <c:pt idx="1510">
                <c:v>-0.79259999999999997</c:v>
              </c:pt>
              <c:pt idx="1511">
                <c:v>0</c:v>
              </c:pt>
              <c:pt idx="1512">
                <c:v>0.26490000000000002</c:v>
              </c:pt>
              <c:pt idx="1513">
                <c:v>-1.6</c:v>
              </c:pt>
              <c:pt idx="1514">
                <c:v>0</c:v>
              </c:pt>
              <c:pt idx="1515">
                <c:v>-1.0810999999999999</c:v>
              </c:pt>
              <c:pt idx="1516">
                <c:v>-0.27210000000000001</c:v>
              </c:pt>
              <c:pt idx="1517">
                <c:v>1.0840000000000001</c:v>
              </c:pt>
              <c:pt idx="1518">
                <c:v>0.8054</c:v>
              </c:pt>
              <c:pt idx="1519">
                <c:v>-1.3459000000000001</c:v>
              </c:pt>
              <c:pt idx="1520">
                <c:v>-0.54349999999999998</c:v>
              </c:pt>
              <c:pt idx="1521">
                <c:v>1.6216999999999999</c:v>
              </c:pt>
              <c:pt idx="1522">
                <c:v>-0.26850000000000002</c:v>
              </c:pt>
              <c:pt idx="1523">
                <c:v>0.26850000000000002</c:v>
              </c:pt>
              <c:pt idx="1524">
                <c:v>1.8593</c:v>
              </c:pt>
              <c:pt idx="1525">
                <c:v>0.78639999999999999</c:v>
              </c:pt>
              <c:pt idx="1526">
                <c:v>0</c:v>
              </c:pt>
              <c:pt idx="1527">
                <c:v>1.8111999999999999</c:v>
              </c:pt>
              <c:pt idx="1528">
                <c:v>-0.7722</c:v>
              </c:pt>
              <c:pt idx="1529">
                <c:v>0</c:v>
              </c:pt>
              <c:pt idx="1530">
                <c:v>-0.5181</c:v>
              </c:pt>
              <c:pt idx="1531">
                <c:v>0.25940000000000002</c:v>
              </c:pt>
              <c:pt idx="1532">
                <c:v>0.7742</c:v>
              </c:pt>
              <c:pt idx="1533">
                <c:v>-1.5544</c:v>
              </c:pt>
              <c:pt idx="1534">
                <c:v>0</c:v>
              </c:pt>
              <c:pt idx="1535">
                <c:v>-1.3141</c:v>
              </c:pt>
              <c:pt idx="1536">
                <c:v>2.0943000000000001</c:v>
              </c:pt>
              <c:pt idx="1537">
                <c:v>-0.7802</c:v>
              </c:pt>
              <c:pt idx="1538">
                <c:v>-0.26140000000000002</c:v>
              </c:pt>
              <c:pt idx="1539">
                <c:v>-0.52490000000000003</c:v>
              </c:pt>
              <c:pt idx="1540">
                <c:v>0.52490000000000003</c:v>
              </c:pt>
              <c:pt idx="1541">
                <c:v>0</c:v>
              </c:pt>
              <c:pt idx="1542">
                <c:v>0.26140000000000002</c:v>
              </c:pt>
              <c:pt idx="1543">
                <c:v>-1.3141</c:v>
              </c:pt>
              <c:pt idx="1544">
                <c:v>-0.79679999999999995</c:v>
              </c:pt>
              <c:pt idx="1545">
                <c:v>0.26629999999999998</c:v>
              </c:pt>
              <c:pt idx="1546">
                <c:v>-0.80110000000000003</c:v>
              </c:pt>
              <c:pt idx="1547">
                <c:v>0.26769999999999999</c:v>
              </c:pt>
              <c:pt idx="1548">
                <c:v>1.5914999999999999</c:v>
              </c:pt>
              <c:pt idx="1549">
                <c:v>0</c:v>
              </c:pt>
              <c:pt idx="1550">
                <c:v>1.0470999999999999</c:v>
              </c:pt>
              <c:pt idx="1551">
                <c:v>-0.5222</c:v>
              </c:pt>
              <c:pt idx="1552">
                <c:v>1.0417000000000001</c:v>
              </c:pt>
              <c:pt idx="1553">
                <c:v>0.7742</c:v>
              </c:pt>
              <c:pt idx="1554">
                <c:v>1.0229999999999999</c:v>
              </c:pt>
              <c:pt idx="1555">
                <c:v>0.76049999999999995</c:v>
              </c:pt>
              <c:pt idx="1556">
                <c:v>0</c:v>
              </c:pt>
              <c:pt idx="1557">
                <c:v>-0.25280000000000002</c:v>
              </c:pt>
              <c:pt idx="1558">
                <c:v>2.5001000000000002</c:v>
              </c:pt>
              <c:pt idx="1559">
                <c:v>0.49259999999999998</c:v>
              </c:pt>
              <c:pt idx="1560">
                <c:v>0.97799999999999998</c:v>
              </c:pt>
              <c:pt idx="1561">
                <c:v>0.96850000000000003</c:v>
              </c:pt>
              <c:pt idx="1562">
                <c:v>-0.72550000000000003</c:v>
              </c:pt>
              <c:pt idx="1563">
                <c:v>0</c:v>
              </c:pt>
              <c:pt idx="1564">
                <c:v>-0.73080000000000001</c:v>
              </c:pt>
              <c:pt idx="1565">
                <c:v>-0.24479999999999999</c:v>
              </c:pt>
              <c:pt idx="1566">
                <c:v>-0.24540000000000001</c:v>
              </c:pt>
              <c:pt idx="1567">
                <c:v>-0.246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AE3-4493-840B-94A755B90174}"/>
            </c:ext>
          </c:extLst>
        </c:ser>
        <c:ser>
          <c:idx val="1"/>
          <c:order val="1"/>
          <c:tx>
            <c:v>預測 Y</c:v>
          </c:tx>
          <c:spPr>
            <a:ln w="19050">
              <a:noFill/>
            </a:ln>
          </c:spPr>
          <c:xVal>
            <c:numLit>
              <c:formatCode>General</c:formatCode>
              <c:ptCount val="1568"/>
              <c:pt idx="0">
                <c:v>0.5837</c:v>
              </c:pt>
              <c:pt idx="1">
                <c:v>-0.31490000000000001</c:v>
              </c:pt>
              <c:pt idx="2">
                <c:v>-1.6941999999999999</c:v>
              </c:pt>
              <c:pt idx="3">
                <c:v>0.4133</c:v>
              </c:pt>
              <c:pt idx="4">
                <c:v>-1.1406999999999998</c:v>
              </c:pt>
              <c:pt idx="5">
                <c:v>0.39650000000000002</c:v>
              </c:pt>
              <c:pt idx="6">
                <c:v>1.2757000000000001</c:v>
              </c:pt>
              <c:pt idx="7">
                <c:v>0.37290000000000001</c:v>
              </c:pt>
              <c:pt idx="8">
                <c:v>0.1149</c:v>
              </c:pt>
              <c:pt idx="9">
                <c:v>-3.7200000000000004E-2</c:v>
              </c:pt>
              <c:pt idx="10">
                <c:v>-0.53290000000000004</c:v>
              </c:pt>
              <c:pt idx="11">
                <c:v>0.69940000000000002</c:v>
              </c:pt>
              <c:pt idx="12">
                <c:v>1.0817000000000001</c:v>
              </c:pt>
              <c:pt idx="13">
                <c:v>-0.70820000000000005</c:v>
              </c:pt>
              <c:pt idx="14">
                <c:v>-0.75719999999999998</c:v>
              </c:pt>
              <c:pt idx="15">
                <c:v>-7.6600000000000001E-2</c:v>
              </c:pt>
              <c:pt idx="16">
                <c:v>0.48309999999999997</c:v>
              </c:pt>
              <c:pt idx="17">
                <c:v>0.70850000000000002</c:v>
              </c:pt>
              <c:pt idx="18">
                <c:v>0.51180000000000003</c:v>
              </c:pt>
              <c:pt idx="19">
                <c:v>0.46849999999999997</c:v>
              </c:pt>
              <c:pt idx="20">
                <c:v>-0.37430000000000002</c:v>
              </c:pt>
              <c:pt idx="21">
                <c:v>-1.1580999999999999</c:v>
              </c:pt>
              <c:pt idx="22">
                <c:v>-1.9114</c:v>
              </c:pt>
              <c:pt idx="23">
                <c:v>-2.6020000000000003</c:v>
              </c:pt>
              <c:pt idx="24">
                <c:v>0.87129999999999996</c:v>
              </c:pt>
              <c:pt idx="25">
                <c:v>0.41589999999999999</c:v>
              </c:pt>
              <c:pt idx="26">
                <c:v>-0.10590000000000001</c:v>
              </c:pt>
              <c:pt idx="27">
                <c:v>-0.33729999999999999</c:v>
              </c:pt>
              <c:pt idx="28">
                <c:v>1.8223</c:v>
              </c:pt>
              <c:pt idx="29">
                <c:v>-5.5300000000000002E-2</c:v>
              </c:pt>
              <c:pt idx="30">
                <c:v>-1.8936999999999999</c:v>
              </c:pt>
              <c:pt idx="31">
                <c:v>-1.6857</c:v>
              </c:pt>
              <c:pt idx="32">
                <c:v>0.14579999999999999</c:v>
              </c:pt>
              <c:pt idx="33">
                <c:v>0.67379999999999995</c:v>
              </c:pt>
              <c:pt idx="34">
                <c:v>1.4734</c:v>
              </c:pt>
              <c:pt idx="35">
                <c:v>-1.2442</c:v>
              </c:pt>
              <c:pt idx="36">
                <c:v>1.3620000000000001</c:v>
              </c:pt>
              <c:pt idx="37">
                <c:v>0.52239999999999998</c:v>
              </c:pt>
              <c:pt idx="38">
                <c:v>-0.81010000000000004</c:v>
              </c:pt>
              <c:pt idx="39">
                <c:v>0.38600000000000001</c:v>
              </c:pt>
              <c:pt idx="40">
                <c:v>2.29E-2</c:v>
              </c:pt>
              <c:pt idx="41">
                <c:v>-1.2347999999999999</c:v>
              </c:pt>
              <c:pt idx="42">
                <c:v>-0.87550000000000006</c:v>
              </c:pt>
              <c:pt idx="43">
                <c:v>-0.5625</c:v>
              </c:pt>
              <c:pt idx="44">
                <c:v>-3.4081999999999999</c:v>
              </c:pt>
              <c:pt idx="45">
                <c:v>1.0816000000000001</c:v>
              </c:pt>
              <c:pt idx="46">
                <c:v>-0.50749999999999995</c:v>
              </c:pt>
              <c:pt idx="47">
                <c:v>1.3409000000000002</c:v>
              </c:pt>
              <c:pt idx="48">
                <c:v>0.86239999999999994</c:v>
              </c:pt>
              <c:pt idx="49">
                <c:v>0.47210000000000002</c:v>
              </c:pt>
              <c:pt idx="50">
                <c:v>0.43140000000000001</c:v>
              </c:pt>
              <c:pt idx="51">
                <c:v>0.3629</c:v>
              </c:pt>
              <c:pt idx="52">
                <c:v>0.39250000000000002</c:v>
              </c:pt>
              <c:pt idx="53">
                <c:v>-0.67100000000000004</c:v>
              </c:pt>
              <c:pt idx="54">
                <c:v>0.50439999999999996</c:v>
              </c:pt>
              <c:pt idx="55">
                <c:v>0.57389999999999997</c:v>
              </c:pt>
              <c:pt idx="56">
                <c:v>0.4239</c:v>
              </c:pt>
              <c:pt idx="57">
                <c:v>0.24809999999999999</c:v>
              </c:pt>
              <c:pt idx="58">
                <c:v>1.6699000000000002</c:v>
              </c:pt>
              <c:pt idx="59">
                <c:v>0.55730000000000002</c:v>
              </c:pt>
              <c:pt idx="60">
                <c:v>-8.3699999999999997E-2</c:v>
              </c:pt>
              <c:pt idx="61">
                <c:v>-0.1636</c:v>
              </c:pt>
              <c:pt idx="62">
                <c:v>-1.68</c:v>
              </c:pt>
              <c:pt idx="63">
                <c:v>0.54069999999999996</c:v>
              </c:pt>
              <c:pt idx="64">
                <c:v>0.25329999999999997</c:v>
              </c:pt>
              <c:pt idx="65">
                <c:v>-0.96879999999999999</c:v>
              </c:pt>
              <c:pt idx="66">
                <c:v>-4.48E-2</c:v>
              </c:pt>
              <c:pt idx="67">
                <c:v>-0.87809999999999999</c:v>
              </c:pt>
              <c:pt idx="68">
                <c:v>1.9995000000000001</c:v>
              </c:pt>
              <c:pt idx="69">
                <c:v>1.6218000000000001</c:v>
              </c:pt>
              <c:pt idx="70">
                <c:v>0.12839999999999999</c:v>
              </c:pt>
              <c:pt idx="71">
                <c:v>-0.21149999999999999</c:v>
              </c:pt>
              <c:pt idx="72">
                <c:v>-3.2199999999999999E-2</c:v>
              </c:pt>
              <c:pt idx="73">
                <c:v>1.1206</c:v>
              </c:pt>
              <c:pt idx="74">
                <c:v>-9.6799999999999997E-2</c:v>
              </c:pt>
              <c:pt idx="75">
                <c:v>-0.36759999999999998</c:v>
              </c:pt>
              <c:pt idx="76">
                <c:v>-0.69130000000000003</c:v>
              </c:pt>
              <c:pt idx="77">
                <c:v>1.1200000000000002E-2</c:v>
              </c:pt>
              <c:pt idx="78">
                <c:v>0.7903</c:v>
              </c:pt>
              <c:pt idx="79">
                <c:v>-0.46289999999999998</c:v>
              </c:pt>
              <c:pt idx="80">
                <c:v>0.64380000000000004</c:v>
              </c:pt>
              <c:pt idx="81">
                <c:v>-0.1381</c:v>
              </c:pt>
              <c:pt idx="82">
                <c:v>-3.49E-2</c:v>
              </c:pt>
              <c:pt idx="83">
                <c:v>0.14410000000000001</c:v>
              </c:pt>
              <c:pt idx="84">
                <c:v>-0.30309999999999998</c:v>
              </c:pt>
              <c:pt idx="85">
                <c:v>-1.0622999999999998</c:v>
              </c:pt>
              <c:pt idx="86">
                <c:v>-0.31340000000000001</c:v>
              </c:pt>
              <c:pt idx="87">
                <c:v>0.67849999999999999</c:v>
              </c:pt>
              <c:pt idx="88">
                <c:v>-0.58560000000000001</c:v>
              </c:pt>
              <c:pt idx="89">
                <c:v>-0.63300000000000001</c:v>
              </c:pt>
              <c:pt idx="90">
                <c:v>-1.0211999999999999</c:v>
              </c:pt>
              <c:pt idx="91">
                <c:v>0.10099999999999999</c:v>
              </c:pt>
              <c:pt idx="92">
                <c:v>-0.3407</c:v>
              </c:pt>
              <c:pt idx="93">
                <c:v>0.69709999999999994</c:v>
              </c:pt>
              <c:pt idx="94">
                <c:v>0.24249999999999999</c:v>
              </c:pt>
              <c:pt idx="95">
                <c:v>0.1522</c:v>
              </c:pt>
              <c:pt idx="96">
                <c:v>1.8515000000000001</c:v>
              </c:pt>
              <c:pt idx="97">
                <c:v>0.8115</c:v>
              </c:pt>
              <c:pt idx="98">
                <c:v>-0.78939999999999999</c:v>
              </c:pt>
              <c:pt idx="99">
                <c:v>0.60599999999999998</c:v>
              </c:pt>
              <c:pt idx="100">
                <c:v>0.11649999999999999</c:v>
              </c:pt>
              <c:pt idx="101">
                <c:v>-0.55179999999999996</c:v>
              </c:pt>
              <c:pt idx="102">
                <c:v>-7.6200000000000004E-2</c:v>
              </c:pt>
              <c:pt idx="103">
                <c:v>-1.8318999999999999</c:v>
              </c:pt>
              <c:pt idx="104">
                <c:v>-1.4259999999999999</c:v>
              </c:pt>
              <c:pt idx="105">
                <c:v>1.3225</c:v>
              </c:pt>
              <c:pt idx="106">
                <c:v>2.24E-2</c:v>
              </c:pt>
              <c:pt idx="107">
                <c:v>-2.0278</c:v>
              </c:pt>
              <c:pt idx="108">
                <c:v>-0.215</c:v>
              </c:pt>
              <c:pt idx="109">
                <c:v>-1.2311999999999999</c:v>
              </c:pt>
              <c:pt idx="110">
                <c:v>0.77859999999999996</c:v>
              </c:pt>
              <c:pt idx="111">
                <c:v>0.26900000000000002</c:v>
              </c:pt>
              <c:pt idx="112">
                <c:v>-0.62849999999999995</c:v>
              </c:pt>
              <c:pt idx="113">
                <c:v>-0.40589999999999998</c:v>
              </c:pt>
              <c:pt idx="114">
                <c:v>-0.3866</c:v>
              </c:pt>
              <c:pt idx="115">
                <c:v>-0.25390000000000001</c:v>
              </c:pt>
              <c:pt idx="116">
                <c:v>1.1056000000000001</c:v>
              </c:pt>
              <c:pt idx="117">
                <c:v>0.91669999999999996</c:v>
              </c:pt>
              <c:pt idx="118">
                <c:v>1.0001000000000002</c:v>
              </c:pt>
              <c:pt idx="119">
                <c:v>0.39550000000000002</c:v>
              </c:pt>
              <c:pt idx="120">
                <c:v>0.1077</c:v>
              </c:pt>
              <c:pt idx="121">
                <c:v>0.45129999999999998</c:v>
              </c:pt>
              <c:pt idx="122">
                <c:v>-0.58279999999999998</c:v>
              </c:pt>
              <c:pt idx="123">
                <c:v>-0.27539999999999998</c:v>
              </c:pt>
              <c:pt idx="124">
                <c:v>-0.96420000000000006</c:v>
              </c:pt>
              <c:pt idx="125">
                <c:v>-2.0411999999999999</c:v>
              </c:pt>
              <c:pt idx="126">
                <c:v>-3.7700000000000004E-2</c:v>
              </c:pt>
              <c:pt idx="127">
                <c:v>-8.2100000000000006E-2</c:v>
              </c:pt>
              <c:pt idx="128">
                <c:v>1.0941000000000001</c:v>
              </c:pt>
              <c:pt idx="129">
                <c:v>-0.42770000000000002</c:v>
              </c:pt>
              <c:pt idx="130">
                <c:v>-0.1671</c:v>
              </c:pt>
              <c:pt idx="131">
                <c:v>2.1048999999999998</c:v>
              </c:pt>
              <c:pt idx="132">
                <c:v>0.12290000000000001</c:v>
              </c:pt>
              <c:pt idx="133">
                <c:v>0.54820000000000002</c:v>
              </c:pt>
              <c:pt idx="134">
                <c:v>-0.94069999999999998</c:v>
              </c:pt>
              <c:pt idx="135">
                <c:v>1.2641</c:v>
              </c:pt>
              <c:pt idx="136">
                <c:v>0.26100000000000001</c:v>
              </c:pt>
              <c:pt idx="137">
                <c:v>-0.57499999999999996</c:v>
              </c:pt>
              <c:pt idx="138">
                <c:v>-1.4160999999999999</c:v>
              </c:pt>
              <c:pt idx="139">
                <c:v>0.65649999999999997</c:v>
              </c:pt>
              <c:pt idx="140">
                <c:v>-1.3528</c:v>
              </c:pt>
              <c:pt idx="141">
                <c:v>-1.5035999999999998</c:v>
              </c:pt>
              <c:pt idx="142">
                <c:v>-1.6674</c:v>
              </c:pt>
              <c:pt idx="143">
                <c:v>-5.7452000000000005</c:v>
              </c:pt>
              <c:pt idx="144">
                <c:v>-3.9024000000000001</c:v>
              </c:pt>
              <c:pt idx="145">
                <c:v>-0.79630000000000001</c:v>
              </c:pt>
              <c:pt idx="146">
                <c:v>3.1911</c:v>
              </c:pt>
              <c:pt idx="147">
                <c:v>-0.22600000000000001</c:v>
              </c:pt>
              <c:pt idx="148">
                <c:v>-1.0718999999999999</c:v>
              </c:pt>
              <c:pt idx="149">
                <c:v>2.3569</c:v>
              </c:pt>
              <c:pt idx="150">
                <c:v>-0.26940000000000003</c:v>
              </c:pt>
              <c:pt idx="151">
                <c:v>-0.73440000000000005</c:v>
              </c:pt>
              <c:pt idx="152">
                <c:v>-1.6542999999999999</c:v>
              </c:pt>
              <c:pt idx="153">
                <c:v>-3.6404000000000001</c:v>
              </c:pt>
              <c:pt idx="154">
                <c:v>-0.41749999999999998</c:v>
              </c:pt>
              <c:pt idx="155">
                <c:v>3.1951000000000001</c:v>
              </c:pt>
              <c:pt idx="156">
                <c:v>-0.63139999999999996</c:v>
              </c:pt>
              <c:pt idx="157">
                <c:v>-1.2375999999999998</c:v>
              </c:pt>
              <c:pt idx="158">
                <c:v>0.45779999999999998</c:v>
              </c:pt>
              <c:pt idx="159">
                <c:v>1.7665000000000002</c:v>
              </c:pt>
              <c:pt idx="160">
                <c:v>0.89270000000000005</c:v>
              </c:pt>
              <c:pt idx="161">
                <c:v>1.2340000000000002</c:v>
              </c:pt>
              <c:pt idx="162">
                <c:v>0.20860000000000001</c:v>
              </c:pt>
              <c:pt idx="163">
                <c:v>-1.2E-2</c:v>
              </c:pt>
              <c:pt idx="164">
                <c:v>-2.6878000000000002</c:v>
              </c:pt>
              <c:pt idx="165">
                <c:v>-2.4749000000000003</c:v>
              </c:pt>
              <c:pt idx="166">
                <c:v>2.1696999999999997</c:v>
              </c:pt>
              <c:pt idx="167">
                <c:v>0.25379999999999997</c:v>
              </c:pt>
              <c:pt idx="168">
                <c:v>0.81759999999999999</c:v>
              </c:pt>
              <c:pt idx="169">
                <c:v>-2.9255</c:v>
              </c:pt>
              <c:pt idx="170">
                <c:v>-2.2316000000000003</c:v>
              </c:pt>
              <c:pt idx="171">
                <c:v>2.1486000000000001</c:v>
              </c:pt>
              <c:pt idx="172">
                <c:v>2.5596999999999999</c:v>
              </c:pt>
              <c:pt idx="173">
                <c:v>-1.2849999999999999</c:v>
              </c:pt>
              <c:pt idx="174">
                <c:v>0.15689999999999998</c:v>
              </c:pt>
              <c:pt idx="175">
                <c:v>0.5696</c:v>
              </c:pt>
              <c:pt idx="176">
                <c:v>-3.1078000000000001</c:v>
              </c:pt>
              <c:pt idx="177">
                <c:v>-3.6166</c:v>
              </c:pt>
              <c:pt idx="178">
                <c:v>-2.4321000000000002</c:v>
              </c:pt>
              <c:pt idx="179">
                <c:v>3.0448</c:v>
              </c:pt>
              <c:pt idx="180">
                <c:v>0.79820000000000002</c:v>
              </c:pt>
              <c:pt idx="181">
                <c:v>0.49430000000000002</c:v>
              </c:pt>
              <c:pt idx="182">
                <c:v>0.5907</c:v>
              </c:pt>
              <c:pt idx="183">
                <c:v>-2.9725999999999999</c:v>
              </c:pt>
              <c:pt idx="184">
                <c:v>0.47920000000000001</c:v>
              </c:pt>
              <c:pt idx="185">
                <c:v>-0.83960000000000001</c:v>
              </c:pt>
              <c:pt idx="186">
                <c:v>2.0202999999999998</c:v>
              </c:pt>
              <c:pt idx="187">
                <c:v>1.1119000000000001</c:v>
              </c:pt>
              <c:pt idx="188">
                <c:v>2.5535000000000001</c:v>
              </c:pt>
              <c:pt idx="189">
                <c:v>-0.22440000000000002</c:v>
              </c:pt>
              <c:pt idx="190">
                <c:v>0.6179</c:v>
              </c:pt>
              <c:pt idx="191">
                <c:v>-0.95320000000000005</c:v>
              </c:pt>
              <c:pt idx="192">
                <c:v>1.3877000000000002</c:v>
              </c:pt>
              <c:pt idx="193">
                <c:v>-1.3745999999999998</c:v>
              </c:pt>
              <c:pt idx="194">
                <c:v>-8.6099999999999996E-2</c:v>
              </c:pt>
              <c:pt idx="195">
                <c:v>-1.4970999999999999</c:v>
              </c:pt>
              <c:pt idx="196">
                <c:v>0.1376</c:v>
              </c:pt>
              <c:pt idx="197">
                <c:v>2.9281999999999999</c:v>
              </c:pt>
              <c:pt idx="198">
                <c:v>0.27650000000000002</c:v>
              </c:pt>
              <c:pt idx="199">
                <c:v>0.5907</c:v>
              </c:pt>
              <c:pt idx="200">
                <c:v>0.38619999999999999</c:v>
              </c:pt>
              <c:pt idx="201">
                <c:v>0.66690000000000005</c:v>
              </c:pt>
              <c:pt idx="202">
                <c:v>-0.37619999999999998</c:v>
              </c:pt>
              <c:pt idx="203">
                <c:v>0.44829999999999998</c:v>
              </c:pt>
              <c:pt idx="204">
                <c:v>-0.31259999999999999</c:v>
              </c:pt>
              <c:pt idx="205">
                <c:v>-1.8376999999999999</c:v>
              </c:pt>
              <c:pt idx="206">
                <c:v>1.8946000000000001</c:v>
              </c:pt>
              <c:pt idx="207">
                <c:v>0.2399</c:v>
              </c:pt>
              <c:pt idx="208">
                <c:v>-0.27800000000000002</c:v>
              </c:pt>
              <c:pt idx="209">
                <c:v>-0.51649999999999996</c:v>
              </c:pt>
              <c:pt idx="210">
                <c:v>-3.4085000000000001</c:v>
              </c:pt>
              <c:pt idx="211">
                <c:v>0.79569999999999996</c:v>
              </c:pt>
              <c:pt idx="212">
                <c:v>2.1236999999999999</c:v>
              </c:pt>
              <c:pt idx="213">
                <c:v>-0.4637</c:v>
              </c:pt>
              <c:pt idx="214">
                <c:v>-1.3947999999999998</c:v>
              </c:pt>
              <c:pt idx="215">
                <c:v>8.9999999999999976E-4</c:v>
              </c:pt>
              <c:pt idx="216">
                <c:v>-2.1100000000000003</c:v>
              </c:pt>
              <c:pt idx="217">
                <c:v>-2.6809000000000003</c:v>
              </c:pt>
              <c:pt idx="218">
                <c:v>-0.6099</c:v>
              </c:pt>
              <c:pt idx="219">
                <c:v>-2.8077000000000001</c:v>
              </c:pt>
              <c:pt idx="220">
                <c:v>0.84489999999999998</c:v>
              </c:pt>
              <c:pt idx="221">
                <c:v>-1.1734</c:v>
              </c:pt>
              <c:pt idx="222">
                <c:v>1.6671</c:v>
              </c:pt>
              <c:pt idx="223">
                <c:v>1.2913000000000001</c:v>
              </c:pt>
              <c:pt idx="224">
                <c:v>-1.2199</c:v>
              </c:pt>
              <c:pt idx="225">
                <c:v>3.8969</c:v>
              </c:pt>
              <c:pt idx="226">
                <c:v>-0.53390000000000004</c:v>
              </c:pt>
              <c:pt idx="227">
                <c:v>-0.60140000000000005</c:v>
              </c:pt>
              <c:pt idx="228">
                <c:v>-2.0209000000000001</c:v>
              </c:pt>
              <c:pt idx="229">
                <c:v>1.0939000000000001</c:v>
              </c:pt>
              <c:pt idx="230">
                <c:v>-0.71789999999999998</c:v>
              </c:pt>
              <c:pt idx="231">
                <c:v>-1.2944</c:v>
              </c:pt>
              <c:pt idx="232">
                <c:v>0.8024</c:v>
              </c:pt>
              <c:pt idx="233">
                <c:v>-0.76470000000000005</c:v>
              </c:pt>
              <c:pt idx="234">
                <c:v>0.37709999999999999</c:v>
              </c:pt>
              <c:pt idx="235">
                <c:v>-2.3115000000000001</c:v>
              </c:pt>
              <c:pt idx="236">
                <c:v>0.29959999999999998</c:v>
              </c:pt>
              <c:pt idx="237">
                <c:v>-2.2651000000000003</c:v>
              </c:pt>
              <c:pt idx="238">
                <c:v>0.43790000000000001</c:v>
              </c:pt>
              <c:pt idx="239">
                <c:v>4.4563999999999995</c:v>
              </c:pt>
              <c:pt idx="240">
                <c:v>-4.8999999999999998E-3</c:v>
              </c:pt>
              <c:pt idx="241">
                <c:v>2.0482999999999998</c:v>
              </c:pt>
              <c:pt idx="242">
                <c:v>-0.2586</c:v>
              </c:pt>
              <c:pt idx="243">
                <c:v>-0.1095</c:v>
              </c:pt>
              <c:pt idx="244">
                <c:v>-0.40410000000000001</c:v>
              </c:pt>
              <c:pt idx="245">
                <c:v>0.25390000000000001</c:v>
              </c:pt>
              <c:pt idx="246">
                <c:v>-4.1700000000000001E-2</c:v>
              </c:pt>
              <c:pt idx="247">
                <c:v>-1.7124999999999999</c:v>
              </c:pt>
              <c:pt idx="248">
                <c:v>1.4417000000000002</c:v>
              </c:pt>
              <c:pt idx="249">
                <c:v>0.41560000000000002</c:v>
              </c:pt>
              <c:pt idx="250">
                <c:v>0.67090000000000005</c:v>
              </c:pt>
              <c:pt idx="251">
                <c:v>-0.1482</c:v>
              </c:pt>
              <c:pt idx="252">
                <c:v>-0.38950000000000001</c:v>
              </c:pt>
              <c:pt idx="253">
                <c:v>1.1998000000000002</c:v>
              </c:pt>
              <c:pt idx="254">
                <c:v>0.127</c:v>
              </c:pt>
              <c:pt idx="255">
                <c:v>-2.5700000000000001E-2</c:v>
              </c:pt>
              <c:pt idx="256">
                <c:v>-7.3200000000000001E-2</c:v>
              </c:pt>
              <c:pt idx="257">
                <c:v>-1.0938999999999999</c:v>
              </c:pt>
              <c:pt idx="258">
                <c:v>1.637</c:v>
              </c:pt>
              <c:pt idx="259">
                <c:v>0.17149999999999999</c:v>
              </c:pt>
              <c:pt idx="260">
                <c:v>2.3702000000000001</c:v>
              </c:pt>
              <c:pt idx="261">
                <c:v>1.4667000000000001</c:v>
              </c:pt>
              <c:pt idx="262">
                <c:v>0.42349999999999999</c:v>
              </c:pt>
              <c:pt idx="263">
                <c:v>1.3554000000000002</c:v>
              </c:pt>
              <c:pt idx="264">
                <c:v>0.29099999999999998</c:v>
              </c:pt>
              <c:pt idx="265">
                <c:v>0.85650000000000004</c:v>
              </c:pt>
              <c:pt idx="266">
                <c:v>-0.69340000000000002</c:v>
              </c:pt>
              <c:pt idx="267">
                <c:v>0.24980000000000002</c:v>
              </c:pt>
              <c:pt idx="268">
                <c:v>2.0831</c:v>
              </c:pt>
              <c:pt idx="269">
                <c:v>0.51500000000000001</c:v>
              </c:pt>
              <c:pt idx="270">
                <c:v>-0.61809999999999998</c:v>
              </c:pt>
              <c:pt idx="271">
                <c:v>0.63900000000000001</c:v>
              </c:pt>
              <c:pt idx="272">
                <c:v>-0.36799999999999999</c:v>
              </c:pt>
              <c:pt idx="273">
                <c:v>1.5221</c:v>
              </c:pt>
              <c:pt idx="274">
                <c:v>-1.7105999999999999</c:v>
              </c:pt>
              <c:pt idx="275">
                <c:v>0.30990000000000001</c:v>
              </c:pt>
              <c:pt idx="276">
                <c:v>0.75990000000000002</c:v>
              </c:pt>
              <c:pt idx="277">
                <c:v>-0.42270000000000002</c:v>
              </c:pt>
              <c:pt idx="278">
                <c:v>1.0041000000000002</c:v>
              </c:pt>
              <c:pt idx="279">
                <c:v>-0.81079999999999997</c:v>
              </c:pt>
              <c:pt idx="280">
                <c:v>0.27429999999999999</c:v>
              </c:pt>
              <c:pt idx="281">
                <c:v>2.0130999999999997</c:v>
              </c:pt>
              <c:pt idx="282">
                <c:v>-4.1200000000000001E-2</c:v>
              </c:pt>
              <c:pt idx="283">
                <c:v>0.31309999999999999</c:v>
              </c:pt>
              <c:pt idx="284">
                <c:v>-0.36709999999999998</c:v>
              </c:pt>
              <c:pt idx="285">
                <c:v>-1.3640999999999999</c:v>
              </c:pt>
              <c:pt idx="286">
                <c:v>-0.84060000000000001</c:v>
              </c:pt>
              <c:pt idx="287">
                <c:v>-0.44350000000000001</c:v>
              </c:pt>
              <c:pt idx="288">
                <c:v>1.0227000000000002</c:v>
              </c:pt>
              <c:pt idx="289">
                <c:v>0.3901</c:v>
              </c:pt>
              <c:pt idx="290">
                <c:v>-1.1126999999999998</c:v>
              </c:pt>
              <c:pt idx="291">
                <c:v>1.2999000000000001</c:v>
              </c:pt>
              <c:pt idx="292">
                <c:v>1.1575000000000002</c:v>
              </c:pt>
              <c:pt idx="293">
                <c:v>-4.7800000000000002E-2</c:v>
              </c:pt>
              <c:pt idx="294">
                <c:v>-0.82740000000000002</c:v>
              </c:pt>
              <c:pt idx="295">
                <c:v>-0.1399</c:v>
              </c:pt>
              <c:pt idx="296">
                <c:v>-0.89229999999999998</c:v>
              </c:pt>
              <c:pt idx="297">
                <c:v>0.1128</c:v>
              </c:pt>
              <c:pt idx="298">
                <c:v>0.96950000000000003</c:v>
              </c:pt>
              <c:pt idx="299">
                <c:v>0.2036</c:v>
              </c:pt>
              <c:pt idx="300">
                <c:v>-1.3615999999999999</c:v>
              </c:pt>
              <c:pt idx="301">
                <c:v>0.77010000000000001</c:v>
              </c:pt>
              <c:pt idx="302">
                <c:v>0.1042</c:v>
              </c:pt>
              <c:pt idx="303">
                <c:v>-2.0823</c:v>
              </c:pt>
              <c:pt idx="304">
                <c:v>0.76049999999999995</c:v>
              </c:pt>
              <c:pt idx="305">
                <c:v>-0.89059999999999995</c:v>
              </c:pt>
              <c:pt idx="306">
                <c:v>-1.3093999999999999</c:v>
              </c:pt>
              <c:pt idx="307">
                <c:v>-1.5748</c:v>
              </c:pt>
              <c:pt idx="308">
                <c:v>0.8629</c:v>
              </c:pt>
              <c:pt idx="309">
                <c:v>-1.38</c:v>
              </c:pt>
              <c:pt idx="310">
                <c:v>0.51939999999999997</c:v>
              </c:pt>
              <c:pt idx="311">
                <c:v>0.20610000000000001</c:v>
              </c:pt>
              <c:pt idx="312">
                <c:v>7.8600000000000003E-2</c:v>
              </c:pt>
              <c:pt idx="313">
                <c:v>1.6196000000000002</c:v>
              </c:pt>
              <c:pt idx="314">
                <c:v>-0.75580000000000003</c:v>
              </c:pt>
              <c:pt idx="315">
                <c:v>-1.8833</c:v>
              </c:pt>
              <c:pt idx="316">
                <c:v>0.24890000000000001</c:v>
              </c:pt>
              <c:pt idx="317">
                <c:v>0.2293</c:v>
              </c:pt>
              <c:pt idx="318">
                <c:v>-1.5303</c:v>
              </c:pt>
              <c:pt idx="319">
                <c:v>-0.35070000000000001</c:v>
              </c:pt>
              <c:pt idx="320">
                <c:v>0.23399999999999999</c:v>
              </c:pt>
              <c:pt idx="321">
                <c:v>0.85129999999999995</c:v>
              </c:pt>
              <c:pt idx="322">
                <c:v>-0.55759999999999998</c:v>
              </c:pt>
              <c:pt idx="323">
                <c:v>-0.54759999999999998</c:v>
              </c:pt>
              <c:pt idx="324">
                <c:v>0.28029999999999999</c:v>
              </c:pt>
              <c:pt idx="325">
                <c:v>2.3041999999999998</c:v>
              </c:pt>
              <c:pt idx="326">
                <c:v>-0.2283</c:v>
              </c:pt>
              <c:pt idx="327">
                <c:v>0.5363</c:v>
              </c:pt>
              <c:pt idx="328">
                <c:v>-2.1406000000000001</c:v>
              </c:pt>
              <c:pt idx="329">
                <c:v>9.8199999999999996E-2</c:v>
              </c:pt>
              <c:pt idx="330">
                <c:v>-0.93500000000000005</c:v>
              </c:pt>
              <c:pt idx="331">
                <c:v>0.108</c:v>
              </c:pt>
              <c:pt idx="332">
                <c:v>-1.1133999999999999</c:v>
              </c:pt>
              <c:pt idx="333">
                <c:v>-0.33040000000000003</c:v>
              </c:pt>
              <c:pt idx="334">
                <c:v>0.24690000000000001</c:v>
              </c:pt>
              <c:pt idx="335">
                <c:v>-2.2050000000000001</c:v>
              </c:pt>
              <c:pt idx="336">
                <c:v>1.6720000000000002</c:v>
              </c:pt>
              <c:pt idx="337">
                <c:v>-2.8372000000000002</c:v>
              </c:pt>
              <c:pt idx="338">
                <c:v>0.56930000000000003</c:v>
              </c:pt>
              <c:pt idx="339">
                <c:v>1.1397000000000002</c:v>
              </c:pt>
              <c:pt idx="340">
                <c:v>-1.7660999999999998</c:v>
              </c:pt>
              <c:pt idx="341">
                <c:v>-0.32329999999999998</c:v>
              </c:pt>
              <c:pt idx="342">
                <c:v>-0.75329999999999997</c:v>
              </c:pt>
              <c:pt idx="343">
                <c:v>0.90310000000000001</c:v>
              </c:pt>
              <c:pt idx="344">
                <c:v>2.8468</c:v>
              </c:pt>
              <c:pt idx="345">
                <c:v>-1.1052999999999999</c:v>
              </c:pt>
              <c:pt idx="346">
                <c:v>0.54220000000000002</c:v>
              </c:pt>
              <c:pt idx="347">
                <c:v>-2.7158000000000002</c:v>
              </c:pt>
              <c:pt idx="348">
                <c:v>-3.0235000000000003</c:v>
              </c:pt>
              <c:pt idx="349">
                <c:v>1.5197000000000001</c:v>
              </c:pt>
              <c:pt idx="350">
                <c:v>0.78949999999999998</c:v>
              </c:pt>
              <c:pt idx="351">
                <c:v>0.33879999999999999</c:v>
              </c:pt>
              <c:pt idx="352">
                <c:v>-1.1487999999999998</c:v>
              </c:pt>
              <c:pt idx="353">
                <c:v>1.7050000000000001</c:v>
              </c:pt>
              <c:pt idx="354">
                <c:v>-0.68149999999999999</c:v>
              </c:pt>
              <c:pt idx="355">
                <c:v>0.2336</c:v>
              </c:pt>
              <c:pt idx="356">
                <c:v>-0.19689999999999999</c:v>
              </c:pt>
              <c:pt idx="357">
                <c:v>1.1316000000000002</c:v>
              </c:pt>
              <c:pt idx="358">
                <c:v>1.7379</c:v>
              </c:pt>
              <c:pt idx="359">
                <c:v>-0.11800000000000001</c:v>
              </c:pt>
              <c:pt idx="360">
                <c:v>0.83899999999999997</c:v>
              </c:pt>
              <c:pt idx="361">
                <c:v>-0.76370000000000005</c:v>
              </c:pt>
              <c:pt idx="362">
                <c:v>-0.78920000000000001</c:v>
              </c:pt>
              <c:pt idx="363">
                <c:v>-0.77680000000000005</c:v>
              </c:pt>
              <c:pt idx="364">
                <c:v>-0.40079999999999999</c:v>
              </c:pt>
              <c:pt idx="365">
                <c:v>0.62660000000000005</c:v>
              </c:pt>
              <c:pt idx="366">
                <c:v>-0.18970000000000001</c:v>
              </c:pt>
              <c:pt idx="367">
                <c:v>1.7483000000000002</c:v>
              </c:pt>
              <c:pt idx="368">
                <c:v>0.66469999999999996</c:v>
              </c:pt>
              <c:pt idx="369">
                <c:v>0.98860000000000003</c:v>
              </c:pt>
              <c:pt idx="370">
                <c:v>5.3999999999999999E-2</c:v>
              </c:pt>
              <c:pt idx="371">
                <c:v>-0.47310000000000002</c:v>
              </c:pt>
              <c:pt idx="372">
                <c:v>-0.2631</c:v>
              </c:pt>
              <c:pt idx="373">
                <c:v>-0.80190000000000006</c:v>
              </c:pt>
              <c:pt idx="374">
                <c:v>-0.80800000000000005</c:v>
              </c:pt>
              <c:pt idx="375">
                <c:v>8.7399999999999992E-2</c:v>
              </c:pt>
              <c:pt idx="376">
                <c:v>-1.7679999999999998</c:v>
              </c:pt>
              <c:pt idx="377">
                <c:v>-0.37759999999999999</c:v>
              </c:pt>
              <c:pt idx="378">
                <c:v>-0.20350000000000001</c:v>
              </c:pt>
              <c:pt idx="379">
                <c:v>0.51690000000000003</c:v>
              </c:pt>
              <c:pt idx="380">
                <c:v>-1.1028</c:v>
              </c:pt>
              <c:pt idx="381">
                <c:v>1.3989</c:v>
              </c:pt>
              <c:pt idx="382">
                <c:v>0.22209999999999999</c:v>
              </c:pt>
              <c:pt idx="383">
                <c:v>-1.9186999999999999</c:v>
              </c:pt>
              <c:pt idx="384">
                <c:v>-0.29339999999999999</c:v>
              </c:pt>
              <c:pt idx="385">
                <c:v>-0.42080000000000001</c:v>
              </c:pt>
              <c:pt idx="386">
                <c:v>-0.124</c:v>
              </c:pt>
              <c:pt idx="387">
                <c:v>2.1793999999999998</c:v>
              </c:pt>
              <c:pt idx="388">
                <c:v>0.47849999999999998</c:v>
              </c:pt>
              <c:pt idx="389">
                <c:v>1.544</c:v>
              </c:pt>
              <c:pt idx="390">
                <c:v>-3.78E-2</c:v>
              </c:pt>
              <c:pt idx="391">
                <c:v>-0.6996</c:v>
              </c:pt>
              <c:pt idx="392">
                <c:v>0.94599999999999995</c:v>
              </c:pt>
              <c:pt idx="393">
                <c:v>0.1222</c:v>
              </c:pt>
              <c:pt idx="394">
                <c:v>0.3301</c:v>
              </c:pt>
              <c:pt idx="395">
                <c:v>1.5411000000000001</c:v>
              </c:pt>
              <c:pt idx="396">
                <c:v>9.6799999999999997E-2</c:v>
              </c:pt>
              <c:pt idx="397">
                <c:v>-6.7799999999999999E-2</c:v>
              </c:pt>
              <c:pt idx="398">
                <c:v>0.57289999999999996</c:v>
              </c:pt>
              <c:pt idx="399">
                <c:v>-0.157</c:v>
              </c:pt>
              <c:pt idx="400">
                <c:v>0.2974</c:v>
              </c:pt>
              <c:pt idx="401">
                <c:v>-0.30099999999999999</c:v>
              </c:pt>
              <c:pt idx="402">
                <c:v>-0.4864</c:v>
              </c:pt>
              <c:pt idx="403">
                <c:v>0.99979999999999991</c:v>
              </c:pt>
              <c:pt idx="404">
                <c:v>-0.1394</c:v>
              </c:pt>
              <c:pt idx="405">
                <c:v>0.1115</c:v>
              </c:pt>
              <c:pt idx="406">
                <c:v>-0.372</c:v>
              </c:pt>
              <c:pt idx="407">
                <c:v>-0.12759999999999999</c:v>
              </c:pt>
              <c:pt idx="408">
                <c:v>-1.4362999999999999</c:v>
              </c:pt>
              <c:pt idx="409">
                <c:v>0.39300000000000002</c:v>
              </c:pt>
              <c:pt idx="410">
                <c:v>-0.27</c:v>
              </c:pt>
              <c:pt idx="411">
                <c:v>0.34399999999999997</c:v>
              </c:pt>
              <c:pt idx="412">
                <c:v>0.71730000000000005</c:v>
              </c:pt>
              <c:pt idx="413">
                <c:v>8.0000000000000002E-3</c:v>
              </c:pt>
              <c:pt idx="414">
                <c:v>-1.1355</c:v>
              </c:pt>
              <c:pt idx="415">
                <c:v>-0.55720000000000003</c:v>
              </c:pt>
              <c:pt idx="416">
                <c:v>1.3283</c:v>
              </c:pt>
              <c:pt idx="417">
                <c:v>0.77280000000000004</c:v>
              </c:pt>
              <c:pt idx="418">
                <c:v>2.8899999999999999E-2</c:v>
              </c:pt>
              <c:pt idx="419">
                <c:v>1.1304000000000001</c:v>
              </c:pt>
              <c:pt idx="420">
                <c:v>0.1072</c:v>
              </c:pt>
              <c:pt idx="421">
                <c:v>2.0764999999999998</c:v>
              </c:pt>
              <c:pt idx="422">
                <c:v>0.30890000000000001</c:v>
              </c:pt>
              <c:pt idx="423">
                <c:v>-0.3639</c:v>
              </c:pt>
              <c:pt idx="424">
                <c:v>0.61119999999999997</c:v>
              </c:pt>
              <c:pt idx="425">
                <c:v>-0.70399999999999996</c:v>
              </c:pt>
              <c:pt idx="426">
                <c:v>0.3463</c:v>
              </c:pt>
              <c:pt idx="427">
                <c:v>0.1736</c:v>
              </c:pt>
              <c:pt idx="428">
                <c:v>-0.44380000000000003</c:v>
              </c:pt>
              <c:pt idx="429">
                <c:v>-0.84050000000000002</c:v>
              </c:pt>
              <c:pt idx="430">
                <c:v>0.18159999999999998</c:v>
              </c:pt>
              <c:pt idx="431">
                <c:v>0.40429999999999999</c:v>
              </c:pt>
              <c:pt idx="432">
                <c:v>-0.51549999999999996</c:v>
              </c:pt>
              <c:pt idx="433">
                <c:v>0.55510000000000004</c:v>
              </c:pt>
              <c:pt idx="434">
                <c:v>-0.4451</c:v>
              </c:pt>
              <c:pt idx="435">
                <c:v>-3.2800000000000003E-2</c:v>
              </c:pt>
              <c:pt idx="436">
                <c:v>0.1051</c:v>
              </c:pt>
              <c:pt idx="437">
                <c:v>-0.9798</c:v>
              </c:pt>
              <c:pt idx="438">
                <c:v>-0.317</c:v>
              </c:pt>
              <c:pt idx="439">
                <c:v>-1.8681999999999999</c:v>
              </c:pt>
              <c:pt idx="440">
                <c:v>-0.20019999999999999</c:v>
              </c:pt>
              <c:pt idx="441">
                <c:v>-0.2472</c:v>
              </c:pt>
              <c:pt idx="442">
                <c:v>0.69709999999999994</c:v>
              </c:pt>
              <c:pt idx="443">
                <c:v>-9.1600000000000001E-2</c:v>
              </c:pt>
              <c:pt idx="444">
                <c:v>1.0499999999999999E-2</c:v>
              </c:pt>
              <c:pt idx="445">
                <c:v>-0.76470000000000005</c:v>
              </c:pt>
              <c:pt idx="446">
                <c:v>-0.48630000000000001</c:v>
              </c:pt>
              <c:pt idx="447">
                <c:v>-0.48649999999999999</c:v>
              </c:pt>
              <c:pt idx="448">
                <c:v>-0.3115</c:v>
              </c:pt>
              <c:pt idx="449">
                <c:v>-0.72740000000000005</c:v>
              </c:pt>
              <c:pt idx="450">
                <c:v>-1.7815999999999999</c:v>
              </c:pt>
              <c:pt idx="451">
                <c:v>-0.59899999999999998</c:v>
              </c:pt>
              <c:pt idx="452">
                <c:v>1.2709000000000001</c:v>
              </c:pt>
              <c:pt idx="453">
                <c:v>-0.23350000000000001</c:v>
              </c:pt>
              <c:pt idx="454">
                <c:v>0.1865</c:v>
              </c:pt>
              <c:pt idx="455">
                <c:v>0.42549999999999999</c:v>
              </c:pt>
              <c:pt idx="456">
                <c:v>-0.35189999999999999</c:v>
              </c:pt>
              <c:pt idx="457">
                <c:v>0.7087</c:v>
              </c:pt>
              <c:pt idx="458">
                <c:v>0.69240000000000002</c:v>
              </c:pt>
              <c:pt idx="459">
                <c:v>-0.61619999999999997</c:v>
              </c:pt>
              <c:pt idx="460">
                <c:v>0.69310000000000005</c:v>
              </c:pt>
              <c:pt idx="461">
                <c:v>-0.3528</c:v>
              </c:pt>
              <c:pt idx="462">
                <c:v>-1.8316999999999999</c:v>
              </c:pt>
              <c:pt idx="463">
                <c:v>0.3286</c:v>
              </c:pt>
              <c:pt idx="464">
                <c:v>-0.22550000000000001</c:v>
              </c:pt>
              <c:pt idx="465">
                <c:v>-0.19589999999999999</c:v>
              </c:pt>
              <c:pt idx="466">
                <c:v>-1.7399999999999999E-2</c:v>
              </c:pt>
              <c:pt idx="467">
                <c:v>0.23139999999999999</c:v>
              </c:pt>
              <c:pt idx="468">
                <c:v>-0.80779999999999996</c:v>
              </c:pt>
              <c:pt idx="469">
                <c:v>0.24029999999999999</c:v>
              </c:pt>
              <c:pt idx="470">
                <c:v>3.0495000000000001</c:v>
              </c:pt>
              <c:pt idx="471">
                <c:v>1.1014000000000002</c:v>
              </c:pt>
              <c:pt idx="472">
                <c:v>0.30469999999999997</c:v>
              </c:pt>
              <c:pt idx="473">
                <c:v>6.0600000000000001E-2</c:v>
              </c:pt>
              <c:pt idx="474">
                <c:v>0.91569999999999996</c:v>
              </c:pt>
              <c:pt idx="475">
                <c:v>1.0129000000000001</c:v>
              </c:pt>
              <c:pt idx="476">
                <c:v>0.2571</c:v>
              </c:pt>
              <c:pt idx="477">
                <c:v>1.1099999999999999E-2</c:v>
              </c:pt>
              <c:pt idx="478">
                <c:v>0.62739999999999996</c:v>
              </c:pt>
              <c:pt idx="479">
                <c:v>-0.3407</c:v>
              </c:pt>
              <c:pt idx="480">
                <c:v>0.24590000000000001</c:v>
              </c:pt>
              <c:pt idx="481">
                <c:v>-0.43259999999999998</c:v>
              </c:pt>
              <c:pt idx="482">
                <c:v>5.1999999999999998E-2</c:v>
              </c:pt>
              <c:pt idx="483">
                <c:v>0.99680000000000002</c:v>
              </c:pt>
              <c:pt idx="484">
                <c:v>0.86319999999999997</c:v>
              </c:pt>
              <c:pt idx="485">
                <c:v>-0.75770000000000004</c:v>
              </c:pt>
              <c:pt idx="486">
                <c:v>-0.88349999999999995</c:v>
              </c:pt>
              <c:pt idx="487">
                <c:v>0.16009999999999999</c:v>
              </c:pt>
              <c:pt idx="488">
                <c:v>0.43730000000000002</c:v>
              </c:pt>
              <c:pt idx="489">
                <c:v>-1.0769</c:v>
              </c:pt>
              <c:pt idx="490">
                <c:v>-1.0024</c:v>
              </c:pt>
              <c:pt idx="491">
                <c:v>0.26540000000000002</c:v>
              </c:pt>
              <c:pt idx="492">
                <c:v>-6.4299999999999996E-2</c:v>
              </c:pt>
              <c:pt idx="493">
                <c:v>1.3291000000000002</c:v>
              </c:pt>
              <c:pt idx="494">
                <c:v>-3.4200000000000001E-2</c:v>
              </c:pt>
              <c:pt idx="495">
                <c:v>0.18309999999999998</c:v>
              </c:pt>
              <c:pt idx="496">
                <c:v>0.66279999999999994</c:v>
              </c:pt>
              <c:pt idx="497">
                <c:v>1.0271000000000001</c:v>
              </c:pt>
              <c:pt idx="498">
                <c:v>0.73499999999999999</c:v>
              </c:pt>
              <c:pt idx="499">
                <c:v>-0.39739999999999998</c:v>
              </c:pt>
              <c:pt idx="500">
                <c:v>-0.65720000000000001</c:v>
              </c:pt>
              <c:pt idx="501">
                <c:v>-0.435</c:v>
              </c:pt>
              <c:pt idx="502">
                <c:v>0.2167</c:v>
              </c:pt>
              <c:pt idx="503">
                <c:v>0.93589999999999995</c:v>
              </c:pt>
              <c:pt idx="504">
                <c:v>9.3100000000000002E-2</c:v>
              </c:pt>
              <c:pt idx="505">
                <c:v>5.8599999999999999E-2</c:v>
              </c:pt>
              <c:pt idx="506">
                <c:v>-0.75929999999999997</c:v>
              </c:pt>
              <c:pt idx="507">
                <c:v>-0.83830000000000005</c:v>
              </c:pt>
              <c:pt idx="508">
                <c:v>-1.0971</c:v>
              </c:pt>
              <c:pt idx="509">
                <c:v>1.5115000000000001</c:v>
              </c:pt>
              <c:pt idx="510">
                <c:v>-0.10590000000000001</c:v>
              </c:pt>
              <c:pt idx="511">
                <c:v>0.4385</c:v>
              </c:pt>
              <c:pt idx="512">
                <c:v>-0.19550000000000001</c:v>
              </c:pt>
              <c:pt idx="513">
                <c:v>-0.62719999999999998</c:v>
              </c:pt>
              <c:pt idx="514">
                <c:v>-0.30759999999999998</c:v>
              </c:pt>
              <c:pt idx="515">
                <c:v>0.54410000000000003</c:v>
              </c:pt>
              <c:pt idx="516">
                <c:v>1.1226</c:v>
              </c:pt>
              <c:pt idx="517">
                <c:v>0.39329999999999998</c:v>
              </c:pt>
              <c:pt idx="518">
                <c:v>0.21429999999999999</c:v>
              </c:pt>
              <c:pt idx="519">
                <c:v>7.2800000000000004E-2</c:v>
              </c:pt>
              <c:pt idx="520">
                <c:v>0.84860000000000002</c:v>
              </c:pt>
              <c:pt idx="521">
                <c:v>-0.4612</c:v>
              </c:pt>
              <c:pt idx="522">
                <c:v>0.24659999999999999</c:v>
              </c:pt>
              <c:pt idx="523">
                <c:v>0.46239999999999998</c:v>
              </c:pt>
              <c:pt idx="524">
                <c:v>0.2152</c:v>
              </c:pt>
              <c:pt idx="525">
                <c:v>0.85029999999999994</c:v>
              </c:pt>
              <c:pt idx="526">
                <c:v>-0.89929999999999999</c:v>
              </c:pt>
              <c:pt idx="527">
                <c:v>-0.1255</c:v>
              </c:pt>
              <c:pt idx="528">
                <c:v>0.48859999999999998</c:v>
              </c:pt>
              <c:pt idx="529">
                <c:v>-0.49509999999999998</c:v>
              </c:pt>
              <c:pt idx="530">
                <c:v>-0.8468</c:v>
              </c:pt>
              <c:pt idx="531">
                <c:v>0.2135</c:v>
              </c:pt>
              <c:pt idx="532">
                <c:v>0.83730000000000004</c:v>
              </c:pt>
              <c:pt idx="533">
                <c:v>-1.232</c:v>
              </c:pt>
              <c:pt idx="534">
                <c:v>0.82450000000000001</c:v>
              </c:pt>
              <c:pt idx="535">
                <c:v>0.2185</c:v>
              </c:pt>
              <c:pt idx="536">
                <c:v>0.12529999999999999</c:v>
              </c:pt>
              <c:pt idx="537">
                <c:v>0.68089999999999995</c:v>
              </c:pt>
              <c:pt idx="538">
                <c:v>0.2908</c:v>
              </c:pt>
              <c:pt idx="539">
                <c:v>-0.55200000000000005</c:v>
              </c:pt>
              <c:pt idx="540">
                <c:v>7.0000000000000001E-3</c:v>
              </c:pt>
              <c:pt idx="541">
                <c:v>-0.55169999999999997</c:v>
              </c:pt>
              <c:pt idx="542">
                <c:v>-0.30870000000000003</c:v>
              </c:pt>
              <c:pt idx="543">
                <c:v>-1.4789999999999999</c:v>
              </c:pt>
              <c:pt idx="544">
                <c:v>0.34370000000000001</c:v>
              </c:pt>
              <c:pt idx="545">
                <c:v>-0.52029999999999998</c:v>
              </c:pt>
              <c:pt idx="546">
                <c:v>0.1739</c:v>
              </c:pt>
              <c:pt idx="547">
                <c:v>-0.20319999999999999</c:v>
              </c:pt>
              <c:pt idx="548">
                <c:v>0.76239999999999997</c:v>
              </c:pt>
              <c:pt idx="549">
                <c:v>9.9999999999999829E-5</c:v>
              </c:pt>
              <c:pt idx="550">
                <c:v>0.47649999999999998</c:v>
              </c:pt>
              <c:pt idx="551">
                <c:v>-0.34870000000000001</c:v>
              </c:pt>
              <c:pt idx="552">
                <c:v>0.65239999999999998</c:v>
              </c:pt>
              <c:pt idx="553">
                <c:v>-0.24790000000000001</c:v>
              </c:pt>
              <c:pt idx="554">
                <c:v>0.17330000000000001</c:v>
              </c:pt>
              <c:pt idx="555">
                <c:v>0.3649</c:v>
              </c:pt>
              <c:pt idx="556">
                <c:v>-2.4186000000000001</c:v>
              </c:pt>
              <c:pt idx="557">
                <c:v>-0.31630000000000003</c:v>
              </c:pt>
              <c:pt idx="558">
                <c:v>0.31040000000000001</c:v>
              </c:pt>
              <c:pt idx="559">
                <c:v>1.3446</c:v>
              </c:pt>
              <c:pt idx="560">
                <c:v>-0.4667</c:v>
              </c:pt>
              <c:pt idx="561">
                <c:v>-0.74860000000000004</c:v>
              </c:pt>
              <c:pt idx="562">
                <c:v>0.47909999999999997</c:v>
              </c:pt>
              <c:pt idx="563">
                <c:v>9.98E-2</c:v>
              </c:pt>
              <c:pt idx="564">
                <c:v>-0.23020000000000002</c:v>
              </c:pt>
              <c:pt idx="565">
                <c:v>1.7710000000000001</c:v>
              </c:pt>
              <c:pt idx="566">
                <c:v>0.49480000000000002</c:v>
              </c:pt>
              <c:pt idx="567">
                <c:v>-0.35</c:v>
              </c:pt>
              <c:pt idx="568">
                <c:v>1.0109000000000001</c:v>
              </c:pt>
              <c:pt idx="569">
                <c:v>-2.7400000000000001E-2</c:v>
              </c:pt>
              <c:pt idx="570">
                <c:v>8.9999999999999976E-4</c:v>
              </c:pt>
              <c:pt idx="571">
                <c:v>9.2699999999999991E-2</c:v>
              </c:pt>
              <c:pt idx="572">
                <c:v>0.78990000000000005</c:v>
              </c:pt>
              <c:pt idx="573">
                <c:v>0.42670000000000002</c:v>
              </c:pt>
              <c:pt idx="574">
                <c:v>7.7199999999999991E-2</c:v>
              </c:pt>
              <c:pt idx="575">
                <c:v>0.4143</c:v>
              </c:pt>
              <c:pt idx="576">
                <c:v>-7.640000000000001E-2</c:v>
              </c:pt>
              <c:pt idx="577">
                <c:v>1.2633000000000001</c:v>
              </c:pt>
              <c:pt idx="578">
                <c:v>0.22409999999999999</c:v>
              </c:pt>
              <c:pt idx="579">
                <c:v>-7.1000000000000008E-2</c:v>
              </c:pt>
              <c:pt idx="580">
                <c:v>-0.38950000000000001</c:v>
              </c:pt>
              <c:pt idx="581">
                <c:v>3.9399999999999998E-2</c:v>
              </c:pt>
              <c:pt idx="582">
                <c:v>0.80289999999999995</c:v>
              </c:pt>
              <c:pt idx="583">
                <c:v>0.85240000000000005</c:v>
              </c:pt>
              <c:pt idx="584">
                <c:v>-0.26390000000000002</c:v>
              </c:pt>
              <c:pt idx="585">
                <c:v>0.1028</c:v>
              </c:pt>
              <c:pt idx="586">
                <c:v>6.8599999999999994E-2</c:v>
              </c:pt>
              <c:pt idx="587">
                <c:v>0.1852</c:v>
              </c:pt>
              <c:pt idx="588">
                <c:v>-1.9386999999999999</c:v>
              </c:pt>
              <c:pt idx="589">
                <c:v>-0.34410000000000002</c:v>
              </c:pt>
              <c:pt idx="590">
                <c:v>0.84989999999999999</c:v>
              </c:pt>
              <c:pt idx="591">
                <c:v>-0.20910000000000001</c:v>
              </c:pt>
              <c:pt idx="592">
                <c:v>0.89880000000000004</c:v>
              </c:pt>
              <c:pt idx="593">
                <c:v>-1.1441999999999999</c:v>
              </c:pt>
              <c:pt idx="594">
                <c:v>0.13650000000000001</c:v>
              </c:pt>
              <c:pt idx="595">
                <c:v>-0.65659999999999996</c:v>
              </c:pt>
              <c:pt idx="596">
                <c:v>-0.1226</c:v>
              </c:pt>
              <c:pt idx="597">
                <c:v>-0.1167</c:v>
              </c:pt>
              <c:pt idx="598">
                <c:v>-1.0568</c:v>
              </c:pt>
              <c:pt idx="599">
                <c:v>-1.4599999999999998E-2</c:v>
              </c:pt>
              <c:pt idx="600">
                <c:v>0.80100000000000005</c:v>
              </c:pt>
              <c:pt idx="601">
                <c:v>-0.54859999999999998</c:v>
              </c:pt>
              <c:pt idx="602">
                <c:v>-2.0505</c:v>
              </c:pt>
              <c:pt idx="603">
                <c:v>-0.1782</c:v>
              </c:pt>
              <c:pt idx="604">
                <c:v>0.68940000000000001</c:v>
              </c:pt>
              <c:pt idx="605">
                <c:v>0.22359999999999999</c:v>
              </c:pt>
              <c:pt idx="606">
                <c:v>-4.8300000000000003E-2</c:v>
              </c:pt>
              <c:pt idx="607">
                <c:v>-1.367</c:v>
              </c:pt>
              <c:pt idx="608">
                <c:v>-1.3489</c:v>
              </c:pt>
              <c:pt idx="609">
                <c:v>-0.45669999999999999</c:v>
              </c:pt>
              <c:pt idx="610">
                <c:v>-1.2324999999999999</c:v>
              </c:pt>
              <c:pt idx="611">
                <c:v>1.5710000000000002</c:v>
              </c:pt>
              <c:pt idx="612">
                <c:v>1.262</c:v>
              </c:pt>
              <c:pt idx="613">
                <c:v>2.2334999999999998</c:v>
              </c:pt>
              <c:pt idx="614">
                <c:v>-0.3286</c:v>
              </c:pt>
              <c:pt idx="615">
                <c:v>-0.25390000000000001</c:v>
              </c:pt>
              <c:pt idx="616">
                <c:v>-1.3145</c:v>
              </c:pt>
              <c:pt idx="617">
                <c:v>-0.22700000000000001</c:v>
              </c:pt>
              <c:pt idx="618">
                <c:v>1.3572000000000002</c:v>
              </c:pt>
              <c:pt idx="619">
                <c:v>-1.4566999999999999</c:v>
              </c:pt>
              <c:pt idx="620">
                <c:v>1.0670000000000002</c:v>
              </c:pt>
              <c:pt idx="621">
                <c:v>0.50390000000000001</c:v>
              </c:pt>
              <c:pt idx="622">
                <c:v>2.0703999999999998</c:v>
              </c:pt>
              <c:pt idx="623">
                <c:v>0.49640000000000001</c:v>
              </c:pt>
              <c:pt idx="624">
                <c:v>0.41199999999999998</c:v>
              </c:pt>
              <c:pt idx="625">
                <c:v>6.2799999999999995E-2</c:v>
              </c:pt>
              <c:pt idx="626">
                <c:v>-1.7000000000000001E-2</c:v>
              </c:pt>
              <c:pt idx="627">
                <c:v>-0.78180000000000005</c:v>
              </c:pt>
              <c:pt idx="628">
                <c:v>-1.6374</c:v>
              </c:pt>
              <c:pt idx="629">
                <c:v>0.53410000000000002</c:v>
              </c:pt>
              <c:pt idx="630">
                <c:v>1.3352000000000002</c:v>
              </c:pt>
              <c:pt idx="631">
                <c:v>-0.22800000000000001</c:v>
              </c:pt>
              <c:pt idx="632">
                <c:v>-0.4017</c:v>
              </c:pt>
              <c:pt idx="633">
                <c:v>-0.17680000000000001</c:v>
              </c:pt>
              <c:pt idx="634">
                <c:v>-0.80259999999999998</c:v>
              </c:pt>
              <c:pt idx="635">
                <c:v>0.97</c:v>
              </c:pt>
              <c:pt idx="636">
                <c:v>-0.6865</c:v>
              </c:pt>
              <c:pt idx="637">
                <c:v>-0.64290000000000003</c:v>
              </c:pt>
              <c:pt idx="638">
                <c:v>0.53749999999999998</c:v>
              </c:pt>
              <c:pt idx="639">
                <c:v>0.4743</c:v>
              </c:pt>
              <c:pt idx="640">
                <c:v>-1.2357999999999998</c:v>
              </c:pt>
              <c:pt idx="641">
                <c:v>-1.4768999999999999</c:v>
              </c:pt>
              <c:pt idx="642">
                <c:v>-0.17510000000000001</c:v>
              </c:pt>
              <c:pt idx="643">
                <c:v>-0.65680000000000005</c:v>
              </c:pt>
              <c:pt idx="644">
                <c:v>0.59650000000000003</c:v>
              </c:pt>
              <c:pt idx="645">
                <c:v>1.0403</c:v>
              </c:pt>
              <c:pt idx="646">
                <c:v>-0.4415</c:v>
              </c:pt>
              <c:pt idx="647">
                <c:v>-0.81200000000000006</c:v>
              </c:pt>
              <c:pt idx="648">
                <c:v>0.47439999999999999</c:v>
              </c:pt>
              <c:pt idx="649">
                <c:v>-0.31630000000000003</c:v>
              </c:pt>
              <c:pt idx="650">
                <c:v>-0.86180000000000001</c:v>
              </c:pt>
              <c:pt idx="651">
                <c:v>-0.23650000000000002</c:v>
              </c:pt>
              <c:pt idx="652">
                <c:v>0.74829999999999997</c:v>
              </c:pt>
              <c:pt idx="653">
                <c:v>0.2717</c:v>
              </c:pt>
              <c:pt idx="654">
                <c:v>-0.94640000000000002</c:v>
              </c:pt>
              <c:pt idx="655">
                <c:v>4.4299999999999999E-2</c:v>
              </c:pt>
              <c:pt idx="656">
                <c:v>1.1801000000000001</c:v>
              </c:pt>
              <c:pt idx="657">
                <c:v>1.3048000000000002</c:v>
              </c:pt>
              <c:pt idx="658">
                <c:v>0.20829999999999999</c:v>
              </c:pt>
              <c:pt idx="659">
                <c:v>0.61099999999999999</c:v>
              </c:pt>
              <c:pt idx="660">
                <c:v>-6.4000000000000001E-2</c:v>
              </c:pt>
              <c:pt idx="661">
                <c:v>1.0511000000000001</c:v>
              </c:pt>
              <c:pt idx="662">
                <c:v>-6.3E-2</c:v>
              </c:pt>
              <c:pt idx="663">
                <c:v>0.33829999999999999</c:v>
              </c:pt>
              <c:pt idx="664">
                <c:v>0.20019999999999999</c:v>
              </c:pt>
              <c:pt idx="665">
                <c:v>-2.9999999999999992E-4</c:v>
              </c:pt>
              <c:pt idx="666">
                <c:v>0.19619999999999999</c:v>
              </c:pt>
              <c:pt idx="667">
                <c:v>-0.70030000000000003</c:v>
              </c:pt>
              <c:pt idx="668">
                <c:v>-0.31840000000000002</c:v>
              </c:pt>
              <c:pt idx="669">
                <c:v>1.3735000000000002</c:v>
              </c:pt>
              <c:pt idx="670">
                <c:v>-7.0400000000000004E-2</c:v>
              </c:pt>
              <c:pt idx="671">
                <c:v>-0.49630000000000002</c:v>
              </c:pt>
              <c:pt idx="672">
                <c:v>1.0108000000000001</c:v>
              </c:pt>
              <c:pt idx="673">
                <c:v>7.2800000000000004E-2</c:v>
              </c:pt>
              <c:pt idx="674">
                <c:v>-0.18660000000000002</c:v>
              </c:pt>
              <c:pt idx="675">
                <c:v>-1.208</c:v>
              </c:pt>
              <c:pt idx="676">
                <c:v>0.5575</c:v>
              </c:pt>
              <c:pt idx="677">
                <c:v>-0.6956</c:v>
              </c:pt>
              <c:pt idx="678">
                <c:v>0.15770000000000001</c:v>
              </c:pt>
              <c:pt idx="679">
                <c:v>0.35670000000000002</c:v>
              </c:pt>
              <c:pt idx="680">
                <c:v>1.7164000000000001</c:v>
              </c:pt>
              <c:pt idx="681">
                <c:v>6.3100000000000003E-2</c:v>
              </c:pt>
              <c:pt idx="682">
                <c:v>-0.373</c:v>
              </c:pt>
              <c:pt idx="683">
                <c:v>0.49960000000000004</c:v>
              </c:pt>
              <c:pt idx="684">
                <c:v>-0.37280000000000002</c:v>
              </c:pt>
              <c:pt idx="685">
                <c:v>5.2599999999999994E-2</c:v>
              </c:pt>
              <c:pt idx="686">
                <c:v>-0.9103</c:v>
              </c:pt>
              <c:pt idx="687">
                <c:v>1.1257000000000001</c:v>
              </c:pt>
              <c:pt idx="688">
                <c:v>-0.43049999999999999</c:v>
              </c:pt>
              <c:pt idx="689">
                <c:v>0.50580000000000003</c:v>
              </c:pt>
              <c:pt idx="690">
                <c:v>0.78800000000000003</c:v>
              </c:pt>
              <c:pt idx="691">
                <c:v>-0.26240000000000002</c:v>
              </c:pt>
              <c:pt idx="692">
                <c:v>-1.55E-2</c:v>
              </c:pt>
              <c:pt idx="693">
                <c:v>-0.29620000000000002</c:v>
              </c:pt>
              <c:pt idx="694">
                <c:v>0.23619999999999999</c:v>
              </c:pt>
              <c:pt idx="695">
                <c:v>-0.80369999999999997</c:v>
              </c:pt>
              <c:pt idx="696">
                <c:v>0.72770000000000001</c:v>
              </c:pt>
              <c:pt idx="697">
                <c:v>0.15329999999999999</c:v>
              </c:pt>
              <c:pt idx="698">
                <c:v>0.51910000000000001</c:v>
              </c:pt>
              <c:pt idx="699">
                <c:v>-0.1804</c:v>
              </c:pt>
              <c:pt idx="700">
                <c:v>-0.73799999999999999</c:v>
              </c:pt>
              <c:pt idx="701">
                <c:v>-0.40960000000000002</c:v>
              </c:pt>
              <c:pt idx="702">
                <c:v>-1.1095999999999999</c:v>
              </c:pt>
              <c:pt idx="703">
                <c:v>0.23599999999999999</c:v>
              </c:pt>
              <c:pt idx="704">
                <c:v>1.8000000000000002E-2</c:v>
              </c:pt>
              <c:pt idx="705">
                <c:v>-0.65849999999999997</c:v>
              </c:pt>
              <c:pt idx="706">
                <c:v>-0.57610000000000006</c:v>
              </c:pt>
              <c:pt idx="707">
                <c:v>0.15209999999999999</c:v>
              </c:pt>
              <c:pt idx="708">
                <c:v>-1.1195999999999999</c:v>
              </c:pt>
              <c:pt idx="709">
                <c:v>0.3745</c:v>
              </c:pt>
              <c:pt idx="710">
                <c:v>0.51449999999999996</c:v>
              </c:pt>
              <c:pt idx="711">
                <c:v>0.17219999999999999</c:v>
              </c:pt>
              <c:pt idx="712">
                <c:v>0.83279999999999998</c:v>
              </c:pt>
              <c:pt idx="713">
                <c:v>-0.68020000000000003</c:v>
              </c:pt>
              <c:pt idx="714">
                <c:v>-1.2911999999999999</c:v>
              </c:pt>
              <c:pt idx="715">
                <c:v>0.2107</c:v>
              </c:pt>
              <c:pt idx="716">
                <c:v>0.86460000000000004</c:v>
              </c:pt>
              <c:pt idx="717">
                <c:v>0.73329999999999995</c:v>
              </c:pt>
              <c:pt idx="718">
                <c:v>0.5756</c:v>
              </c:pt>
              <c:pt idx="719">
                <c:v>0.79600000000000004</c:v>
              </c:pt>
              <c:pt idx="720">
                <c:v>0.52649999999999997</c:v>
              </c:pt>
              <c:pt idx="721">
                <c:v>8.9499999999999996E-2</c:v>
              </c:pt>
              <c:pt idx="722">
                <c:v>-0.26550000000000001</c:v>
              </c:pt>
              <c:pt idx="723">
                <c:v>0.29980000000000001</c:v>
              </c:pt>
              <c:pt idx="724">
                <c:v>-0.50870000000000004</c:v>
              </c:pt>
              <c:pt idx="725">
                <c:v>-9.64E-2</c:v>
              </c:pt>
              <c:pt idx="726">
                <c:v>0.91179999999999994</c:v>
              </c:pt>
              <c:pt idx="727">
                <c:v>-1.7600000000000001E-2</c:v>
              </c:pt>
              <c:pt idx="728">
                <c:v>-0.11700000000000001</c:v>
              </c:pt>
              <c:pt idx="729">
                <c:v>-0.86560000000000004</c:v>
              </c:pt>
              <c:pt idx="730">
                <c:v>0.1835</c:v>
              </c:pt>
              <c:pt idx="731">
                <c:v>-0.75870000000000004</c:v>
              </c:pt>
              <c:pt idx="732">
                <c:v>0.4657</c:v>
              </c:pt>
              <c:pt idx="733">
                <c:v>-4.9600000000000005E-2</c:v>
              </c:pt>
              <c:pt idx="734">
                <c:v>0.69359999999999999</c:v>
              </c:pt>
              <c:pt idx="735">
                <c:v>1.04E-2</c:v>
              </c:pt>
              <c:pt idx="736">
                <c:v>0.56540000000000001</c:v>
              </c:pt>
              <c:pt idx="737">
                <c:v>-7.3599999999999999E-2</c:v>
              </c:pt>
              <c:pt idx="738">
                <c:v>0.20119999999999999</c:v>
              </c:pt>
              <c:pt idx="739">
                <c:v>0.2109</c:v>
              </c:pt>
              <c:pt idx="740">
                <c:v>0.57450000000000001</c:v>
              </c:pt>
              <c:pt idx="741">
                <c:v>1.0273000000000001</c:v>
              </c:pt>
              <c:pt idx="742">
                <c:v>-0.14130000000000001</c:v>
              </c:pt>
              <c:pt idx="743">
                <c:v>9.0000000000000011E-3</c:v>
              </c:pt>
              <c:pt idx="744">
                <c:v>-0.77229999999999999</c:v>
              </c:pt>
              <c:pt idx="745">
                <c:v>-0.54890000000000005</c:v>
              </c:pt>
              <c:pt idx="746">
                <c:v>0.14149999999999999</c:v>
              </c:pt>
              <c:pt idx="747">
                <c:v>0.50919999999999999</c:v>
              </c:pt>
              <c:pt idx="748">
                <c:v>-0.48720000000000002</c:v>
              </c:pt>
              <c:pt idx="749">
                <c:v>0.1691</c:v>
              </c:pt>
              <c:pt idx="750">
                <c:v>0.42809999999999998</c:v>
              </c:pt>
              <c:pt idx="751">
                <c:v>-0.21410000000000001</c:v>
              </c:pt>
              <c:pt idx="752">
                <c:v>0.63149999999999995</c:v>
              </c:pt>
              <c:pt idx="753">
                <c:v>0.1081</c:v>
              </c:pt>
              <c:pt idx="754">
                <c:v>-0.19020000000000001</c:v>
              </c:pt>
              <c:pt idx="755">
                <c:v>0.29389999999999999</c:v>
              </c:pt>
              <c:pt idx="756">
                <c:v>-0.2545</c:v>
              </c:pt>
              <c:pt idx="757">
                <c:v>0.29189999999999999</c:v>
              </c:pt>
              <c:pt idx="758">
                <c:v>-0.35370000000000001</c:v>
              </c:pt>
              <c:pt idx="759">
                <c:v>3.4299999999999997E-2</c:v>
              </c:pt>
              <c:pt idx="760">
                <c:v>-1.5942999999999998</c:v>
              </c:pt>
              <c:pt idx="761">
                <c:v>-2.3715999999999999</c:v>
              </c:pt>
              <c:pt idx="762">
                <c:v>0.55840000000000001</c:v>
              </c:pt>
              <c:pt idx="763">
                <c:v>0.9113</c:v>
              </c:pt>
              <c:pt idx="764">
                <c:v>5.1799999999999999E-2</c:v>
              </c:pt>
              <c:pt idx="765">
                <c:v>0.45600000000000002</c:v>
              </c:pt>
              <c:pt idx="766">
                <c:v>0.94510000000000005</c:v>
              </c:pt>
              <c:pt idx="767">
                <c:v>-0.51149999999999995</c:v>
              </c:pt>
              <c:pt idx="768">
                <c:v>0.53849999999999998</c:v>
              </c:pt>
              <c:pt idx="769">
                <c:v>6.59E-2</c:v>
              </c:pt>
              <c:pt idx="770">
                <c:v>0.42659999999999998</c:v>
              </c:pt>
              <c:pt idx="771">
                <c:v>0.23960000000000001</c:v>
              </c:pt>
              <c:pt idx="772">
                <c:v>-0.61570000000000003</c:v>
              </c:pt>
              <c:pt idx="773">
                <c:v>0.89900000000000002</c:v>
              </c:pt>
              <c:pt idx="774">
                <c:v>-0.48370000000000002</c:v>
              </c:pt>
              <c:pt idx="775">
                <c:v>0.17219999999999999</c:v>
              </c:pt>
              <c:pt idx="776">
                <c:v>0.29089999999999999</c:v>
              </c:pt>
              <c:pt idx="777">
                <c:v>0.44619999999999999</c:v>
              </c:pt>
              <c:pt idx="778">
                <c:v>-0.43919999999999998</c:v>
              </c:pt>
              <c:pt idx="779">
                <c:v>-0.55600000000000005</c:v>
              </c:pt>
              <c:pt idx="780">
                <c:v>0.90920000000000001</c:v>
              </c:pt>
              <c:pt idx="781">
                <c:v>0.92930000000000001</c:v>
              </c:pt>
              <c:pt idx="782">
                <c:v>-1E-3</c:v>
              </c:pt>
              <c:pt idx="783">
                <c:v>-0.56369999999999998</c:v>
              </c:pt>
              <c:pt idx="784">
                <c:v>0.42409999999999998</c:v>
              </c:pt>
              <c:pt idx="785">
                <c:v>-0.2054</c:v>
              </c:pt>
              <c:pt idx="786">
                <c:v>0.72050000000000003</c:v>
              </c:pt>
              <c:pt idx="787">
                <c:v>-0.69310000000000005</c:v>
              </c:pt>
              <c:pt idx="788">
                <c:v>0.1404</c:v>
              </c:pt>
              <c:pt idx="789">
                <c:v>0.36230000000000001</c:v>
              </c:pt>
              <c:pt idx="790">
                <c:v>-0.49070000000000003</c:v>
              </c:pt>
              <c:pt idx="791">
                <c:v>-1.0689</c:v>
              </c:pt>
              <c:pt idx="792">
                <c:v>-0.23780000000000001</c:v>
              </c:pt>
              <c:pt idx="793">
                <c:v>0.32540000000000002</c:v>
              </c:pt>
              <c:pt idx="794">
                <c:v>0.96750000000000003</c:v>
              </c:pt>
              <c:pt idx="795">
                <c:v>0.54749999999999999</c:v>
              </c:pt>
              <c:pt idx="796">
                <c:v>0.48</c:v>
              </c:pt>
              <c:pt idx="797">
                <c:v>-5.9200000000000003E-2</c:v>
              </c:pt>
              <c:pt idx="798">
                <c:v>0.84399999999999997</c:v>
              </c:pt>
              <c:pt idx="799">
                <c:v>0.26639999999999997</c:v>
              </c:pt>
              <c:pt idx="800">
                <c:v>0.3604</c:v>
              </c:pt>
              <c:pt idx="801">
                <c:v>-0.19309999999999999</c:v>
              </c:pt>
              <c:pt idx="802">
                <c:v>-0.13919999999999999</c:v>
              </c:pt>
              <c:pt idx="803">
                <c:v>0.13</c:v>
              </c:pt>
              <c:pt idx="804">
                <c:v>0.47199999999999998</c:v>
              </c:pt>
              <c:pt idx="805">
                <c:v>0.19309999999999999</c:v>
              </c:pt>
              <c:pt idx="806">
                <c:v>-0.4516</c:v>
              </c:pt>
              <c:pt idx="807">
                <c:v>-0.57299999999999995</c:v>
              </c:pt>
              <c:pt idx="808">
                <c:v>0.66420000000000001</c:v>
              </c:pt>
              <c:pt idx="809">
                <c:v>7.669999999999999E-2</c:v>
              </c:pt>
              <c:pt idx="810">
                <c:v>0.22470000000000001</c:v>
              </c:pt>
              <c:pt idx="811">
                <c:v>0.24819999999999998</c:v>
              </c:pt>
              <c:pt idx="812">
                <c:v>-0.1757</c:v>
              </c:pt>
              <c:pt idx="813">
                <c:v>0.25940000000000002</c:v>
              </c:pt>
              <c:pt idx="814">
                <c:v>-0.2014</c:v>
              </c:pt>
              <c:pt idx="815">
                <c:v>-0.13109999999999999</c:v>
              </c:pt>
              <c:pt idx="816">
                <c:v>-1.9368999999999998</c:v>
              </c:pt>
              <c:pt idx="817">
                <c:v>0.40179999999999999</c:v>
              </c:pt>
              <c:pt idx="818">
                <c:v>0.70279999999999998</c:v>
              </c:pt>
              <c:pt idx="819">
                <c:v>-0.91639999999999999</c:v>
              </c:pt>
              <c:pt idx="820">
                <c:v>0.85640000000000005</c:v>
              </c:pt>
              <c:pt idx="821">
                <c:v>3.2099999999999997E-2</c:v>
              </c:pt>
              <c:pt idx="822">
                <c:v>0.46889999999999998</c:v>
              </c:pt>
              <c:pt idx="823">
                <c:v>-0.21829999999999999</c:v>
              </c:pt>
              <c:pt idx="824">
                <c:v>0.41980000000000001</c:v>
              </c:pt>
              <c:pt idx="825">
                <c:v>-0.46550000000000002</c:v>
              </c:pt>
              <c:pt idx="826">
                <c:v>-0.91930000000000001</c:v>
              </c:pt>
              <c:pt idx="827">
                <c:v>0.10289999999999999</c:v>
              </c:pt>
              <c:pt idx="828">
                <c:v>0.64380000000000004</c:v>
              </c:pt>
              <c:pt idx="829">
                <c:v>5.8799999999999998E-2</c:v>
              </c:pt>
              <c:pt idx="830">
                <c:v>8.48E-2</c:v>
              </c:pt>
              <c:pt idx="831">
                <c:v>0.12570000000000001</c:v>
              </c:pt>
              <c:pt idx="832">
                <c:v>-0.13919999999999999</c:v>
              </c:pt>
              <c:pt idx="833">
                <c:v>-0.28889999999999999</c:v>
              </c:pt>
              <c:pt idx="834">
                <c:v>1.1995</c:v>
              </c:pt>
              <c:pt idx="835">
                <c:v>0.42630000000000001</c:v>
              </c:pt>
              <c:pt idx="836">
                <c:v>0.30619999999999997</c:v>
              </c:pt>
              <c:pt idx="837">
                <c:v>0.2089</c:v>
              </c:pt>
              <c:pt idx="838">
                <c:v>0.7278</c:v>
              </c:pt>
              <c:pt idx="839">
                <c:v>-0.1424</c:v>
              </c:pt>
              <c:pt idx="840">
                <c:v>-0.3669</c:v>
              </c:pt>
              <c:pt idx="841">
                <c:v>0.51949999999999996</c:v>
              </c:pt>
              <c:pt idx="842">
                <c:v>-4.1399999999999999E-2</c:v>
              </c:pt>
              <c:pt idx="843">
                <c:v>0.22439999999999999</c:v>
              </c:pt>
              <c:pt idx="844">
                <c:v>-7.1500000000000008E-2</c:v>
              </c:pt>
              <c:pt idx="845">
                <c:v>0.30609999999999998</c:v>
              </c:pt>
              <c:pt idx="846">
                <c:v>0.64570000000000005</c:v>
              </c:pt>
              <c:pt idx="847">
                <c:v>7.7499999999999999E-2</c:v>
              </c:pt>
              <c:pt idx="848">
                <c:v>-0.27589999999999998</c:v>
              </c:pt>
              <c:pt idx="849">
                <c:v>-9.2800000000000007E-2</c:v>
              </c:pt>
              <c:pt idx="850">
                <c:v>6.8099999999999994E-2</c:v>
              </c:pt>
              <c:pt idx="851">
                <c:v>0.40549999999999997</c:v>
              </c:pt>
              <c:pt idx="852">
                <c:v>0.42170000000000002</c:v>
              </c:pt>
              <c:pt idx="853">
                <c:v>0.39360000000000001</c:v>
              </c:pt>
              <c:pt idx="854">
                <c:v>-0.46579999999999999</c:v>
              </c:pt>
              <c:pt idx="855">
                <c:v>-0.49420000000000003</c:v>
              </c:pt>
              <c:pt idx="856">
                <c:v>0.19020000000000001</c:v>
              </c:pt>
              <c:pt idx="857">
                <c:v>-4.6700000000000005E-2</c:v>
              </c:pt>
              <c:pt idx="858">
                <c:v>0.8458</c:v>
              </c:pt>
              <c:pt idx="859">
                <c:v>-0.1545</c:v>
              </c:pt>
              <c:pt idx="860">
                <c:v>0.9194</c:v>
              </c:pt>
              <c:pt idx="861">
                <c:v>0.51570000000000005</c:v>
              </c:pt>
              <c:pt idx="862">
                <c:v>0.45179999999999998</c:v>
              </c:pt>
              <c:pt idx="863">
                <c:v>0.43119999999999997</c:v>
              </c:pt>
              <c:pt idx="864">
                <c:v>-0.17300000000000001</c:v>
              </c:pt>
              <c:pt idx="865">
                <c:v>0.1037</c:v>
              </c:pt>
              <c:pt idx="866">
                <c:v>0.11019999999999999</c:v>
              </c:pt>
              <c:pt idx="867">
                <c:v>-0.43409999999999999</c:v>
              </c:pt>
              <c:pt idx="868">
                <c:v>0.78569999999999995</c:v>
              </c:pt>
              <c:pt idx="869">
                <c:v>-0.72989999999999999</c:v>
              </c:pt>
              <c:pt idx="870">
                <c:v>0.25429999999999997</c:v>
              </c:pt>
              <c:pt idx="871">
                <c:v>0.50900000000000001</c:v>
              </c:pt>
              <c:pt idx="872">
                <c:v>-0.88929999999999998</c:v>
              </c:pt>
              <c:pt idx="873">
                <c:v>-0.81269999999999998</c:v>
              </c:pt>
              <c:pt idx="874">
                <c:v>-8.0299999999999996E-2</c:v>
              </c:pt>
              <c:pt idx="875">
                <c:v>0.42159999999999997</c:v>
              </c:pt>
              <c:pt idx="876">
                <c:v>0.61360000000000003</c:v>
              </c:pt>
              <c:pt idx="877">
                <c:v>0.29320000000000002</c:v>
              </c:pt>
              <c:pt idx="878">
                <c:v>-0.93359999999999999</c:v>
              </c:pt>
              <c:pt idx="879">
                <c:v>-0.20569999999999999</c:v>
              </c:pt>
              <c:pt idx="880">
                <c:v>-0.3039</c:v>
              </c:pt>
              <c:pt idx="881">
                <c:v>0.58240000000000003</c:v>
              </c:pt>
              <c:pt idx="882">
                <c:v>-1.4012</c:v>
              </c:pt>
              <c:pt idx="883">
                <c:v>-0.53400000000000003</c:v>
              </c:pt>
              <c:pt idx="884">
                <c:v>0.68189999999999995</c:v>
              </c:pt>
              <c:pt idx="885">
                <c:v>-2.0467</c:v>
              </c:pt>
              <c:pt idx="886">
                <c:v>2.47E-2</c:v>
              </c:pt>
              <c:pt idx="887">
                <c:v>-0.1401</c:v>
              </c:pt>
              <c:pt idx="888">
                <c:v>-0.50229999999999997</c:v>
              </c:pt>
              <c:pt idx="889">
                <c:v>0.94940000000000002</c:v>
              </c:pt>
              <c:pt idx="890">
                <c:v>-0.10980000000000001</c:v>
              </c:pt>
              <c:pt idx="891">
                <c:v>0.73839999999999995</c:v>
              </c:pt>
              <c:pt idx="892">
                <c:v>-1.06E-2</c:v>
              </c:pt>
              <c:pt idx="893">
                <c:v>-0.26119999999999999</c:v>
              </c:pt>
              <c:pt idx="894">
                <c:v>-0.71699999999999997</c:v>
              </c:pt>
              <c:pt idx="895">
                <c:v>1.1117000000000001</c:v>
              </c:pt>
              <c:pt idx="896">
                <c:v>0.4748</c:v>
              </c:pt>
              <c:pt idx="897">
                <c:v>-0.377</c:v>
              </c:pt>
              <c:pt idx="898">
                <c:v>1.3572000000000002</c:v>
              </c:pt>
              <c:pt idx="899">
                <c:v>0.1091</c:v>
              </c:pt>
              <c:pt idx="900">
                <c:v>3.2599999999999997E-2</c:v>
              </c:pt>
              <c:pt idx="901">
                <c:v>0.9677</c:v>
              </c:pt>
              <c:pt idx="902">
                <c:v>-7.9100000000000004E-2</c:v>
              </c:pt>
              <c:pt idx="903">
                <c:v>-0.44819999999999999</c:v>
              </c:pt>
              <c:pt idx="904">
                <c:v>0.8075</c:v>
              </c:pt>
              <c:pt idx="905">
                <c:v>-1.2016</c:v>
              </c:pt>
              <c:pt idx="906">
                <c:v>0.53420000000000001</c:v>
              </c:pt>
              <c:pt idx="907">
                <c:v>-0.2303</c:v>
              </c:pt>
              <c:pt idx="908">
                <c:v>-0.22539999999999999</c:v>
              </c:pt>
              <c:pt idx="909">
                <c:v>0.28179999999999999</c:v>
              </c:pt>
              <c:pt idx="910">
                <c:v>-0.82420000000000004</c:v>
              </c:pt>
              <c:pt idx="911">
                <c:v>-0.37409999999999999</c:v>
              </c:pt>
              <c:pt idx="912">
                <c:v>-1.0789</c:v>
              </c:pt>
              <c:pt idx="913">
                <c:v>-6.5000000000000002E-2</c:v>
              </c:pt>
              <c:pt idx="914">
                <c:v>-0.91910000000000003</c:v>
              </c:pt>
              <c:pt idx="915">
                <c:v>0.67100000000000004</c:v>
              </c:pt>
              <c:pt idx="916">
                <c:v>0.45119999999999999</c:v>
              </c:pt>
              <c:pt idx="917">
                <c:v>3.3999999999999996E-2</c:v>
              </c:pt>
              <c:pt idx="918">
                <c:v>-1.1545999999999998</c:v>
              </c:pt>
              <c:pt idx="919">
                <c:v>-0.54910000000000003</c:v>
              </c:pt>
              <c:pt idx="920">
                <c:v>0.14649999999999999</c:v>
              </c:pt>
              <c:pt idx="921">
                <c:v>-0.9627</c:v>
              </c:pt>
              <c:pt idx="922">
                <c:v>-0.24490000000000001</c:v>
              </c:pt>
              <c:pt idx="923">
                <c:v>-0.32679999999999998</c:v>
              </c:pt>
              <c:pt idx="924">
                <c:v>6.5699999999999995E-2</c:v>
              </c:pt>
              <c:pt idx="925">
                <c:v>0.25700000000000001</c:v>
              </c:pt>
              <c:pt idx="926">
                <c:v>-0.17080000000000001</c:v>
              </c:pt>
              <c:pt idx="927">
                <c:v>1.4470000000000001</c:v>
              </c:pt>
              <c:pt idx="928">
                <c:v>-0.12539999999999998</c:v>
              </c:pt>
              <c:pt idx="929">
                <c:v>-0.60209999999999997</c:v>
              </c:pt>
              <c:pt idx="930">
                <c:v>-0.95469999999999999</c:v>
              </c:pt>
              <c:pt idx="931">
                <c:v>0.1227</c:v>
              </c:pt>
              <c:pt idx="932">
                <c:v>-2.8887</c:v>
              </c:pt>
              <c:pt idx="933">
                <c:v>0.6492</c:v>
              </c:pt>
              <c:pt idx="934">
                <c:v>-1.2987</c:v>
              </c:pt>
              <c:pt idx="935">
                <c:v>-0.25540000000000002</c:v>
              </c:pt>
              <c:pt idx="936">
                <c:v>-1.4121999999999999</c:v>
              </c:pt>
              <c:pt idx="937">
                <c:v>1.7467000000000001</c:v>
              </c:pt>
              <c:pt idx="938">
                <c:v>-0.1012</c:v>
              </c:pt>
              <c:pt idx="939">
                <c:v>1.0794000000000001</c:v>
              </c:pt>
              <c:pt idx="940">
                <c:v>-0.20619999999999999</c:v>
              </c:pt>
              <c:pt idx="941">
                <c:v>-0.98199999999999998</c:v>
              </c:pt>
              <c:pt idx="942">
                <c:v>-0.21410000000000001</c:v>
              </c:pt>
              <c:pt idx="943">
                <c:v>1.6724000000000001</c:v>
              </c:pt>
              <c:pt idx="944">
                <c:v>1.4693000000000001</c:v>
              </c:pt>
              <c:pt idx="945">
                <c:v>-0.17849999999999999</c:v>
              </c:pt>
              <c:pt idx="946">
                <c:v>0.96760000000000002</c:v>
              </c:pt>
              <c:pt idx="947">
                <c:v>0.33179999999999998</c:v>
              </c:pt>
              <c:pt idx="948">
                <c:v>-0.17730000000000001</c:v>
              </c:pt>
              <c:pt idx="949">
                <c:v>-0.29909999999999998</c:v>
              </c:pt>
              <c:pt idx="950">
                <c:v>-0.80489999999999995</c:v>
              </c:pt>
              <c:pt idx="951">
                <c:v>0.23960000000000001</c:v>
              </c:pt>
              <c:pt idx="952">
                <c:v>1.5264000000000002</c:v>
              </c:pt>
              <c:pt idx="953">
                <c:v>-0.1782</c:v>
              </c:pt>
              <c:pt idx="954">
                <c:v>-1.2863</c:v>
              </c:pt>
              <c:pt idx="955">
                <c:v>0.68659999999999999</c:v>
              </c:pt>
              <c:pt idx="956">
                <c:v>2.1600000000000001E-2</c:v>
              </c:pt>
              <c:pt idx="957">
                <c:v>-1.1054999999999999</c:v>
              </c:pt>
              <c:pt idx="958">
                <c:v>-0.28839999999999999</c:v>
              </c:pt>
              <c:pt idx="959">
                <c:v>1.1660000000000001</c:v>
              </c:pt>
              <c:pt idx="960">
                <c:v>1.2788000000000002</c:v>
              </c:pt>
              <c:pt idx="961">
                <c:v>0.1363</c:v>
              </c:pt>
              <c:pt idx="962">
                <c:v>0.3352</c:v>
              </c:pt>
              <c:pt idx="963">
                <c:v>-6.9800000000000001E-2</c:v>
              </c:pt>
              <c:pt idx="964">
                <c:v>6.4399999999999999E-2</c:v>
              </c:pt>
              <c:pt idx="965">
                <c:v>0.46639999999999998</c:v>
              </c:pt>
              <c:pt idx="966">
                <c:v>0.23499999999999999</c:v>
              </c:pt>
              <c:pt idx="967">
                <c:v>-0.76170000000000004</c:v>
              </c:pt>
              <c:pt idx="968">
                <c:v>-0.91659999999999997</c:v>
              </c:pt>
              <c:pt idx="969">
                <c:v>1.5398000000000001</c:v>
              </c:pt>
              <c:pt idx="970">
                <c:v>0.53879999999999995</c:v>
              </c:pt>
              <c:pt idx="971">
                <c:v>-0.20419999999999999</c:v>
              </c:pt>
              <c:pt idx="972">
                <c:v>-0.21260000000000001</c:v>
              </c:pt>
              <c:pt idx="973">
                <c:v>-0.64059999999999995</c:v>
              </c:pt>
              <c:pt idx="974">
                <c:v>-1.0683999999999998</c:v>
              </c:pt>
              <c:pt idx="975">
                <c:v>-0.21460000000000001</c:v>
              </c:pt>
              <c:pt idx="976">
                <c:v>0.15509999999999999</c:v>
              </c:pt>
              <c:pt idx="977">
                <c:v>-0.46600000000000003</c:v>
              </c:pt>
              <c:pt idx="978">
                <c:v>-0.3901</c:v>
              </c:pt>
              <c:pt idx="979">
                <c:v>-1.3815999999999999</c:v>
              </c:pt>
              <c:pt idx="980">
                <c:v>0.56479999999999997</c:v>
              </c:pt>
              <c:pt idx="981">
                <c:v>1.3494000000000002</c:v>
              </c:pt>
              <c:pt idx="982">
                <c:v>1.0524</c:v>
              </c:pt>
              <c:pt idx="983">
                <c:v>2.6800000000000001E-2</c:v>
              </c:pt>
              <c:pt idx="984">
                <c:v>0.9647</c:v>
              </c:pt>
              <c:pt idx="985">
                <c:v>-0.30259999999999998</c:v>
              </c:pt>
              <c:pt idx="986">
                <c:v>0.59970000000000001</c:v>
              </c:pt>
              <c:pt idx="987">
                <c:v>4.5099999999999994E-2</c:v>
              </c:pt>
              <c:pt idx="988">
                <c:v>0.72960000000000003</c:v>
              </c:pt>
              <c:pt idx="989">
                <c:v>-0.19539999999999999</c:v>
              </c:pt>
              <c:pt idx="990">
                <c:v>0.41510000000000002</c:v>
              </c:pt>
              <c:pt idx="991">
                <c:v>-0.35980000000000001</c:v>
              </c:pt>
              <c:pt idx="992">
                <c:v>-2.4675000000000002</c:v>
              </c:pt>
              <c:pt idx="993">
                <c:v>0.3473</c:v>
              </c:pt>
              <c:pt idx="994">
                <c:v>1.7215</c:v>
              </c:pt>
              <c:pt idx="995">
                <c:v>-0.24629999999999999</c:v>
              </c:pt>
              <c:pt idx="996">
                <c:v>-0.40839999999999999</c:v>
              </c:pt>
              <c:pt idx="997">
                <c:v>0.57820000000000005</c:v>
              </c:pt>
              <c:pt idx="998">
                <c:v>-0.56320000000000003</c:v>
              </c:pt>
              <c:pt idx="999">
                <c:v>-0.1681</c:v>
              </c:pt>
              <c:pt idx="1000">
                <c:v>-0.29580000000000001</c:v>
              </c:pt>
              <c:pt idx="1001">
                <c:v>0.38769999999999999</c:v>
              </c:pt>
              <c:pt idx="1002">
                <c:v>0.83960000000000001</c:v>
              </c:pt>
              <c:pt idx="1003">
                <c:v>0.72950000000000004</c:v>
              </c:pt>
              <c:pt idx="1004">
                <c:v>0.52990000000000004</c:v>
              </c:pt>
              <c:pt idx="1005">
                <c:v>1.0737000000000001</c:v>
              </c:pt>
              <c:pt idx="1006">
                <c:v>6.7999999999999991E-2</c:v>
              </c:pt>
              <c:pt idx="1007">
                <c:v>0.45929999999999999</c:v>
              </c:pt>
              <c:pt idx="1008">
                <c:v>-0.11510000000000001</c:v>
              </c:pt>
              <c:pt idx="1009">
                <c:v>-0.89029999999999998</c:v>
              </c:pt>
              <c:pt idx="1010">
                <c:v>-0.69479999999999997</c:v>
              </c:pt>
              <c:pt idx="1011">
                <c:v>0.26450000000000001</c:v>
              </c:pt>
              <c:pt idx="1012">
                <c:v>0.65259999999999996</c:v>
              </c:pt>
              <c:pt idx="1013">
                <c:v>0.68459999999999999</c:v>
              </c:pt>
              <c:pt idx="1014">
                <c:v>-2.2699999999999998E-2</c:v>
              </c:pt>
              <c:pt idx="1015">
                <c:v>-0.59209999999999996</c:v>
              </c:pt>
              <c:pt idx="1016">
                <c:v>-0.37040000000000001</c:v>
              </c:pt>
              <c:pt idx="1017">
                <c:v>-0.29849999999999999</c:v>
              </c:pt>
              <c:pt idx="1018">
                <c:v>0.7238</c:v>
              </c:pt>
              <c:pt idx="1019">
                <c:v>0.35659999999999997</c:v>
              </c:pt>
              <c:pt idx="1020">
                <c:v>0.34599999999999997</c:v>
              </c:pt>
              <c:pt idx="1021">
                <c:v>1.0395000000000001</c:v>
              </c:pt>
              <c:pt idx="1022">
                <c:v>0.72309999999999997</c:v>
              </c:pt>
              <c:pt idx="1023">
                <c:v>-0.80459999999999998</c:v>
              </c:pt>
              <c:pt idx="1024">
                <c:v>-0.21879999999999999</c:v>
              </c:pt>
              <c:pt idx="1025">
                <c:v>4.2900000000000001E-2</c:v>
              </c:pt>
              <c:pt idx="1026">
                <c:v>0.16300000000000001</c:v>
              </c:pt>
              <c:pt idx="1027">
                <c:v>-0.28029999999999999</c:v>
              </c:pt>
              <c:pt idx="1028">
                <c:v>0.52380000000000004</c:v>
              </c:pt>
              <c:pt idx="1029">
                <c:v>-0.86499999999999999</c:v>
              </c:pt>
              <c:pt idx="1030">
                <c:v>-0.28000000000000003</c:v>
              </c:pt>
              <c:pt idx="1031">
                <c:v>-0.1431</c:v>
              </c:pt>
              <c:pt idx="1032">
                <c:v>0.75880000000000003</c:v>
              </c:pt>
              <c:pt idx="1033">
                <c:v>-0.1767</c:v>
              </c:pt>
              <c:pt idx="1034">
                <c:v>-0.69899999999999995</c:v>
              </c:pt>
              <c:pt idx="1035">
                <c:v>0.27550000000000002</c:v>
              </c:pt>
              <c:pt idx="1036">
                <c:v>1.1849000000000001</c:v>
              </c:pt>
              <c:pt idx="1037">
                <c:v>0.85619999999999996</c:v>
              </c:pt>
              <c:pt idx="1038">
                <c:v>0.13</c:v>
              </c:pt>
              <c:pt idx="1039">
                <c:v>8.3099999999999993E-2</c:v>
              </c:pt>
              <c:pt idx="1040">
                <c:v>-0.2742</c:v>
              </c:pt>
              <c:pt idx="1041">
                <c:v>-0.66110000000000002</c:v>
              </c:pt>
              <c:pt idx="1042">
                <c:v>-0.5081</c:v>
              </c:pt>
              <c:pt idx="1043">
                <c:v>-1.2099</c:v>
              </c:pt>
              <c:pt idx="1044">
                <c:v>0.18779999999999999</c:v>
              </c:pt>
              <c:pt idx="1045">
                <c:v>0.67279999999999995</c:v>
              </c:pt>
              <c:pt idx="1046">
                <c:v>-0.82820000000000005</c:v>
              </c:pt>
              <c:pt idx="1047">
                <c:v>0.96689999999999998</c:v>
              </c:pt>
              <c:pt idx="1048">
                <c:v>0.42919999999999997</c:v>
              </c:pt>
              <c:pt idx="1049">
                <c:v>-0.73089999999999999</c:v>
              </c:pt>
              <c:pt idx="1050">
                <c:v>-4.41E-2</c:v>
              </c:pt>
              <c:pt idx="1051">
                <c:v>0.51470000000000005</c:v>
              </c:pt>
              <c:pt idx="1052">
                <c:v>0.50329999999999997</c:v>
              </c:pt>
              <c:pt idx="1053">
                <c:v>-0.25469999999999998</c:v>
              </c:pt>
              <c:pt idx="1054">
                <c:v>-1.0681999999999998</c:v>
              </c:pt>
              <c:pt idx="1055">
                <c:v>1.2140000000000002</c:v>
              </c:pt>
              <c:pt idx="1056">
                <c:v>-0.89690000000000003</c:v>
              </c:pt>
              <c:pt idx="1057">
                <c:v>-0.19209999999999999</c:v>
              </c:pt>
              <c:pt idx="1058">
                <c:v>-0.20069999999999999</c:v>
              </c:pt>
              <c:pt idx="1059">
                <c:v>0.82240000000000002</c:v>
              </c:pt>
              <c:pt idx="1060">
                <c:v>1.8980000000000001</c:v>
              </c:pt>
              <c:pt idx="1061">
                <c:v>1.1719000000000002</c:v>
              </c:pt>
              <c:pt idx="1062">
                <c:v>0.5988</c:v>
              </c:pt>
              <c:pt idx="1063">
                <c:v>-0.16650000000000001</c:v>
              </c:pt>
              <c:pt idx="1064">
                <c:v>-1.0428999999999999</c:v>
              </c:pt>
              <c:pt idx="1065">
                <c:v>-0.34639999999999999</c:v>
              </c:pt>
              <c:pt idx="1066">
                <c:v>0.25119999999999998</c:v>
              </c:pt>
              <c:pt idx="1067">
                <c:v>-0.25630000000000003</c:v>
              </c:pt>
              <c:pt idx="1068">
                <c:v>-2.2699999999999998E-2</c:v>
              </c:pt>
              <c:pt idx="1069">
                <c:v>-1.1718</c:v>
              </c:pt>
              <c:pt idx="1070">
                <c:v>-0.12789999999999999</c:v>
              </c:pt>
              <c:pt idx="1071">
                <c:v>-0.29520000000000002</c:v>
              </c:pt>
              <c:pt idx="1072">
                <c:v>0.1729</c:v>
              </c:pt>
              <c:pt idx="1073">
                <c:v>0.44409999999999999</c:v>
              </c:pt>
              <c:pt idx="1074">
                <c:v>-1.1747999999999998</c:v>
              </c:pt>
              <c:pt idx="1075">
                <c:v>-0.32969999999999999</c:v>
              </c:pt>
              <c:pt idx="1076">
                <c:v>0.27450000000000002</c:v>
              </c:pt>
              <c:pt idx="1077">
                <c:v>1.1425000000000001</c:v>
              </c:pt>
              <c:pt idx="1078">
                <c:v>-0.32729999999999998</c:v>
              </c:pt>
              <c:pt idx="1079">
                <c:v>-1.1113</c:v>
              </c:pt>
              <c:pt idx="1080">
                <c:v>0.62390000000000001</c:v>
              </c:pt>
              <c:pt idx="1081">
                <c:v>6.3100000000000003E-2</c:v>
              </c:pt>
              <c:pt idx="1082">
                <c:v>0.248</c:v>
              </c:pt>
              <c:pt idx="1083">
                <c:v>0.2462</c:v>
              </c:pt>
              <c:pt idx="1084">
                <c:v>0.19589999999999999</c:v>
              </c:pt>
              <c:pt idx="1085">
                <c:v>-0.12430000000000001</c:v>
              </c:pt>
              <c:pt idx="1086">
                <c:v>-0.78310000000000002</c:v>
              </c:pt>
              <c:pt idx="1087">
                <c:v>-0.12180000000000001</c:v>
              </c:pt>
              <c:pt idx="1088">
                <c:v>-0.60540000000000005</c:v>
              </c:pt>
              <c:pt idx="1089">
                <c:v>-2.2023999999999999</c:v>
              </c:pt>
              <c:pt idx="1090">
                <c:v>-9.4E-2</c:v>
              </c:pt>
              <c:pt idx="1091">
                <c:v>0.29949999999999999</c:v>
              </c:pt>
              <c:pt idx="1092">
                <c:v>-1.9056</c:v>
              </c:pt>
              <c:pt idx="1093">
                <c:v>1.1504000000000001</c:v>
              </c:pt>
              <c:pt idx="1094">
                <c:v>3.9899999999999998E-2</c:v>
              </c:pt>
              <c:pt idx="1095">
                <c:v>-9.0000000000000011E-3</c:v>
              </c:pt>
              <c:pt idx="1096">
                <c:v>-0.46039999999999998</c:v>
              </c:pt>
              <c:pt idx="1097">
                <c:v>-0.50860000000000005</c:v>
              </c:pt>
              <c:pt idx="1098">
                <c:v>-0.25240000000000001</c:v>
              </c:pt>
              <c:pt idx="1099">
                <c:v>0.30709999999999998</c:v>
              </c:pt>
              <c:pt idx="1100">
                <c:v>1.3268000000000002</c:v>
              </c:pt>
              <c:pt idx="1101">
                <c:v>0.52410000000000001</c:v>
              </c:pt>
              <c:pt idx="1102">
                <c:v>6.2699999999999992E-2</c:v>
              </c:pt>
              <c:pt idx="1103">
                <c:v>0.83450000000000002</c:v>
              </c:pt>
              <c:pt idx="1104">
                <c:v>-0.1484</c:v>
              </c:pt>
              <c:pt idx="1105">
                <c:v>-2.4254000000000002</c:v>
              </c:pt>
              <c:pt idx="1106">
                <c:v>0.93369999999999997</c:v>
              </c:pt>
              <c:pt idx="1107">
                <c:v>0.5554</c:v>
              </c:pt>
              <c:pt idx="1108">
                <c:v>3.9799999999999995E-2</c:v>
              </c:pt>
              <c:pt idx="1109">
                <c:v>-0.2273</c:v>
              </c:pt>
              <c:pt idx="1110">
                <c:v>-1.1018999999999999</c:v>
              </c:pt>
              <c:pt idx="1111">
                <c:v>-6.5700000000000008E-2</c:v>
              </c:pt>
              <c:pt idx="1112">
                <c:v>-3.0104000000000002</c:v>
              </c:pt>
              <c:pt idx="1113">
                <c:v>-0.69589999999999996</c:v>
              </c:pt>
              <c:pt idx="1114">
                <c:v>1.3319000000000001</c:v>
              </c:pt>
              <c:pt idx="1115">
                <c:v>8.3699999999999997E-2</c:v>
              </c:pt>
              <c:pt idx="1116">
                <c:v>0.13450000000000001</c:v>
              </c:pt>
              <c:pt idx="1117">
                <c:v>-0.13550000000000001</c:v>
              </c:pt>
              <c:pt idx="1118">
                <c:v>3.8699999999999998E-2</c:v>
              </c:pt>
              <c:pt idx="1119">
                <c:v>-0.79079999999999995</c:v>
              </c:pt>
              <c:pt idx="1120">
                <c:v>0.34139999999999998</c:v>
              </c:pt>
              <c:pt idx="1121">
                <c:v>-0.97660000000000002</c:v>
              </c:pt>
              <c:pt idx="1122">
                <c:v>-1.4438</c:v>
              </c:pt>
              <c:pt idx="1123">
                <c:v>-0.26790000000000003</c:v>
              </c:pt>
              <c:pt idx="1124">
                <c:v>-2.4410000000000003</c:v>
              </c:pt>
              <c:pt idx="1125">
                <c:v>0.29820000000000002</c:v>
              </c:pt>
              <c:pt idx="1126">
                <c:v>-0.22470000000000001</c:v>
              </c:pt>
              <c:pt idx="1127">
                <c:v>1.0195000000000001</c:v>
              </c:pt>
              <c:pt idx="1128">
                <c:v>0.157</c:v>
              </c:pt>
              <c:pt idx="1129">
                <c:v>-1.6426999999999998</c:v>
              </c:pt>
              <c:pt idx="1130">
                <c:v>-0.16209999999999999</c:v>
              </c:pt>
              <c:pt idx="1131">
                <c:v>0.3654</c:v>
              </c:pt>
              <c:pt idx="1132">
                <c:v>-1.0941999999999998</c:v>
              </c:pt>
              <c:pt idx="1133">
                <c:v>-8.9099999999999999E-2</c:v>
              </c:pt>
              <c:pt idx="1134">
                <c:v>0.28739999999999999</c:v>
              </c:pt>
              <c:pt idx="1135">
                <c:v>-0.86540000000000006</c:v>
              </c:pt>
              <c:pt idx="1136">
                <c:v>-1.3312999999999999</c:v>
              </c:pt>
              <c:pt idx="1137">
                <c:v>0.33879999999999999</c:v>
              </c:pt>
              <c:pt idx="1138">
                <c:v>-7.640000000000001E-2</c:v>
              </c:pt>
              <c:pt idx="1139">
                <c:v>-1.1194999999999999</c:v>
              </c:pt>
              <c:pt idx="1140">
                <c:v>-0.44469999999999998</c:v>
              </c:pt>
              <c:pt idx="1141">
                <c:v>-1.9214</c:v>
              </c:pt>
              <c:pt idx="1142">
                <c:v>9.6299999999999997E-2</c:v>
              </c:pt>
              <c:pt idx="1143">
                <c:v>-3.0745</c:v>
              </c:pt>
              <c:pt idx="1144">
                <c:v>-4.9599000000000002</c:v>
              </c:pt>
              <c:pt idx="1145">
                <c:v>3.5145</c:v>
              </c:pt>
              <c:pt idx="1146">
                <c:v>0.5161</c:v>
              </c:pt>
              <c:pt idx="1147">
                <c:v>1.3993000000000002</c:v>
              </c:pt>
              <c:pt idx="1148">
                <c:v>2.4539999999999997</c:v>
              </c:pt>
              <c:pt idx="1149">
                <c:v>1.9205000000000001</c:v>
              </c:pt>
              <c:pt idx="1150">
                <c:v>-1.9466999999999999</c:v>
              </c:pt>
              <c:pt idx="1151">
                <c:v>0.21790000000000001</c:v>
              </c:pt>
              <c:pt idx="1152">
                <c:v>0.74909999999999999</c:v>
              </c:pt>
              <c:pt idx="1153">
                <c:v>-1.1877</c:v>
              </c:pt>
              <c:pt idx="1154">
                <c:v>-0.17860000000000001</c:v>
              </c:pt>
              <c:pt idx="1155">
                <c:v>0.18390000000000001</c:v>
              </c:pt>
              <c:pt idx="1156">
                <c:v>3.5019</c:v>
              </c:pt>
              <c:pt idx="1157">
                <c:v>-0.2233</c:v>
              </c:pt>
              <c:pt idx="1158">
                <c:v>0.44519999999999998</c:v>
              </c:pt>
              <c:pt idx="1159">
                <c:v>1.4700000000000001E-2</c:v>
              </c:pt>
              <c:pt idx="1160">
                <c:v>-0.57399999999999995</c:v>
              </c:pt>
              <c:pt idx="1161">
                <c:v>0.88049999999999995</c:v>
              </c:pt>
              <c:pt idx="1162">
                <c:v>1.3345</c:v>
              </c:pt>
              <c:pt idx="1163">
                <c:v>0.1938</c:v>
              </c:pt>
              <c:pt idx="1164">
                <c:v>-1.8529</c:v>
              </c:pt>
              <c:pt idx="1165">
                <c:v>0.70330000000000004</c:v>
              </c:pt>
              <c:pt idx="1166">
                <c:v>-2.0865</c:v>
              </c:pt>
              <c:pt idx="1167">
                <c:v>-0.86499999999999999</c:v>
              </c:pt>
              <c:pt idx="1168">
                <c:v>0.1108</c:v>
              </c:pt>
              <c:pt idx="1169">
                <c:v>0.59640000000000004</c:v>
              </c:pt>
              <c:pt idx="1170">
                <c:v>1.3893000000000002</c:v>
              </c:pt>
              <c:pt idx="1171">
                <c:v>0.1065</c:v>
              </c:pt>
              <c:pt idx="1172">
                <c:v>0.56530000000000002</c:v>
              </c:pt>
              <c:pt idx="1173">
                <c:v>0.4955</c:v>
              </c:pt>
              <c:pt idx="1174">
                <c:v>1.1946000000000001</c:v>
              </c:pt>
              <c:pt idx="1175">
                <c:v>-0.5847</c:v>
              </c:pt>
              <c:pt idx="1176">
                <c:v>1.4983000000000002</c:v>
              </c:pt>
              <c:pt idx="1177">
                <c:v>-7.0699999999999999E-2</c:v>
              </c:pt>
              <c:pt idx="1178">
                <c:v>-0.53439999999999999</c:v>
              </c:pt>
              <c:pt idx="1179">
                <c:v>0.91979999999999995</c:v>
              </c:pt>
              <c:pt idx="1180">
                <c:v>3.6899999999999995E-2</c:v>
              </c:pt>
              <c:pt idx="1181">
                <c:v>0.30509999999999998</c:v>
              </c:pt>
              <c:pt idx="1182">
                <c:v>0.25269999999999998</c:v>
              </c:pt>
              <c:pt idx="1183">
                <c:v>-0.5171</c:v>
              </c:pt>
              <c:pt idx="1184">
                <c:v>-1.1900000000000001E-2</c:v>
              </c:pt>
              <c:pt idx="1185">
                <c:v>0.75329999999999997</c:v>
              </c:pt>
              <c:pt idx="1186">
                <c:v>0.81850000000000001</c:v>
              </c:pt>
              <c:pt idx="1187">
                <c:v>-0.50790000000000002</c:v>
              </c:pt>
              <c:pt idx="1188">
                <c:v>-0.40989999999999999</c:v>
              </c:pt>
              <c:pt idx="1189">
                <c:v>-1.1041999999999998</c:v>
              </c:pt>
              <c:pt idx="1190">
                <c:v>-0.1988</c:v>
              </c:pt>
              <c:pt idx="1191">
                <c:v>0.70130000000000003</c:v>
              </c:pt>
              <c:pt idx="1192">
                <c:v>1.133</c:v>
              </c:pt>
              <c:pt idx="1193">
                <c:v>1.6342000000000001</c:v>
              </c:pt>
              <c:pt idx="1194">
                <c:v>-8.0299999999999996E-2</c:v>
              </c:pt>
              <c:pt idx="1195">
                <c:v>-1.7884</c:v>
              </c:pt>
              <c:pt idx="1196">
                <c:v>-0.59240000000000004</c:v>
              </c:pt>
              <c:pt idx="1197">
                <c:v>-1.2322</c:v>
              </c:pt>
              <c:pt idx="1198">
                <c:v>-1.4410999999999998</c:v>
              </c:pt>
              <c:pt idx="1199">
                <c:v>0.15229999999999999</c:v>
              </c:pt>
              <c:pt idx="1200">
                <c:v>-1.1797</c:v>
              </c:pt>
              <c:pt idx="1201">
                <c:v>-0.41320000000000001</c:v>
              </c:pt>
              <c:pt idx="1202">
                <c:v>1.4810000000000001</c:v>
              </c:pt>
              <c:pt idx="1203">
                <c:v>-0.94510000000000005</c:v>
              </c:pt>
              <c:pt idx="1204">
                <c:v>1.6231000000000002</c:v>
              </c:pt>
              <c:pt idx="1205">
                <c:v>-0.14169999999999999</c:v>
              </c:pt>
              <c:pt idx="1206">
                <c:v>0.23630000000000001</c:v>
              </c:pt>
              <c:pt idx="1207">
                <c:v>-1.0167999999999999</c:v>
              </c:pt>
              <c:pt idx="1208">
                <c:v>-0.1699</c:v>
              </c:pt>
              <c:pt idx="1209">
                <c:v>1.1679000000000002</c:v>
              </c:pt>
              <c:pt idx="1210">
                <c:v>-1.0276999999999998</c:v>
              </c:pt>
              <c:pt idx="1211">
                <c:v>-0.93359999999999999</c:v>
              </c:pt>
              <c:pt idx="1212">
                <c:v>1.6974</c:v>
              </c:pt>
              <c:pt idx="1213">
                <c:v>-7.2700000000000001E-2</c:v>
              </c:pt>
              <c:pt idx="1214">
                <c:v>-1.8800000000000001E-2</c:v>
              </c:pt>
              <c:pt idx="1215">
                <c:v>-0.68479999999999996</c:v>
              </c:pt>
              <c:pt idx="1216">
                <c:v>0.65769999999999995</c:v>
              </c:pt>
              <c:pt idx="1217">
                <c:v>-1.3175999999999999</c:v>
              </c:pt>
              <c:pt idx="1218">
                <c:v>-1.3815999999999999</c:v>
              </c:pt>
              <c:pt idx="1219">
                <c:v>-0.1666</c:v>
              </c:pt>
              <c:pt idx="1220">
                <c:v>-1.2309999999999999</c:v>
              </c:pt>
              <c:pt idx="1221">
                <c:v>-0.9405</c:v>
              </c:pt>
              <c:pt idx="1222">
                <c:v>0.40899999999999997</c:v>
              </c:pt>
              <c:pt idx="1223">
                <c:v>1.3663000000000001</c:v>
              </c:pt>
              <c:pt idx="1224">
                <c:v>1.6331000000000002</c:v>
              </c:pt>
              <c:pt idx="1225">
                <c:v>-0.75529999999999997</c:v>
              </c:pt>
              <c:pt idx="1226">
                <c:v>0.29749999999999999</c:v>
              </c:pt>
              <c:pt idx="1227">
                <c:v>0.1245</c:v>
              </c:pt>
              <c:pt idx="1228">
                <c:v>0.27350000000000002</c:v>
              </c:pt>
              <c:pt idx="1229">
                <c:v>0.1011</c:v>
              </c:pt>
              <c:pt idx="1230">
                <c:v>0.46350000000000002</c:v>
              </c:pt>
              <c:pt idx="1231">
                <c:v>-6.0299999999999999E-2</c:v>
              </c:pt>
              <c:pt idx="1232">
                <c:v>-0.77859999999999996</c:v>
              </c:pt>
              <c:pt idx="1233">
                <c:v>-0.17100000000000001</c:v>
              </c:pt>
              <c:pt idx="1234">
                <c:v>0.69589999999999996</c:v>
              </c:pt>
              <c:pt idx="1235">
                <c:v>-2.7238000000000002</c:v>
              </c:pt>
              <c:pt idx="1236">
                <c:v>-0.48670000000000002</c:v>
              </c:pt>
              <c:pt idx="1237">
                <c:v>-1.0576999999999999</c:v>
              </c:pt>
              <c:pt idx="1238">
                <c:v>-1.7493999999999998</c:v>
              </c:pt>
              <c:pt idx="1239">
                <c:v>0.52929999999999999</c:v>
              </c:pt>
              <c:pt idx="1240">
                <c:v>-1.3491</c:v>
              </c:pt>
              <c:pt idx="1241">
                <c:v>-0.25969999999999999</c:v>
              </c:pt>
              <c:pt idx="1242">
                <c:v>0.71730000000000005</c:v>
              </c:pt>
              <c:pt idx="1243">
                <c:v>-1.0529999999999999</c:v>
              </c:pt>
              <c:pt idx="1244">
                <c:v>0.24379999999999999</c:v>
              </c:pt>
              <c:pt idx="1245">
                <c:v>0.62849999999999995</c:v>
              </c:pt>
              <c:pt idx="1246">
                <c:v>0.55489999999999995</c:v>
              </c:pt>
              <c:pt idx="1247">
                <c:v>-2.0059</c:v>
              </c:pt>
              <c:pt idx="1248">
                <c:v>-0.46010000000000001</c:v>
              </c:pt>
              <c:pt idx="1249">
                <c:v>1.1925000000000001</c:v>
              </c:pt>
              <c:pt idx="1250">
                <c:v>1.7602000000000002</c:v>
              </c:pt>
              <c:pt idx="1251">
                <c:v>-0.83589999999999998</c:v>
              </c:pt>
              <c:pt idx="1252">
                <c:v>0.26689999999999997</c:v>
              </c:pt>
              <c:pt idx="1253">
                <c:v>0.6986</c:v>
              </c:pt>
              <c:pt idx="1254">
                <c:v>2.1928000000000001</c:v>
              </c:pt>
              <c:pt idx="1255">
                <c:v>0.79339999999999999</c:v>
              </c:pt>
              <c:pt idx="1256">
                <c:v>0.14119999999999999</c:v>
              </c:pt>
              <c:pt idx="1257">
                <c:v>-0.31880000000000003</c:v>
              </c:pt>
              <c:pt idx="1258">
                <c:v>-0.8458</c:v>
              </c:pt>
              <c:pt idx="1259">
                <c:v>4.0499999999999994E-2</c:v>
              </c:pt>
              <c:pt idx="1260">
                <c:v>1.7854000000000001</c:v>
              </c:pt>
              <c:pt idx="1261">
                <c:v>2.35E-2</c:v>
              </c:pt>
              <c:pt idx="1262">
                <c:v>1.2121000000000002</c:v>
              </c:pt>
              <c:pt idx="1263">
                <c:v>0.1216</c:v>
              </c:pt>
              <c:pt idx="1264">
                <c:v>1.67E-2</c:v>
              </c:pt>
              <c:pt idx="1265">
                <c:v>9.2600000000000002E-2</c:v>
              </c:pt>
              <c:pt idx="1266">
                <c:v>-0.62619999999999998</c:v>
              </c:pt>
              <c:pt idx="1267">
                <c:v>0.99409999999999998</c:v>
              </c:pt>
              <c:pt idx="1268">
                <c:v>0.53700000000000003</c:v>
              </c:pt>
              <c:pt idx="1269">
                <c:v>0.87919999999999998</c:v>
              </c:pt>
              <c:pt idx="1270">
                <c:v>0.68240000000000001</c:v>
              </c:pt>
              <c:pt idx="1271">
                <c:v>0.78669999999999995</c:v>
              </c:pt>
              <c:pt idx="1272">
                <c:v>0.36509999999999998</c:v>
              </c:pt>
              <c:pt idx="1273">
                <c:v>0.18190000000000001</c:v>
              </c:pt>
              <c:pt idx="1274">
                <c:v>5.1999999999999998E-2</c:v>
              </c:pt>
              <c:pt idx="1275">
                <c:v>-0.35220000000000001</c:v>
              </c:pt>
              <c:pt idx="1276">
                <c:v>0.30449999999999999</c:v>
              </c:pt>
              <c:pt idx="1277">
                <c:v>0.52029999999999998</c:v>
              </c:pt>
              <c:pt idx="1278">
                <c:v>0.47549999999999998</c:v>
              </c:pt>
              <c:pt idx="1279">
                <c:v>-1.5781999999999998</c:v>
              </c:pt>
              <c:pt idx="1280">
                <c:v>1.0133000000000001</c:v>
              </c:pt>
              <c:pt idx="1281">
                <c:v>0.40310000000000001</c:v>
              </c:pt>
              <c:pt idx="1282">
                <c:v>0.86529999999999996</c:v>
              </c:pt>
              <c:pt idx="1283">
                <c:v>1.9599999999999999E-2</c:v>
              </c:pt>
              <c:pt idx="1284">
                <c:v>-0.31009999999999999</c:v>
              </c:pt>
              <c:pt idx="1285">
                <c:v>-0.22620000000000001</c:v>
              </c:pt>
              <c:pt idx="1286">
                <c:v>-0.26240000000000002</c:v>
              </c:pt>
              <c:pt idx="1287">
                <c:v>-0.44330000000000003</c:v>
              </c:pt>
              <c:pt idx="1288">
                <c:v>-0.1699</c:v>
              </c:pt>
              <c:pt idx="1289">
                <c:v>-0.84770000000000001</c:v>
              </c:pt>
              <c:pt idx="1290">
                <c:v>1.3764000000000001</c:v>
              </c:pt>
              <c:pt idx="1291">
                <c:v>8.6099999999999996E-2</c:v>
              </c:pt>
              <c:pt idx="1292">
                <c:v>-1.0061</c:v>
              </c:pt>
              <c:pt idx="1293">
                <c:v>-1.6831999999999998</c:v>
              </c:pt>
              <c:pt idx="1294">
                <c:v>-0.27410000000000001</c:v>
              </c:pt>
              <c:pt idx="1295">
                <c:v>0.5988</c:v>
              </c:pt>
              <c:pt idx="1296">
                <c:v>0.24360000000000001</c:v>
              </c:pt>
              <c:pt idx="1297">
                <c:v>-0.3705</c:v>
              </c:pt>
              <c:pt idx="1298">
                <c:v>1.4042000000000001</c:v>
              </c:pt>
              <c:pt idx="1299">
                <c:v>0.17749999999999999</c:v>
              </c:pt>
              <c:pt idx="1300">
                <c:v>0.37330000000000002</c:v>
              </c:pt>
              <c:pt idx="1301">
                <c:v>-0.39889999999999998</c:v>
              </c:pt>
              <c:pt idx="1302">
                <c:v>-0.37630000000000002</c:v>
              </c:pt>
              <c:pt idx="1303">
                <c:v>-1.3936999999999999</c:v>
              </c:pt>
              <c:pt idx="1304">
                <c:v>0.63119999999999998</c:v>
              </c:pt>
              <c:pt idx="1305">
                <c:v>-0.38769999999999999</c:v>
              </c:pt>
              <c:pt idx="1306">
                <c:v>0.28399999999999997</c:v>
              </c:pt>
              <c:pt idx="1307">
                <c:v>0.24540000000000001</c:v>
              </c:pt>
              <c:pt idx="1308">
                <c:v>-0.219</c:v>
              </c:pt>
              <c:pt idx="1309">
                <c:v>-1.0498999999999998</c:v>
              </c:pt>
              <c:pt idx="1310">
                <c:v>-1.1419999999999999</c:v>
              </c:pt>
              <c:pt idx="1311">
                <c:v>-1.0079999999999998</c:v>
              </c:pt>
              <c:pt idx="1312">
                <c:v>-1.3215999999999999</c:v>
              </c:pt>
              <c:pt idx="1313">
                <c:v>-0.21710000000000002</c:v>
              </c:pt>
              <c:pt idx="1314">
                <c:v>-0.26690000000000003</c:v>
              </c:pt>
              <c:pt idx="1315">
                <c:v>-0.18240000000000001</c:v>
              </c:pt>
              <c:pt idx="1316">
                <c:v>0.29730000000000001</c:v>
              </c:pt>
              <c:pt idx="1317">
                <c:v>-0.25750000000000001</c:v>
              </c:pt>
              <c:pt idx="1318">
                <c:v>-0.3417</c:v>
              </c:pt>
              <c:pt idx="1319">
                <c:v>-0.67569999999999997</c:v>
              </c:pt>
              <c:pt idx="1320">
                <c:v>0.1696</c:v>
              </c:pt>
              <c:pt idx="1321">
                <c:v>0.89629999999999999</c:v>
              </c:pt>
              <c:pt idx="1322">
                <c:v>0.2326</c:v>
              </c:pt>
              <c:pt idx="1323">
                <c:v>-0.78669999999999995</c:v>
              </c:pt>
              <c:pt idx="1324">
                <c:v>0.43180000000000002</c:v>
              </c:pt>
              <c:pt idx="1325">
                <c:v>2.585</c:v>
              </c:pt>
              <c:pt idx="1326">
                <c:v>-0.52900000000000003</c:v>
              </c:pt>
              <c:pt idx="1327">
                <c:v>1.1414000000000002</c:v>
              </c:pt>
              <c:pt idx="1328">
                <c:v>-2.7799999999999998E-2</c:v>
              </c:pt>
              <c:pt idx="1329">
                <c:v>0.82140000000000002</c:v>
              </c:pt>
              <c:pt idx="1330">
                <c:v>0.84709999999999996</c:v>
              </c:pt>
              <c:pt idx="1331">
                <c:v>-6.3E-3</c:v>
              </c:pt>
              <c:pt idx="1332">
                <c:v>0.7157</c:v>
              </c:pt>
              <c:pt idx="1333">
                <c:v>-0.48270000000000002</c:v>
              </c:pt>
              <c:pt idx="1334">
                <c:v>0.36259999999999998</c:v>
              </c:pt>
              <c:pt idx="1335">
                <c:v>4.5999999999999999E-2</c:v>
              </c:pt>
              <c:pt idx="1336">
                <c:v>6.1499999999999999E-2</c:v>
              </c:pt>
              <c:pt idx="1337">
                <c:v>0.95540000000000003</c:v>
              </c:pt>
              <c:pt idx="1338">
                <c:v>0.40610000000000002</c:v>
              </c:pt>
              <c:pt idx="1339">
                <c:v>-2.0811999999999999</c:v>
              </c:pt>
              <c:pt idx="1340">
                <c:v>0.46329999999999999</c:v>
              </c:pt>
              <c:pt idx="1341">
                <c:v>0.34910000000000002</c:v>
              </c:pt>
              <c:pt idx="1342">
                <c:v>-1.3155999999999999</c:v>
              </c:pt>
              <c:pt idx="1343">
                <c:v>0.86370000000000002</c:v>
              </c:pt>
              <c:pt idx="1344">
                <c:v>0.66979999999999995</c:v>
              </c:pt>
              <c:pt idx="1345">
                <c:v>0.67789999999999995</c:v>
              </c:pt>
              <c:pt idx="1346">
                <c:v>0.3579</c:v>
              </c:pt>
              <c:pt idx="1347">
                <c:v>-0.45800000000000002</c:v>
              </c:pt>
              <c:pt idx="1348">
                <c:v>-2.3313999999999999</c:v>
              </c:pt>
              <c:pt idx="1349">
                <c:v>-0.217</c:v>
              </c:pt>
              <c:pt idx="1350">
                <c:v>0.54690000000000005</c:v>
              </c:pt>
              <c:pt idx="1351">
                <c:v>0.94540000000000002</c:v>
              </c:pt>
              <c:pt idx="1352">
                <c:v>0.92459999999999998</c:v>
              </c:pt>
              <c:pt idx="1353">
                <c:v>0.82050000000000001</c:v>
              </c:pt>
              <c:pt idx="1354">
                <c:v>0.25230000000000002</c:v>
              </c:pt>
              <c:pt idx="1355">
                <c:v>-0.51239999999999997</c:v>
              </c:pt>
              <c:pt idx="1356">
                <c:v>-1.6259999999999999</c:v>
              </c:pt>
              <c:pt idx="1357">
                <c:v>0.75390000000000001</c:v>
              </c:pt>
              <c:pt idx="1358">
                <c:v>1.6675000000000002</c:v>
              </c:pt>
              <c:pt idx="1359">
                <c:v>0.62090000000000001</c:v>
              </c:pt>
              <c:pt idx="1360">
                <c:v>0.18110000000000001</c:v>
              </c:pt>
              <c:pt idx="1361">
                <c:v>9.4199999999999992E-2</c:v>
              </c:pt>
              <c:pt idx="1362">
                <c:v>0.93420000000000003</c:v>
              </c:pt>
              <c:pt idx="1363">
                <c:v>0.64700000000000002</c:v>
              </c:pt>
              <c:pt idx="1364">
                <c:v>0.29249999999999998</c:v>
              </c:pt>
              <c:pt idx="1365">
                <c:v>-0.3044</c:v>
              </c:pt>
              <c:pt idx="1366">
                <c:v>0.53820000000000001</c:v>
              </c:pt>
              <c:pt idx="1367">
                <c:v>-0.48360000000000003</c:v>
              </c:pt>
              <c:pt idx="1368">
                <c:v>-0.24149999999999999</c:v>
              </c:pt>
              <c:pt idx="1369">
                <c:v>0.36470000000000002</c:v>
              </c:pt>
              <c:pt idx="1370">
                <c:v>0.42380000000000001</c:v>
              </c:pt>
              <c:pt idx="1371">
                <c:v>0.1431</c:v>
              </c:pt>
              <c:pt idx="1372">
                <c:v>-1.0243</c:v>
              </c:pt>
              <c:pt idx="1373">
                <c:v>1.0632000000000001</c:v>
              </c:pt>
              <c:pt idx="1374">
                <c:v>-0.13470000000000001</c:v>
              </c:pt>
              <c:pt idx="1375">
                <c:v>-0.74509999999999998</c:v>
              </c:pt>
              <c:pt idx="1376">
                <c:v>0.25219999999999998</c:v>
              </c:pt>
              <c:pt idx="1377">
                <c:v>0.74119999999999997</c:v>
              </c:pt>
              <c:pt idx="1378">
                <c:v>0.63439999999999996</c:v>
              </c:pt>
              <c:pt idx="1379">
                <c:v>4.9699999999999994E-2</c:v>
              </c:pt>
              <c:pt idx="1380">
                <c:v>0.49099999999999999</c:v>
              </c:pt>
              <c:pt idx="1381">
                <c:v>-0.75129999999999997</c:v>
              </c:pt>
              <c:pt idx="1382">
                <c:v>0.2</c:v>
              </c:pt>
              <c:pt idx="1383">
                <c:v>-2.35E-2</c:v>
              </c:pt>
              <c:pt idx="1384">
                <c:v>-0.4209</c:v>
              </c:pt>
              <c:pt idx="1385">
                <c:v>7.7499999999999999E-2</c:v>
              </c:pt>
              <c:pt idx="1386">
                <c:v>4.9599999999999998E-2</c:v>
              </c:pt>
              <c:pt idx="1387">
                <c:v>-0.97489999999999999</c:v>
              </c:pt>
              <c:pt idx="1388">
                <c:v>-0.58540000000000003</c:v>
              </c:pt>
              <c:pt idx="1389">
                <c:v>0.54239999999999999</c:v>
              </c:pt>
              <c:pt idx="1390">
                <c:v>-0.1532</c:v>
              </c:pt>
              <c:pt idx="1391">
                <c:v>1.0789000000000002</c:v>
              </c:pt>
              <c:pt idx="1392">
                <c:v>0.17510000000000001</c:v>
              </c:pt>
              <c:pt idx="1393">
                <c:v>-0.23930000000000001</c:v>
              </c:pt>
              <c:pt idx="1394">
                <c:v>1.2999999999999999E-3</c:v>
              </c:pt>
              <c:pt idx="1395">
                <c:v>-0.46189999999999998</c:v>
              </c:pt>
              <c:pt idx="1396">
                <c:v>-0.75229999999999997</c:v>
              </c:pt>
              <c:pt idx="1397">
                <c:v>-0.1542</c:v>
              </c:pt>
              <c:pt idx="1398">
                <c:v>1.1319000000000001</c:v>
              </c:pt>
              <c:pt idx="1399">
                <c:v>1.0009000000000001</c:v>
              </c:pt>
              <c:pt idx="1400">
                <c:v>0.83450000000000002</c:v>
              </c:pt>
              <c:pt idx="1401">
                <c:v>3.8199999999999998E-2</c:v>
              </c:pt>
              <c:pt idx="1402">
                <c:v>-1.0667</c:v>
              </c:pt>
              <c:pt idx="1403">
                <c:v>-1.2235999999999998</c:v>
              </c:pt>
              <c:pt idx="1404">
                <c:v>-1.1877</c:v>
              </c:pt>
              <c:pt idx="1405">
                <c:v>-7.2700000000000001E-2</c:v>
              </c:pt>
              <c:pt idx="1406">
                <c:v>-0.43490000000000001</c:v>
              </c:pt>
              <c:pt idx="1407">
                <c:v>2.7728999999999999</c:v>
              </c:pt>
              <c:pt idx="1408">
                <c:v>9.1999999999999998E-2</c:v>
              </c:pt>
              <c:pt idx="1409">
                <c:v>0.7248</c:v>
              </c:pt>
              <c:pt idx="1410">
                <c:v>7.0199999999999999E-2</c:v>
              </c:pt>
              <c:pt idx="1411">
                <c:v>0.53010000000000002</c:v>
              </c:pt>
              <c:pt idx="1412">
                <c:v>-0.97819999999999996</c:v>
              </c:pt>
              <c:pt idx="1413">
                <c:v>0.82430000000000003</c:v>
              </c:pt>
              <c:pt idx="1414">
                <c:v>-1.1316999999999999</c:v>
              </c:pt>
              <c:pt idx="1415">
                <c:v>0.72899999999999998</c:v>
              </c:pt>
              <c:pt idx="1416">
                <c:v>0.57540000000000002</c:v>
              </c:pt>
              <c:pt idx="1417">
                <c:v>-0.1699</c:v>
              </c:pt>
              <c:pt idx="1418">
                <c:v>0.12670000000000001</c:v>
              </c:pt>
              <c:pt idx="1419">
                <c:v>-0.20250000000000001</c:v>
              </c:pt>
              <c:pt idx="1420">
                <c:v>-0.50059999999999993</c:v>
              </c:pt>
              <c:pt idx="1421">
                <c:v>0.35189999999999999</c:v>
              </c:pt>
              <c:pt idx="1422">
                <c:v>-0.36499999999999999</c:v>
              </c:pt>
              <c:pt idx="1423">
                <c:v>-0.59050000000000002</c:v>
              </c:pt>
              <c:pt idx="1424">
                <c:v>0.11749999999999999</c:v>
              </c:pt>
              <c:pt idx="1425">
                <c:v>0.50090000000000001</c:v>
              </c:pt>
              <c:pt idx="1426">
                <c:v>0.66069999999999995</c:v>
              </c:pt>
              <c:pt idx="1427">
                <c:v>0.35449999999999998</c:v>
              </c:pt>
              <c:pt idx="1428">
                <c:v>-0.1176</c:v>
              </c:pt>
              <c:pt idx="1429">
                <c:v>0.16800000000000001</c:v>
              </c:pt>
              <c:pt idx="1430">
                <c:v>0.67210000000000003</c:v>
              </c:pt>
              <c:pt idx="1431">
                <c:v>-0.25259999999999999</c:v>
              </c:pt>
              <c:pt idx="1432">
                <c:v>-0.67500000000000004</c:v>
              </c:pt>
              <c:pt idx="1433">
                <c:v>7.6200000000000004E-2</c:v>
              </c:pt>
              <c:pt idx="1434">
                <c:v>-0.1837</c:v>
              </c:pt>
              <c:pt idx="1435">
                <c:v>-0.19070000000000001</c:v>
              </c:pt>
              <c:pt idx="1436">
                <c:v>-1.4548999999999999</c:v>
              </c:pt>
              <c:pt idx="1437">
                <c:v>-0.79139999999999999</c:v>
              </c:pt>
              <c:pt idx="1438">
                <c:v>6.7000000000000002E-3</c:v>
              </c:pt>
              <c:pt idx="1439">
                <c:v>1.33</c:v>
              </c:pt>
              <c:pt idx="1440">
                <c:v>0.29680000000000001</c:v>
              </c:pt>
              <c:pt idx="1441">
                <c:v>-3.0233000000000003</c:v>
              </c:pt>
              <c:pt idx="1442">
                <c:v>2.3068999999999997</c:v>
              </c:pt>
              <c:pt idx="1443">
                <c:v>-2.1502000000000003</c:v>
              </c:pt>
              <c:pt idx="1444">
                <c:v>-0.19700000000000001</c:v>
              </c:pt>
              <c:pt idx="1445">
                <c:v>-0.1079</c:v>
              </c:pt>
              <c:pt idx="1446">
                <c:v>0.34560000000000002</c:v>
              </c:pt>
              <c:pt idx="1447">
                <c:v>0.36499999999999999</c:v>
              </c:pt>
              <c:pt idx="1448">
                <c:v>0.14729999999999999</c:v>
              </c:pt>
              <c:pt idx="1449">
                <c:v>0.35509999999999997</c:v>
              </c:pt>
              <c:pt idx="1450">
                <c:v>1.0125000000000002</c:v>
              </c:pt>
              <c:pt idx="1451">
                <c:v>0.48670000000000002</c:v>
              </c:pt>
              <c:pt idx="1452">
                <c:v>-0.28799999999999998</c:v>
              </c:pt>
              <c:pt idx="1453">
                <c:v>7.2999999999999995E-2</c:v>
              </c:pt>
              <c:pt idx="1454">
                <c:v>0.68430000000000002</c:v>
              </c:pt>
              <c:pt idx="1455">
                <c:v>-0.32729999999999998</c:v>
              </c:pt>
              <c:pt idx="1456">
                <c:v>0.52139999999999997</c:v>
              </c:pt>
              <c:pt idx="1457">
                <c:v>0.24360000000000001</c:v>
              </c:pt>
              <c:pt idx="1458">
                <c:v>-0.80549999999999999</c:v>
              </c:pt>
              <c:pt idx="1459">
                <c:v>-0.31719999999999998</c:v>
              </c:pt>
              <c:pt idx="1460">
                <c:v>0.97589999999999999</c:v>
              </c:pt>
              <c:pt idx="1461">
                <c:v>0.13869999999999999</c:v>
              </c:pt>
              <c:pt idx="1462">
                <c:v>1.1984000000000001</c:v>
              </c:pt>
              <c:pt idx="1463">
                <c:v>0.1762</c:v>
              </c:pt>
              <c:pt idx="1464">
                <c:v>-0.45910000000000001</c:v>
              </c:pt>
              <c:pt idx="1465">
                <c:v>0.34079999999999999</c:v>
              </c:pt>
              <c:pt idx="1466">
                <c:v>-0.14830000000000002</c:v>
              </c:pt>
              <c:pt idx="1467">
                <c:v>-9.0200000000000002E-2</c:v>
              </c:pt>
              <c:pt idx="1468">
                <c:v>-0.36230000000000001</c:v>
              </c:pt>
              <c:pt idx="1469">
                <c:v>-0.94520000000000004</c:v>
              </c:pt>
              <c:pt idx="1470">
                <c:v>3.04E-2</c:v>
              </c:pt>
              <c:pt idx="1471">
                <c:v>-0.41660000000000003</c:v>
              </c:pt>
              <c:pt idx="1472">
                <c:v>-0.93640000000000001</c:v>
              </c:pt>
              <c:pt idx="1473">
                <c:v>-0.44380000000000003</c:v>
              </c:pt>
              <c:pt idx="1474">
                <c:v>0.3478</c:v>
              </c:pt>
              <c:pt idx="1475">
                <c:v>-1.6899999999999998E-2</c:v>
              </c:pt>
              <c:pt idx="1476">
                <c:v>1.0033000000000001</c:v>
              </c:pt>
              <c:pt idx="1477">
                <c:v>-0.52939999999999998</c:v>
              </c:pt>
              <c:pt idx="1478">
                <c:v>1.0880000000000001</c:v>
              </c:pt>
              <c:pt idx="1479">
                <c:v>0.20619999999999999</c:v>
              </c:pt>
              <c:pt idx="1480">
                <c:v>0.1487</c:v>
              </c:pt>
              <c:pt idx="1481">
                <c:v>0.76049999999999995</c:v>
              </c:pt>
              <c:pt idx="1482">
                <c:v>0.14729999999999999</c:v>
              </c:pt>
              <c:pt idx="1483">
                <c:v>-0.32150000000000001</c:v>
              </c:pt>
              <c:pt idx="1484">
                <c:v>7.4299999999999991E-2</c:v>
              </c:pt>
              <c:pt idx="1485">
                <c:v>-4.4700000000000004E-2</c:v>
              </c:pt>
              <c:pt idx="1486">
                <c:v>0.68410000000000004</c:v>
              </c:pt>
              <c:pt idx="1487">
                <c:v>-0.3367</c:v>
              </c:pt>
              <c:pt idx="1488">
                <c:v>-0.92959999999999998</c:v>
              </c:pt>
              <c:pt idx="1489">
                <c:v>0.66410000000000002</c:v>
              </c:pt>
              <c:pt idx="1490">
                <c:v>-0.13739999999999999</c:v>
              </c:pt>
              <c:pt idx="1491">
                <c:v>-0.2586</c:v>
              </c:pt>
              <c:pt idx="1492">
                <c:v>0.1401</c:v>
              </c:pt>
              <c:pt idx="1493">
                <c:v>0.98429999999999995</c:v>
              </c:pt>
              <c:pt idx="1494">
                <c:v>0.25030000000000002</c:v>
              </c:pt>
              <c:pt idx="1495">
                <c:v>-0.2041</c:v>
              </c:pt>
              <c:pt idx="1496">
                <c:v>0.27860000000000001</c:v>
              </c:pt>
              <c:pt idx="1497">
                <c:v>0.86519999999999997</c:v>
              </c:pt>
              <c:pt idx="1498">
                <c:v>0.1704</c:v>
              </c:pt>
              <c:pt idx="1499">
                <c:v>-0.12140000000000001</c:v>
              </c:pt>
              <c:pt idx="1500">
                <c:v>0.48759999999999998</c:v>
              </c:pt>
              <c:pt idx="1501">
                <c:v>0.7802</c:v>
              </c:pt>
              <c:pt idx="1502">
                <c:v>0.4587</c:v>
              </c:pt>
              <c:pt idx="1503">
                <c:v>8.4099999999999994E-2</c:v>
              </c:pt>
              <c:pt idx="1504">
                <c:v>0.82679999999999998</c:v>
              </c:pt>
              <c:pt idx="1505">
                <c:v>-0.29430000000000001</c:v>
              </c:pt>
              <c:pt idx="1506">
                <c:v>-0.1207</c:v>
              </c:pt>
              <c:pt idx="1507">
                <c:v>0.20330000000000001</c:v>
              </c:pt>
              <c:pt idx="1508">
                <c:v>-0.27660000000000001</c:v>
              </c:pt>
              <c:pt idx="1509">
                <c:v>0.107</c:v>
              </c:pt>
              <c:pt idx="1510">
                <c:v>0.14899999999999999</c:v>
              </c:pt>
              <c:pt idx="1511">
                <c:v>-9.9900000000000003E-2</c:v>
              </c:pt>
              <c:pt idx="1512">
                <c:v>-0.19600000000000001</c:v>
              </c:pt>
              <c:pt idx="1513">
                <c:v>-0.7823</c:v>
              </c:pt>
              <c:pt idx="1514">
                <c:v>0.17280000000000001</c:v>
              </c:pt>
              <c:pt idx="1515">
                <c:v>-0.45379999999999998</c:v>
              </c:pt>
              <c:pt idx="1516">
                <c:v>0.35310000000000002</c:v>
              </c:pt>
              <c:pt idx="1517">
                <c:v>0.56789999999999996</c:v>
              </c:pt>
              <c:pt idx="1518">
                <c:v>0.15479999999999999</c:v>
              </c:pt>
              <c:pt idx="1519">
                <c:v>-0.98009999999999997</c:v>
              </c:pt>
              <c:pt idx="1520">
                <c:v>-0.3216</c:v>
              </c:pt>
              <c:pt idx="1521">
                <c:v>0.71579999999999999</c:v>
              </c:pt>
              <c:pt idx="1522">
                <c:v>0.47920000000000001</c:v>
              </c:pt>
              <c:pt idx="1523">
                <c:v>-4.3000000000000003E-2</c:v>
              </c:pt>
              <c:pt idx="1524">
                <c:v>0.99319999999999997</c:v>
              </c:pt>
              <c:pt idx="1525">
                <c:v>0.7147</c:v>
              </c:pt>
              <c:pt idx="1526">
                <c:v>4.02E-2</c:v>
              </c:pt>
              <c:pt idx="1527">
                <c:v>0.59560000000000002</c:v>
              </c:pt>
              <c:pt idx="1528">
                <c:v>-0.50390000000000001</c:v>
              </c:pt>
              <c:pt idx="1529">
                <c:v>7.8399999999999997E-2</c:v>
              </c:pt>
              <c:pt idx="1530">
                <c:v>-0.28289999999999998</c:v>
              </c:pt>
              <c:pt idx="1531">
                <c:v>-0.26800000000000002</c:v>
              </c:pt>
              <c:pt idx="1532">
                <c:v>-6.2000000000000006E-3</c:v>
              </c:pt>
              <c:pt idx="1533">
                <c:v>-0.2077</c:v>
              </c:pt>
              <c:pt idx="1534">
                <c:v>-8.5199999999999998E-2</c:v>
              </c:pt>
              <c:pt idx="1535">
                <c:v>-0.37559999999999999</c:v>
              </c:pt>
              <c:pt idx="1536">
                <c:v>1.3933000000000002</c:v>
              </c:pt>
              <c:pt idx="1537">
                <c:v>-0.52380000000000004</c:v>
              </c:pt>
              <c:pt idx="1538">
                <c:v>-0.25009999999999999</c:v>
              </c:pt>
              <c:pt idx="1539">
                <c:v>8.9799999999999991E-2</c:v>
              </c:pt>
              <c:pt idx="1540">
                <c:v>-0.51139999999999997</c:v>
              </c:pt>
              <c:pt idx="1541">
                <c:v>-0.153</c:v>
              </c:pt>
              <c:pt idx="1542">
                <c:v>0.1903</c:v>
              </c:pt>
              <c:pt idx="1543">
                <c:v>-1.0632999999999999</c:v>
              </c:pt>
              <c:pt idx="1544">
                <c:v>-0.17300000000000001</c:v>
              </c:pt>
              <c:pt idx="1545">
                <c:v>0.30690000000000001</c:v>
              </c:pt>
              <c:pt idx="1546">
                <c:v>-1.103</c:v>
              </c:pt>
              <c:pt idx="1547">
                <c:v>-7.8200000000000006E-2</c:v>
              </c:pt>
              <c:pt idx="1548">
                <c:v>0.87270000000000003</c:v>
              </c:pt>
              <c:pt idx="1549">
                <c:v>2.5999999999999999E-3</c:v>
              </c:pt>
              <c:pt idx="1550">
                <c:v>1.2625000000000002</c:v>
              </c:pt>
              <c:pt idx="1551">
                <c:v>0.1467</c:v>
              </c:pt>
              <c:pt idx="1552">
                <c:v>3.9299999999999995E-2</c:v>
              </c:pt>
              <c:pt idx="1553">
                <c:v>0.1123</c:v>
              </c:pt>
              <c:pt idx="1554">
                <c:v>0.69620000000000004</c:v>
              </c:pt>
              <c:pt idx="1555">
                <c:v>0.13830000000000001</c:v>
              </c:pt>
              <c:pt idx="1556">
                <c:v>0.1206</c:v>
              </c:pt>
              <c:pt idx="1557">
                <c:v>-0.6845</c:v>
              </c:pt>
              <c:pt idx="1558">
                <c:v>0.37319999999999998</c:v>
              </c:pt>
              <c:pt idx="1559">
                <c:v>-0.2223</c:v>
              </c:pt>
              <c:pt idx="1560">
                <c:v>0.52849999999999997</c:v>
              </c:pt>
              <c:pt idx="1561">
                <c:v>0.3291</c:v>
              </c:pt>
              <c:pt idx="1562">
                <c:v>-0.1497</c:v>
              </c:pt>
              <c:pt idx="1563">
                <c:v>0.49640000000000001</c:v>
              </c:pt>
              <c:pt idx="1564">
                <c:v>-5.6100000000000004E-2</c:v>
              </c:pt>
              <c:pt idx="1565">
                <c:v>-0.18080000000000002</c:v>
              </c:pt>
              <c:pt idx="1566">
                <c:v>-0.4456</c:v>
              </c:pt>
              <c:pt idx="1567">
                <c:v>-0.22220000000000001</c:v>
              </c:pt>
            </c:numLit>
          </c:xVal>
          <c:yVal>
            <c:numLit>
              <c:formatCode>General</c:formatCode>
              <c:ptCount val="1568"/>
              <c:pt idx="0">
                <c:v>0.72420243517069682</c:v>
              </c:pt>
              <c:pt idx="1">
                <c:v>-0.27431218850407951</c:v>
              </c:pt>
              <c:pt idx="2">
                <c:v>-1.8069754651951755</c:v>
              </c:pt>
              <c:pt idx="3">
                <c:v>0.53485579386846904</c:v>
              </c:pt>
              <c:pt idx="4">
                <c:v>-1.1919322377257913</c:v>
              </c:pt>
              <c:pt idx="5">
                <c:v>0.51618781514853118</c:v>
              </c:pt>
              <c:pt idx="6">
                <c:v>1.4931453681586173</c:v>
              </c:pt>
              <c:pt idx="7">
                <c:v>0.48996374980385637</c:v>
              </c:pt>
              <c:pt idx="8">
                <c:v>0.20327693374766642</c:v>
              </c:pt>
              <c:pt idx="9">
                <c:v>3.4265054979656762E-2</c:v>
              </c:pt>
              <c:pt idx="10">
                <c:v>-0.51655143617946486</c:v>
              </c:pt>
              <c:pt idx="11">
                <c:v>0.8527670267121743</c:v>
              </c:pt>
              <c:pt idx="12">
                <c:v>1.2775746615117147</c:v>
              </c:pt>
              <c:pt idx="13">
                <c:v>-0.71134290460834126</c:v>
              </c:pt>
              <c:pt idx="14">
                <c:v>-0.76579117587482681</c:v>
              </c:pt>
              <c:pt idx="15">
                <c:v>-9.5157998754358125E-3</c:v>
              </c:pt>
              <c:pt idx="16">
                <c:v>0.61241680069297311</c:v>
              </c:pt>
              <c:pt idx="17">
                <c:v>0.86287884851880736</c:v>
              </c:pt>
              <c:pt idx="18">
                <c:v>0.64430793100620054</c:v>
              </c:pt>
              <c:pt idx="19">
                <c:v>0.59619343823397941</c:v>
              </c:pt>
              <c:pt idx="20">
                <c:v>-0.34031682754957443</c:v>
              </c:pt>
              <c:pt idx="21">
                <c:v>-1.2112669299714414</c:v>
              </c:pt>
              <c:pt idx="22">
                <c:v>-2.0483257615029449</c:v>
              </c:pt>
              <c:pt idx="23">
                <c:v>-2.8157130295975374</c:v>
              </c:pt>
              <c:pt idx="24">
                <c:v>1.0437804518286822</c:v>
              </c:pt>
              <c:pt idx="25">
                <c:v>0.53774488581322144</c:v>
              </c:pt>
              <c:pt idx="26">
                <c:v>-4.207364371437522E-2</c:v>
              </c:pt>
              <c:pt idx="27">
                <c:v>-0.29920282679733007</c:v>
              </c:pt>
              <c:pt idx="28">
                <c:v>2.1005213900823128</c:v>
              </c:pt>
              <c:pt idx="29">
                <c:v>1.415253028734266E-2</c:v>
              </c:pt>
              <c:pt idx="30">
                <c:v>-2.0286577124944389</c:v>
              </c:pt>
              <c:pt idx="31">
                <c:v>-1.7975303569142547</c:v>
              </c:pt>
              <c:pt idx="32">
                <c:v>0.23761268032183802</c:v>
              </c:pt>
              <c:pt idx="33">
                <c:v>0.82432058294845922</c:v>
              </c:pt>
              <c:pt idx="34">
                <c:v>1.7128274748807442</c:v>
              </c:pt>
              <c:pt idx="35">
                <c:v>-1.3069403209111234</c:v>
              </c:pt>
              <c:pt idx="36">
                <c:v>1.5890409969402033</c:v>
              </c:pt>
              <c:pt idx="37">
                <c:v>0.65608653662711369</c:v>
              </c:pt>
              <c:pt idx="38">
                <c:v>-0.82457308505844107</c:v>
              </c:pt>
              <c:pt idx="39">
                <c:v>0.50452032844856998</c:v>
              </c:pt>
              <c:pt idx="40">
                <c:v>0.10104752647181575</c:v>
              </c:pt>
              <c:pt idx="41">
                <c:v>-1.2964951423416342</c:v>
              </c:pt>
              <c:pt idx="42">
                <c:v>-0.89724485936105669</c:v>
              </c:pt>
              <c:pt idx="43">
                <c:v>-0.54944263678126026</c:v>
              </c:pt>
              <c:pt idx="44">
                <c:v>-3.7115537703126544</c:v>
              </c:pt>
              <c:pt idx="45">
                <c:v>1.2774635425907628</c:v>
              </c:pt>
              <c:pt idx="46">
                <c:v>-0.48832723025765379</c:v>
              </c:pt>
              <c:pt idx="47">
                <c:v>1.5655949046193289</c:v>
              </c:pt>
              <c:pt idx="48">
                <c:v>1.0338908678639531</c:v>
              </c:pt>
              <c:pt idx="49">
                <c:v>0.60019371938825195</c:v>
              </c:pt>
              <c:pt idx="50">
                <c:v>0.55496831856078321</c:v>
              </c:pt>
              <c:pt idx="51">
                <c:v>0.47885185770865524</c:v>
              </c:pt>
              <c:pt idx="52">
                <c:v>0.51174305831045075</c:v>
              </c:pt>
              <c:pt idx="53">
                <c:v>-0.6700066660141929</c:v>
              </c:pt>
              <c:pt idx="54">
                <c:v>0.63608513085575158</c:v>
              </c:pt>
              <c:pt idx="55">
                <c:v>0.71331278091739969</c:v>
              </c:pt>
              <c:pt idx="56">
                <c:v>0.54663439948938231</c:v>
              </c:pt>
              <c:pt idx="57">
                <c:v>0.35128733645574589</c:v>
              </c:pt>
              <c:pt idx="58">
                <c:v>1.9311761545514472</c:v>
              </c:pt>
              <c:pt idx="59">
                <c:v>0.69486704003936584</c:v>
              </c:pt>
              <c:pt idx="60">
                <c:v>-1.7405243263028627E-2</c:v>
              </c:pt>
              <c:pt idx="61">
                <c:v>-0.10618926110368591</c:v>
              </c:pt>
              <c:pt idx="62">
                <c:v>-1.7911965784199899</c:v>
              </c:pt>
              <c:pt idx="63">
                <c:v>0.67642129916133187</c:v>
              </c:pt>
              <c:pt idx="64">
                <c:v>0.35706552034525046</c:v>
              </c:pt>
              <c:pt idx="65">
                <c:v>-1.0009188126092834</c:v>
              </c:pt>
              <c:pt idx="66">
                <c:v>2.5820016987303886E-2</c:v>
              </c:pt>
              <c:pt idx="67">
                <c:v>-0.90013395130580887</c:v>
              </c:pt>
              <c:pt idx="68">
                <c:v>2.2974241180092774</c:v>
              </c:pt>
              <c:pt idx="69">
                <c:v>1.8777279535735296</c:v>
              </c:pt>
              <c:pt idx="70">
                <c:v>0.21827798807618798</c:v>
              </c:pt>
              <c:pt idx="71">
                <c:v>-0.15941522423969945</c:v>
              </c:pt>
              <c:pt idx="72">
                <c:v>3.9821001027257351E-2</c:v>
              </c:pt>
              <c:pt idx="73">
                <c:v>1.3207999217620472</c:v>
              </c:pt>
              <c:pt idx="74">
                <c:v>-3.1961821907742147E-2</c:v>
              </c:pt>
              <c:pt idx="75">
                <c:v>-0.3328718598457896</c:v>
              </c:pt>
              <c:pt idx="76">
                <c:v>-0.69256380696745123</c:v>
              </c:pt>
              <c:pt idx="77">
                <c:v>8.8046612720430392E-2</c:v>
              </c:pt>
              <c:pt idx="78">
                <c:v>0.95377412585755283</c:v>
              </c:pt>
              <c:pt idx="79">
                <c:v>-0.43876819151305668</c:v>
              </c:pt>
              <c:pt idx="80">
                <c:v>0.79098490666285592</c:v>
              </c:pt>
              <c:pt idx="81">
                <c:v>-7.7853936260922948E-2</c:v>
              </c:pt>
              <c:pt idx="82">
                <c:v>3.6820790161553034E-2</c:v>
              </c:pt>
              <c:pt idx="83">
                <c:v>0.23572365866565381</c:v>
              </c:pt>
              <c:pt idx="84">
                <c:v>-0.26120015583174211</c:v>
              </c:pt>
              <c:pt idx="85">
                <c:v>-1.104815003699414</c:v>
              </c:pt>
              <c:pt idx="86">
                <c:v>-0.27264540468979931</c:v>
              </c:pt>
              <c:pt idx="87">
                <c:v>0.82954317223320384</c:v>
              </c:pt>
              <c:pt idx="88">
                <c:v>-0.57511110752117489</c:v>
              </c:pt>
              <c:pt idx="89">
                <c:v>-0.6277814760524284</c:v>
              </c:pt>
              <c:pt idx="90">
                <c:v>-1.0591451271881374</c:v>
              </c:pt>
              <c:pt idx="91">
                <c:v>0.1878314037353368</c:v>
              </c:pt>
              <c:pt idx="92">
                <c:v>-0.30298087010969849</c:v>
              </c:pt>
              <c:pt idx="93">
                <c:v>0.85021129153027797</c:v>
              </c:pt>
              <c:pt idx="94">
                <c:v>0.34506467688243325</c:v>
              </c:pt>
              <c:pt idx="95">
                <c:v>0.24472429126276679</c:v>
              </c:pt>
              <c:pt idx="96">
                <c:v>2.1329681150003004</c:v>
              </c:pt>
              <c:pt idx="97">
                <c:v>0.97733133709937936</c:v>
              </c:pt>
              <c:pt idx="98">
                <c:v>-0.80157146842137461</c:v>
              </c:pt>
              <c:pt idx="99">
                <c:v>0.74898195454299543</c:v>
              </c:pt>
              <c:pt idx="100">
                <c:v>0.20505483648289863</c:v>
              </c:pt>
              <c:pt idx="101">
                <c:v>-0.53755291223939494</c:v>
              </c:pt>
              <c:pt idx="102">
                <c:v>-9.0713241916277609E-3</c:v>
              </c:pt>
              <c:pt idx="103">
                <c:v>-1.9599862193460953</c:v>
              </c:pt>
              <c:pt idx="104">
                <c:v>-1.5089545192018805</c:v>
              </c:pt>
              <c:pt idx="105">
                <c:v>1.5451490231641587</c:v>
              </c:pt>
              <c:pt idx="106">
                <c:v>0.10049193186705568</c:v>
              </c:pt>
              <c:pt idx="107">
                <c:v>-2.1776681854910866</c:v>
              </c:pt>
              <c:pt idx="108">
                <c:v>-0.16330438647301987</c:v>
              </c:pt>
              <c:pt idx="109">
                <c:v>-1.2924948611873617</c:v>
              </c:pt>
              <c:pt idx="110">
                <c:v>0.94077321210616749</c:v>
              </c:pt>
              <c:pt idx="111">
                <c:v>0.37451119093471635</c:v>
              </c:pt>
              <c:pt idx="112">
                <c:v>-0.6227811246095879</c:v>
              </c:pt>
              <c:pt idx="113">
                <c:v>-0.37543040657041005</c:v>
              </c:pt>
              <c:pt idx="114">
                <c:v>-0.35398445482667185</c:v>
              </c:pt>
              <c:pt idx="115">
                <c:v>-0.20652964672335244</c:v>
              </c:pt>
              <c:pt idx="116">
                <c:v>1.3041320836192456</c:v>
              </c:pt>
              <c:pt idx="117">
                <c:v>1.0942284419408954</c:v>
              </c:pt>
              <c:pt idx="118">
                <c:v>1.1869016220148734</c:v>
              </c:pt>
              <c:pt idx="119">
                <c:v>0.51507662593901105</c:v>
              </c:pt>
              <c:pt idx="120">
                <c:v>0.1952763714391216</c:v>
              </c:pt>
              <c:pt idx="121">
                <c:v>0.57708098383023343</c:v>
              </c:pt>
              <c:pt idx="122">
                <c:v>-0.5719997777345186</c:v>
              </c:pt>
              <c:pt idx="123">
                <c:v>-0.23042021472803487</c:v>
              </c:pt>
              <c:pt idx="124">
                <c:v>-0.99580734224549095</c:v>
              </c:pt>
              <c:pt idx="125">
                <c:v>-2.192558120898656</c:v>
              </c:pt>
              <c:pt idx="126">
                <c:v>3.3709460374896701E-2</c:v>
              </c:pt>
              <c:pt idx="127">
                <c:v>-1.5627340527796449E-2</c:v>
              </c:pt>
              <c:pt idx="128">
                <c:v>1.2913534077097641</c:v>
              </c:pt>
              <c:pt idx="129">
                <c:v>-0.39965433133794864</c:v>
              </c:pt>
              <c:pt idx="130">
                <c:v>-0.11007842333700631</c:v>
              </c:pt>
              <c:pt idx="131">
                <c:v>2.4145434606926974</c:v>
              </c:pt>
              <c:pt idx="132">
                <c:v>0.21216644742382734</c:v>
              </c:pt>
              <c:pt idx="133">
                <c:v>0.68475521823273278</c:v>
              </c:pt>
              <c:pt idx="134">
                <c:v>-0.96969439582176808</c:v>
              </c:pt>
              <c:pt idx="135">
                <c:v>1.4802555733281839</c:v>
              </c:pt>
              <c:pt idx="136">
                <c:v>0.36562167725855538</c:v>
              </c:pt>
              <c:pt idx="137">
                <c:v>-0.56333250190026163</c:v>
              </c:pt>
              <c:pt idx="138">
                <c:v>-1.4979537460276313</c:v>
              </c:pt>
              <c:pt idx="139">
                <c:v>0.80509700962376129</c:v>
              </c:pt>
              <c:pt idx="140">
                <c:v>-1.427615469065008</c:v>
              </c:pt>
              <c:pt idx="141">
                <c:v>-1.5951828018606413</c:v>
              </c:pt>
              <c:pt idx="142">
                <c:v>-1.7771955943800366</c:v>
              </c:pt>
              <c:pt idx="143">
                <c:v>-6.3084029529611669</c:v>
              </c:pt>
              <c:pt idx="144">
                <c:v>-4.2607034776574961</c:v>
              </c:pt>
              <c:pt idx="145">
                <c:v>-0.80923867396706339</c:v>
              </c:pt>
              <c:pt idx="146">
                <c:v>3.6215171800734476</c:v>
              </c:pt>
              <c:pt idx="147">
                <c:v>-0.1755274677777412</c:v>
              </c:pt>
              <c:pt idx="148">
                <c:v>-1.1154824201108073</c:v>
              </c:pt>
              <c:pt idx="149">
                <c:v>2.6945631414917668</c:v>
              </c:pt>
              <c:pt idx="150">
                <c:v>-0.22375307947091422</c:v>
              </c:pt>
              <c:pt idx="151">
                <c:v>-0.74045606189776825</c:v>
              </c:pt>
              <c:pt idx="152">
                <c:v>-1.7626390157353229</c:v>
              </c:pt>
              <c:pt idx="153">
                <c:v>-3.9695719047632254</c:v>
              </c:pt>
              <c:pt idx="154">
                <c:v>-0.38832020140084339</c:v>
              </c:pt>
              <c:pt idx="155">
                <c:v>3.6259619369115281</c:v>
              </c:pt>
              <c:pt idx="156">
                <c:v>-0.62600357331719625</c:v>
              </c:pt>
              <c:pt idx="157">
                <c:v>-1.2996064721282905</c:v>
              </c:pt>
              <c:pt idx="158">
                <c:v>0.5843037136921142</c:v>
              </c:pt>
              <c:pt idx="159">
                <c:v>2.0385170321910904</c:v>
              </c:pt>
              <c:pt idx="160">
                <c:v>1.0675599009124128</c:v>
              </c:pt>
              <c:pt idx="161">
                <c:v>1.4468087781216286</c:v>
              </c:pt>
              <c:pt idx="162">
                <c:v>0.3073953626797013</c:v>
              </c:pt>
              <c:pt idx="163">
                <c:v>6.2267023059563692E-2</c:v>
              </c:pt>
              <c:pt idx="164">
                <c:v>-2.9110530637743635</c:v>
              </c:pt>
              <c:pt idx="165">
                <c:v>-2.6744808810675309</c:v>
              </c:pt>
              <c:pt idx="166">
                <c:v>2.4865485214696008</c:v>
              </c:pt>
              <c:pt idx="167">
                <c:v>0.35762111495001053</c:v>
              </c:pt>
              <c:pt idx="168">
                <c:v>0.98410959127745201</c:v>
              </c:pt>
              <c:pt idx="169">
                <c:v>-3.1751827388772949</c:v>
              </c:pt>
              <c:pt idx="170">
                <c:v>-2.4041285463912865</c:v>
              </c:pt>
              <c:pt idx="171">
                <c:v>2.4631024291487265</c:v>
              </c:pt>
              <c:pt idx="172">
                <c:v>2.9199123131824463</c:v>
              </c:pt>
              <c:pt idx="173">
                <c:v>-1.352276840659544</c:v>
              </c:pt>
              <c:pt idx="174">
                <c:v>0.2499468805475113</c:v>
              </c:pt>
              <c:pt idx="175">
                <c:v>0.7085346673164632</c:v>
              </c:pt>
              <c:pt idx="176">
                <c:v>-3.3777525317728121</c:v>
              </c:pt>
              <c:pt idx="177">
                <c:v>-3.9431256015766474</c:v>
              </c:pt>
              <c:pt idx="178">
                <c:v>-2.6269219829000696</c:v>
              </c:pt>
              <c:pt idx="179">
                <c:v>3.4589501987206548</c:v>
              </c:pt>
              <c:pt idx="180">
                <c:v>0.96255252061276175</c:v>
              </c:pt>
              <c:pt idx="181">
                <c:v>0.6248621198395985</c:v>
              </c:pt>
              <c:pt idx="182">
                <c:v>0.73198075963733766</c:v>
              </c:pt>
              <c:pt idx="183">
                <c:v>-3.2275197506456919</c:v>
              </c:pt>
              <c:pt idx="184">
                <c:v>0.60808316277584473</c:v>
              </c:pt>
              <c:pt idx="185">
                <c:v>-0.85735316673928441</c:v>
              </c:pt>
              <c:pt idx="186">
                <c:v>2.3205368535672952</c:v>
              </c:pt>
              <c:pt idx="187">
                <c:v>1.3111325756392223</c:v>
              </c:pt>
              <c:pt idx="188">
                <c:v>2.9130229400834216</c:v>
              </c:pt>
              <c:pt idx="189">
                <c:v>-0.17374956504250899</c:v>
              </c:pt>
              <c:pt idx="190">
                <c:v>0.76220510613628478</c:v>
              </c:pt>
              <c:pt idx="191">
                <c:v>-0.98358426094076967</c:v>
              </c:pt>
              <c:pt idx="192">
                <c:v>1.6175985596248703</c:v>
              </c:pt>
              <c:pt idx="193">
                <c:v>-1.4518393938325465</c:v>
              </c:pt>
              <c:pt idx="194">
                <c:v>-2.0072097365876909E-2</c:v>
              </c:pt>
              <c:pt idx="195">
                <c:v>-1.5879600719987605</c:v>
              </c:pt>
              <c:pt idx="196">
                <c:v>0.22850092880377304</c:v>
              </c:pt>
              <c:pt idx="197">
                <c:v>3.3293855368906091</c:v>
              </c:pt>
              <c:pt idx="198">
                <c:v>0.38284511000611721</c:v>
              </c:pt>
              <c:pt idx="199">
                <c:v>0.73198075963733766</c:v>
              </c:pt>
              <c:pt idx="200">
                <c:v>0.50474256629047398</c:v>
              </c:pt>
              <c:pt idx="201">
                <c:v>0.81665337740277055</c:v>
              </c:pt>
              <c:pt idx="202">
                <c:v>-0.34242808704766259</c:v>
              </c:pt>
              <c:pt idx="203">
                <c:v>0.57374741620167313</c:v>
              </c:pt>
              <c:pt idx="204">
                <c:v>-0.27175645332218323</c:v>
              </c:pt>
              <c:pt idx="205">
                <c:v>-1.9664311167613122</c:v>
              </c:pt>
              <c:pt idx="206">
                <c:v>2.1808603699306173</c:v>
              </c:pt>
              <c:pt idx="207">
                <c:v>0.34217558493768091</c:v>
              </c:pt>
              <c:pt idx="208">
                <c:v>-0.23330930667278726</c:v>
              </c:pt>
              <c:pt idx="209">
                <c:v>-0.4983279331433349</c:v>
              </c:pt>
              <c:pt idx="210">
                <c:v>-3.7118871270755109</c:v>
              </c:pt>
              <c:pt idx="211">
                <c:v>0.95977454758896141</c:v>
              </c:pt>
              <c:pt idx="212">
                <c:v>2.4354338178316755</c:v>
              </c:pt>
              <c:pt idx="213">
                <c:v>-0.43965714288067281</c:v>
              </c:pt>
              <c:pt idx="214">
                <c:v>-1.4742854158648526</c:v>
              </c:pt>
              <c:pt idx="215">
                <c:v>7.6601363862373192E-2</c:v>
              </c:pt>
              <c:pt idx="216">
                <c:v>-2.2690079385136404</c:v>
              </c:pt>
              <c:pt idx="217">
                <c:v>-2.9033858582286745</c:v>
              </c:pt>
              <c:pt idx="218">
                <c:v>-0.60211300531251377</c:v>
              </c:pt>
              <c:pt idx="219">
                <c:v>-3.0442846499958249</c:v>
              </c:pt>
              <c:pt idx="220">
                <c:v>1.0144450566973513</c:v>
              </c:pt>
              <c:pt idx="221">
                <c:v>-1.2282681248770992</c:v>
              </c:pt>
              <c:pt idx="222">
                <c:v>1.9280648247647907</c:v>
              </c:pt>
              <c:pt idx="223">
                <c:v>1.5104799198271313</c:v>
              </c:pt>
              <c:pt idx="224">
                <c:v>-1.2799384231197846</c:v>
              </c:pt>
              <c:pt idx="225">
                <c:v>4.4057945241527454</c:v>
              </c:pt>
              <c:pt idx="226">
                <c:v>-0.517662625388985</c:v>
              </c:pt>
              <c:pt idx="227">
                <c:v>-0.59266789703159284</c:v>
              </c:pt>
              <c:pt idx="228">
                <c:v>-2.1700009799453976</c:v>
              </c:pt>
              <c:pt idx="229">
                <c:v>1.2911311698678603</c:v>
              </c:pt>
              <c:pt idx="230">
                <c:v>-0.72212143994068623</c:v>
              </c:pt>
              <c:pt idx="231">
                <c:v>-1.3627220192290332</c:v>
              </c:pt>
              <c:pt idx="232">
                <c:v>0.9672195152927463</c:v>
              </c:pt>
              <c:pt idx="233">
                <c:v>-0.77412509494622783</c:v>
              </c:pt>
              <c:pt idx="234">
                <c:v>0.49463074448384087</c:v>
              </c:pt>
              <c:pt idx="235">
                <c:v>-2.4929125642319434</c:v>
              </c:pt>
              <c:pt idx="236">
                <c:v>0.40851358074603183</c:v>
              </c:pt>
              <c:pt idx="237">
                <c:v>-2.4413533849102103</c:v>
              </c:pt>
              <c:pt idx="238">
                <c:v>0.56219104842266399</c:v>
              </c:pt>
              <c:pt idx="239">
                <c:v>5.0275048868792496</c:v>
              </c:pt>
              <c:pt idx="240">
                <c:v>7.0156466447156521E-2</c:v>
              </c:pt>
              <c:pt idx="241">
                <c:v>2.3516501514338586</c:v>
              </c:pt>
              <c:pt idx="242">
                <c:v>-0.21175223600809695</c:v>
              </c:pt>
              <c:pt idx="243">
                <c:v>-4.6073924868647628E-2</c:v>
              </c:pt>
              <c:pt idx="244">
                <c:v>-0.37343026599327389</c:v>
              </c:pt>
              <c:pt idx="245">
                <c:v>0.35773223387096259</c:v>
              </c:pt>
              <c:pt idx="246">
                <c:v>2.926470353681624E-2</c:v>
              </c:pt>
              <c:pt idx="247">
                <c:v>-1.8273102277293938</c:v>
              </c:pt>
              <c:pt idx="248">
                <c:v>1.6776027769389568</c:v>
              </c:pt>
              <c:pt idx="249">
                <c:v>0.53741152905036538</c:v>
              </c:pt>
              <c:pt idx="250">
                <c:v>0.82109813424085099</c:v>
              </c:pt>
              <c:pt idx="251">
                <c:v>-8.9076947277076116E-2</c:v>
              </c:pt>
              <c:pt idx="252">
                <c:v>-0.3572069035342802</c:v>
              </c:pt>
              <c:pt idx="253">
                <c:v>1.4088061071560407</c:v>
              </c:pt>
              <c:pt idx="254">
                <c:v>0.21672232318285983</c:v>
              </c:pt>
              <c:pt idx="255">
                <c:v>4.7043730889138102E-2</c:v>
              </c:pt>
              <c:pt idx="256">
                <c:v>-5.7377565630674088E-3</c:v>
              </c:pt>
              <c:pt idx="257">
                <c:v>-1.1399285827202499</c:v>
              </c:pt>
              <c:pt idx="258">
                <c:v>1.8946180295582351</c:v>
              </c:pt>
              <c:pt idx="259">
                <c:v>0.26617024300650499</c:v>
              </c:pt>
              <c:pt idx="260">
                <c:v>2.7093419579783844</c:v>
              </c:pt>
              <c:pt idx="261">
                <c:v>1.7053825071769595</c:v>
              </c:pt>
              <c:pt idx="262">
                <c:v>0.5461899238055743</c:v>
              </c:pt>
              <c:pt idx="263">
                <c:v>1.5817071481573706</c:v>
              </c:pt>
              <c:pt idx="264">
                <c:v>0.39895735354415884</c:v>
              </c:pt>
              <c:pt idx="265">
                <c:v>1.0273348515277847</c:v>
              </c:pt>
              <c:pt idx="266">
                <c:v>-0.69489730430744345</c:v>
              </c:pt>
              <c:pt idx="267">
                <c:v>0.3531763581119301</c:v>
              </c:pt>
              <c:pt idx="268">
                <c:v>2.3903195359251588</c:v>
              </c:pt>
              <c:pt idx="269">
                <c:v>0.64786373647666484</c:v>
              </c:pt>
              <c:pt idx="270">
                <c:v>-0.61122475683057864</c:v>
              </c:pt>
              <c:pt idx="271">
                <c:v>0.78565119845715925</c:v>
              </c:pt>
              <c:pt idx="272">
                <c:v>-0.33331633552959766</c:v>
              </c:pt>
              <c:pt idx="273">
                <c:v>1.7669423893843739</c:v>
              </c:pt>
              <c:pt idx="274">
                <c:v>-1.8251989682313055</c:v>
              </c:pt>
              <c:pt idx="275">
                <c:v>0.41995882960408909</c:v>
              </c:pt>
              <c:pt idx="276">
                <c:v>0.9199939738881413</c:v>
              </c:pt>
              <c:pt idx="277">
                <c:v>-0.39409838529034802</c:v>
              </c:pt>
              <c:pt idx="278">
                <c:v>1.1913463788529539</c:v>
              </c:pt>
              <c:pt idx="279">
                <c:v>-0.82535091750510503</c:v>
              </c:pt>
              <c:pt idx="280">
                <c:v>0.38040049374517293</c:v>
              </c:pt>
              <c:pt idx="281">
                <c:v>2.3125362912587506</c:v>
              </c:pt>
              <c:pt idx="282">
                <c:v>2.9820298141576301E-2</c:v>
              </c:pt>
              <c:pt idx="283">
                <c:v>0.42351463507455345</c:v>
              </c:pt>
              <c:pt idx="284">
                <c:v>-0.33231626524102953</c:v>
              </c:pt>
              <c:pt idx="285">
                <c:v>-1.4401719071325851</c:v>
              </c:pt>
              <c:pt idx="286">
                <c:v>-0.85846435594880455</c:v>
              </c:pt>
              <c:pt idx="287">
                <c:v>-0.41721112084836642</c:v>
              </c:pt>
              <c:pt idx="288">
                <c:v>1.212014498150028</c:v>
              </c:pt>
              <c:pt idx="289">
                <c:v>0.50907620420760236</c:v>
              </c:pt>
              <c:pt idx="290">
                <c:v>-1.1608189398592279</c:v>
              </c:pt>
              <c:pt idx="291">
                <c:v>1.520036147029004</c:v>
              </c:pt>
              <c:pt idx="292">
                <c:v>1.3618028035933396</c:v>
              </c:pt>
              <c:pt idx="293">
                <c:v>2.2486449358743534E-2</c:v>
              </c:pt>
              <c:pt idx="294">
                <c:v>-0.843796658383139</c:v>
              </c:pt>
              <c:pt idx="295">
                <c:v>-7.985407683805916E-2</c:v>
              </c:pt>
              <c:pt idx="296">
                <c:v>-0.91591283808099455</c:v>
              </c:pt>
              <c:pt idx="297">
                <c:v>0.2009434364076742</c:v>
              </c:pt>
              <c:pt idx="298">
                <c:v>1.1528992322035576</c:v>
              </c:pt>
              <c:pt idx="299">
                <c:v>0.30183941663210073</c:v>
              </c:pt>
              <c:pt idx="300">
                <c:v>-1.4373939341087849</c:v>
              </c:pt>
              <c:pt idx="301">
                <c:v>0.93132810382524656</c:v>
              </c:pt>
              <c:pt idx="302">
                <c:v>0.19138720920580118</c:v>
              </c:pt>
              <c:pt idx="303">
                <c:v>-2.2382279974099326</c:v>
              </c:pt>
              <c:pt idx="304">
                <c:v>0.92066068741385332</c:v>
              </c:pt>
              <c:pt idx="305">
                <c:v>-0.91402381642481034</c:v>
              </c:pt>
              <c:pt idx="306">
                <c:v>-1.3793898573718348</c:v>
              </c:pt>
              <c:pt idx="307">
                <c:v>-1.6742994735784738</c:v>
              </c:pt>
              <c:pt idx="308">
                <c:v>1.0344464624687133</c:v>
              </c:pt>
              <c:pt idx="309">
                <c:v>-1.4578398155639551</c:v>
              </c:pt>
              <c:pt idx="310">
                <c:v>0.6527529689985534</c:v>
              </c:pt>
              <c:pt idx="311">
                <c:v>0.30461738965590102</c:v>
              </c:pt>
              <c:pt idx="312">
                <c:v>0.16294076544208622</c:v>
              </c:pt>
              <c:pt idx="313">
                <c:v>1.8752833373125852</c:v>
              </c:pt>
              <c:pt idx="314">
                <c:v>-0.76423551098149878</c:v>
              </c:pt>
              <c:pt idx="315">
                <c:v>-2.0171013447154298</c:v>
              </c:pt>
              <c:pt idx="316">
                <c:v>0.35217628782336197</c:v>
              </c:pt>
              <c:pt idx="317">
                <c:v>0.3303969793167677</c:v>
              </c:pt>
              <c:pt idx="318">
                <c:v>-1.6248515537548287</c:v>
              </c:pt>
              <c:pt idx="319">
                <c:v>-0.31409276220489968</c:v>
              </c:pt>
              <c:pt idx="320">
                <c:v>0.33561956860151221</c:v>
              </c:pt>
              <c:pt idx="321">
                <c:v>1.0215566676382799</c:v>
              </c:pt>
              <c:pt idx="322">
                <c:v>-0.54399780965461164</c:v>
              </c:pt>
              <c:pt idx="323">
                <c:v>-0.5328859175594105</c:v>
              </c:pt>
              <c:pt idx="324">
                <c:v>0.38706762900229363</c:v>
              </c:pt>
              <c:pt idx="325">
                <c:v>2.6360034701500563</c:v>
              </c:pt>
              <c:pt idx="326">
                <c:v>-0.17808320295963742</c:v>
              </c:pt>
              <c:pt idx="327">
                <c:v>0.67153206663944331</c:v>
              </c:pt>
              <c:pt idx="328">
                <c:v>-2.3030103283249557</c:v>
              </c:pt>
              <c:pt idx="329">
                <c:v>0.18472007394868048</c:v>
              </c:pt>
              <c:pt idx="330">
                <c:v>-0.96336061732750355</c:v>
              </c:pt>
              <c:pt idx="331">
                <c:v>0.19560972820197764</c:v>
              </c:pt>
              <c:pt idx="332">
                <c:v>-1.1615967723058922</c:v>
              </c:pt>
              <c:pt idx="333">
                <c:v>-0.29153562125164134</c:v>
              </c:pt>
              <c:pt idx="334">
                <c:v>0.34995390940432175</c:v>
              </c:pt>
              <c:pt idx="335">
                <c:v>-2.3745709134180513</c:v>
              </c:pt>
              <c:pt idx="336">
                <c:v>1.9335096518914394</c:v>
              </c:pt>
              <c:pt idx="337">
                <c:v>-3.0770647316766686</c:v>
              </c:pt>
              <c:pt idx="338">
                <c:v>0.70820131055360724</c:v>
              </c:pt>
              <c:pt idx="339">
                <c:v>1.3420236356638815</c:v>
              </c:pt>
              <c:pt idx="340">
                <c:v>-1.8868699693596718</c:v>
              </c:pt>
              <c:pt idx="341">
                <c:v>-0.28364617786404844</c:v>
              </c:pt>
              <c:pt idx="342">
                <c:v>-0.76145753795769833</c:v>
              </c:pt>
              <c:pt idx="343">
                <c:v>1.079116268691422</c:v>
              </c:pt>
              <c:pt idx="344">
                <c:v>3.2389347352356719</c:v>
              </c:pt>
              <c:pt idx="345">
                <c:v>-1.1525961397087792</c:v>
              </c:pt>
              <c:pt idx="346">
                <c:v>0.67808808297561207</c:v>
              </c:pt>
              <c:pt idx="347">
                <c:v>-2.9421663616409264</c:v>
              </c:pt>
              <c:pt idx="348">
                <c:v>-3.2840792814102664</c:v>
              </c:pt>
              <c:pt idx="349">
                <c:v>1.7642755352815256</c:v>
              </c:pt>
              <c:pt idx="350">
                <c:v>0.9528851744899367</c:v>
              </c:pt>
              <c:pt idx="351">
                <c:v>0.45207219775922042</c:v>
              </c:pt>
              <c:pt idx="352">
                <c:v>-1.2009328703229041</c:v>
              </c:pt>
              <c:pt idx="353">
                <c:v>1.9701788958056032</c:v>
              </c:pt>
              <c:pt idx="354">
                <c:v>-0.6816741527141541</c:v>
              </c:pt>
              <c:pt idx="355">
                <c:v>0.3351750929177042</c:v>
              </c:pt>
              <c:pt idx="356">
                <c:v>-0.14319186178070575</c:v>
              </c:pt>
              <c:pt idx="357">
                <c:v>1.3330230030667687</c:v>
              </c:pt>
              <c:pt idx="358">
                <c:v>2.0067370207988149</c:v>
              </c:pt>
              <c:pt idx="359">
                <c:v>-5.5519033149568617E-2</c:v>
              </c:pt>
              <c:pt idx="360">
                <c:v>1.0078890403611824</c:v>
              </c:pt>
              <c:pt idx="361">
                <c:v>-0.7730139057367077</c:v>
              </c:pt>
              <c:pt idx="362">
                <c:v>-0.80134923057947061</c:v>
              </c:pt>
              <c:pt idx="363">
                <c:v>-0.78757048438142119</c:v>
              </c:pt>
              <c:pt idx="364">
                <c:v>-0.36976334160185748</c:v>
              </c:pt>
              <c:pt idx="365">
                <c:v>0.77187245225910994</c:v>
              </c:pt>
              <c:pt idx="366">
                <c:v>-0.13519129947216096</c:v>
              </c:pt>
              <c:pt idx="367">
                <c:v>2.0182933885778245</c:v>
              </c:pt>
              <c:pt idx="368">
                <c:v>0.81420876114182617</c:v>
              </c:pt>
              <c:pt idx="369">
                <c:v>1.1741229461053919</c:v>
              </c:pt>
              <c:pt idx="370">
                <c:v>0.13560551088789136</c:v>
              </c:pt>
              <c:pt idx="371">
                <c:v>-0.45010232145016194</c:v>
              </c:pt>
              <c:pt idx="372">
                <c:v>-0.21675258745093751</c:v>
              </c:pt>
              <c:pt idx="373">
                <c:v>-0.81546133354037609</c:v>
              </c:pt>
              <c:pt idx="374">
                <c:v>-0.82223958771844885</c:v>
              </c:pt>
              <c:pt idx="375">
                <c:v>0.17271923048586324</c:v>
              </c:pt>
              <c:pt idx="376">
                <c:v>-1.8889812288577601</c:v>
              </c:pt>
              <c:pt idx="377">
                <c:v>-0.34398375194099079</c:v>
              </c:pt>
              <c:pt idx="378">
                <c:v>-0.15052571056353858</c:v>
              </c:pt>
              <c:pt idx="379">
                <c:v>0.64997499597475317</c:v>
              </c:pt>
              <c:pt idx="380">
                <c:v>-1.1498181666849789</c:v>
              </c:pt>
              <c:pt idx="381">
                <c:v>1.6300438787714955</c:v>
              </c:pt>
              <c:pt idx="382">
                <c:v>0.32239641700822286</c:v>
              </c:pt>
              <c:pt idx="383">
                <c:v>-2.0564374427324417</c:v>
              </c:pt>
              <c:pt idx="384">
                <c:v>-0.25042162049939698</c:v>
              </c:pt>
              <c:pt idx="385">
                <c:v>-0.39198712579225981</c:v>
              </c:pt>
              <c:pt idx="386">
                <c:v>-6.2186168406689321E-2</c:v>
              </c:pt>
              <c:pt idx="387">
                <c:v>2.4973270568019461</c:v>
              </c:pt>
              <c:pt idx="388">
                <c:v>0.60730533032918066</c:v>
              </c:pt>
              <c:pt idx="389">
                <c:v>1.7912774330728645</c:v>
              </c:pt>
              <c:pt idx="390">
                <c:v>3.3598341453944698E-2</c:v>
              </c:pt>
              <c:pt idx="391">
                <c:v>-0.70178667740646816</c:v>
              </c:pt>
              <c:pt idx="392">
                <c:v>1.126786285779835</c:v>
              </c:pt>
              <c:pt idx="393">
                <c:v>0.21138861497716327</c:v>
              </c:pt>
              <c:pt idx="394">
                <c:v>0.44240485163639542</c:v>
              </c:pt>
              <c:pt idx="395">
                <c:v>1.7880549843652562</c:v>
              </c:pt>
              <c:pt idx="396">
                <c:v>0.18316440905535231</c:v>
              </c:pt>
              <c:pt idx="397">
                <c:v>2.6266516834121123E-4</c:v>
              </c:pt>
              <c:pt idx="398">
                <c:v>0.71220159170787956</c:v>
              </c:pt>
              <c:pt idx="399">
                <c:v>-9.8855412320853139E-2</c:v>
              </c:pt>
              <c:pt idx="400">
                <c:v>0.40606896448508761</c:v>
              </c:pt>
              <c:pt idx="401">
                <c:v>-0.25886665849174989</c:v>
              </c:pt>
              <c:pt idx="402">
                <c:v>-0.46488113793677943</c:v>
              </c:pt>
              <c:pt idx="403">
                <c:v>1.1865682652520171</c:v>
              </c:pt>
              <c:pt idx="404">
                <c:v>-7.9298482233299092E-2</c:v>
              </c:pt>
              <c:pt idx="405">
                <c:v>0.19949889043529803</c:v>
              </c:pt>
              <c:pt idx="406">
                <c:v>-0.33776109236767815</c:v>
              </c:pt>
              <c:pt idx="407">
                <c:v>-6.6186449560961716E-2</c:v>
              </c:pt>
              <c:pt idx="408">
                <c:v>-1.5203997680599377</c:v>
              </c:pt>
              <c:pt idx="409">
                <c:v>0.51229865291521071</c:v>
              </c:pt>
              <c:pt idx="410">
                <c:v>-0.22441979299662629</c:v>
              </c:pt>
              <c:pt idx="411">
                <c:v>0.45785038164872499</c:v>
              </c:pt>
              <c:pt idx="412">
                <c:v>0.87265731356258447</c:v>
              </c:pt>
              <c:pt idx="413">
                <c:v>8.4490807249966021E-2</c:v>
              </c:pt>
              <c:pt idx="414">
                <c:v>-1.1861540538362867</c:v>
              </c:pt>
              <c:pt idx="415">
                <c:v>-0.54355333397080363</c:v>
              </c:pt>
              <c:pt idx="416">
                <c:v>1.5515939205793754</c:v>
              </c:pt>
              <c:pt idx="417">
                <c:v>0.9343283146909509</c:v>
              </c:pt>
              <c:pt idx="418">
                <c:v>0.10771466172893644</c:v>
              </c:pt>
              <c:pt idx="419">
                <c:v>1.3316895760153444</c:v>
              </c:pt>
              <c:pt idx="420">
                <c:v>0.19472077683436154</c:v>
              </c:pt>
              <c:pt idx="421">
                <c:v>2.3829856871423258</c:v>
              </c:pt>
              <c:pt idx="422">
                <c:v>0.41884764039456895</c:v>
              </c:pt>
              <c:pt idx="423">
                <c:v>-0.32876045977056517</c:v>
              </c:pt>
              <c:pt idx="424">
                <c:v>0.75476013843250001</c:v>
              </c:pt>
              <c:pt idx="425">
                <c:v>-0.7066759099283566</c:v>
              </c:pt>
              <c:pt idx="426">
                <c:v>0.46040611683062127</c:v>
              </c:pt>
              <c:pt idx="427">
                <c:v>0.26850374034649727</c:v>
              </c:pt>
              <c:pt idx="428">
                <c:v>-0.41754447761122249</c:v>
              </c:pt>
              <c:pt idx="429">
                <c:v>-0.8583532370278526</c:v>
              </c:pt>
              <c:pt idx="430">
                <c:v>0.27739325402265813</c:v>
              </c:pt>
              <c:pt idx="431">
                <c:v>0.52485509098278804</c:v>
              </c:pt>
              <c:pt idx="432">
                <c:v>-0.49721674393381476</c:v>
              </c:pt>
              <c:pt idx="433">
                <c:v>0.69242242377842156</c:v>
              </c:pt>
              <c:pt idx="434">
                <c:v>-0.41898902358359863</c:v>
              </c:pt>
              <c:pt idx="435">
                <c:v>3.9154287501545273E-2</c:v>
              </c:pt>
              <c:pt idx="436">
                <c:v>0.19238727949436929</c:v>
              </c:pt>
              <c:pt idx="437">
                <c:v>-1.0131418939140047</c:v>
              </c:pt>
              <c:pt idx="438">
                <c:v>-0.27664568584407173</c:v>
              </c:pt>
              <c:pt idx="439">
                <c:v>-2.0003223876516758</c:v>
              </c:pt>
              <c:pt idx="440">
                <c:v>-0.14685878617212217</c:v>
              </c:pt>
              <c:pt idx="441">
                <c:v>-0.19908467901956761</c:v>
              </c:pt>
              <c:pt idx="442">
                <c:v>0.85021129153027797</c:v>
              </c:pt>
              <c:pt idx="443">
                <c:v>-2.6183638018237546E-2</c:v>
              </c:pt>
              <c:pt idx="444">
                <c:v>8.7268780273766305E-2</c:v>
              </c:pt>
              <c:pt idx="445">
                <c:v>-0.77412509494622783</c:v>
              </c:pt>
              <c:pt idx="446">
                <c:v>-0.46477001901582737</c:v>
              </c:pt>
              <c:pt idx="447">
                <c:v>-0.46499225685773138</c:v>
              </c:pt>
              <c:pt idx="448">
                <c:v>-0.2705341451917111</c:v>
              </c:pt>
              <c:pt idx="449">
                <c:v>-0.73267773743112741</c:v>
              </c:pt>
              <c:pt idx="450">
                <c:v>-1.9040934021072335</c:v>
              </c:pt>
              <c:pt idx="451">
                <c:v>-0.59000104292874445</c:v>
              </c:pt>
              <c:pt idx="452">
                <c:v>1.4878116599529208</c:v>
              </c:pt>
              <c:pt idx="453">
                <c:v>-0.18386138684914205</c:v>
              </c:pt>
              <c:pt idx="454">
                <c:v>0.28283808114930675</c:v>
              </c:pt>
              <c:pt idx="455">
                <c:v>0.54841230222461446</c:v>
              </c:pt>
              <c:pt idx="456">
                <c:v>-0.31542618925632376</c:v>
              </c:pt>
              <c:pt idx="457">
                <c:v>0.86310108636071137</c:v>
              </c:pt>
              <c:pt idx="458">
                <c:v>0.84498870224553346</c:v>
              </c:pt>
              <c:pt idx="459">
                <c:v>-0.60911349733249043</c:v>
              </c:pt>
              <c:pt idx="460">
                <c:v>0.84576653469219765</c:v>
              </c:pt>
              <c:pt idx="461">
                <c:v>-0.3164262595448919</c:v>
              </c:pt>
              <c:pt idx="462">
                <c:v>-1.9597639815041914</c:v>
              </c:pt>
              <c:pt idx="463">
                <c:v>0.44073806782211522</c:v>
              </c:pt>
              <c:pt idx="464">
                <c:v>-0.17497187317298113</c:v>
              </c:pt>
              <c:pt idx="465">
                <c:v>-0.14208067257118567</c:v>
              </c:pt>
              <c:pt idx="466">
                <c:v>5.6266601328155072E-2</c:v>
              </c:pt>
              <c:pt idx="467">
                <c:v>0.33273047665675992</c:v>
              </c:pt>
              <c:pt idx="468">
                <c:v>-0.82201734987654473</c:v>
              </c:pt>
              <c:pt idx="469">
                <c:v>0.34262006062148898</c:v>
              </c:pt>
              <c:pt idx="470">
                <c:v>3.4641727880053992</c:v>
              </c:pt>
              <c:pt idx="471">
                <c:v>1.2994650889392612</c:v>
              </c:pt>
              <c:pt idx="472">
                <c:v>0.41418064571458441</c:v>
              </c:pt>
              <c:pt idx="473">
                <c:v>0.14293935967072413</c:v>
              </c:pt>
              <c:pt idx="474">
                <c:v>1.0931172527313753</c:v>
              </c:pt>
              <c:pt idx="475">
                <c:v>1.2011248438967308</c:v>
              </c:pt>
              <c:pt idx="476">
                <c:v>0.36128803934142695</c:v>
              </c:pt>
              <c:pt idx="477">
                <c:v>8.7935493799478376E-2</c:v>
              </c:pt>
              <c:pt idx="478">
                <c:v>0.77276140362672585</c:v>
              </c:pt>
              <c:pt idx="479">
                <c:v>-0.30298087010969849</c:v>
              </c:pt>
              <c:pt idx="480">
                <c:v>0.34884272019480161</c:v>
              </c:pt>
              <c:pt idx="481">
                <c:v>-0.40509915846459715</c:v>
              </c:pt>
              <c:pt idx="482">
                <c:v>0.13338313246885114</c:v>
              </c:pt>
              <c:pt idx="483">
                <c:v>1.1832346976234569</c:v>
              </c:pt>
              <c:pt idx="484">
                <c:v>1.0347798192315694</c:v>
              </c:pt>
              <c:pt idx="485">
                <c:v>-0.76634677047958699</c:v>
              </c:pt>
              <c:pt idx="486">
                <c:v>-0.90613437303721744</c:v>
              </c:pt>
              <c:pt idx="487">
                <c:v>0.25350268601797565</c:v>
              </c:pt>
              <c:pt idx="488">
                <c:v>0.56152433489695186</c:v>
              </c:pt>
              <c:pt idx="489">
                <c:v>-1.121038366158408</c:v>
              </c:pt>
              <c:pt idx="490">
                <c:v>-1.0382547700491593</c:v>
              </c:pt>
              <c:pt idx="491">
                <c:v>0.37051090978044393</c:v>
              </c:pt>
              <c:pt idx="492">
                <c:v>4.1518274016616175E-3</c:v>
              </c:pt>
              <c:pt idx="493">
                <c:v>1.5524828719469916</c:v>
              </c:pt>
              <c:pt idx="494">
                <c:v>3.7598622608217114E-2</c:v>
              </c:pt>
              <c:pt idx="495">
                <c:v>0.27906003783693833</c:v>
              </c:pt>
              <c:pt idx="496">
                <c:v>0.81209750164373795</c:v>
              </c:pt>
              <c:pt idx="497">
                <c:v>1.2169037306719166</c:v>
              </c:pt>
              <c:pt idx="498">
                <c:v>0.89232536257109041</c:v>
              </c:pt>
              <c:pt idx="499">
                <c:v>-0.36598529828948906</c:v>
              </c:pt>
              <c:pt idx="500">
                <c:v>-0.65467225492281522</c:v>
              </c:pt>
              <c:pt idx="501">
                <c:v>-0.40776601256744543</c:v>
              </c:pt>
              <c:pt idx="502">
                <c:v>0.31639599527681428</c:v>
              </c:pt>
              <c:pt idx="503">
                <c:v>1.1155632747636817</c:v>
              </c:pt>
              <c:pt idx="504">
                <c:v>0.17905300898012788</c:v>
              </c:pt>
              <c:pt idx="505">
                <c:v>0.14071698125168389</c:v>
              </c:pt>
              <c:pt idx="506">
                <c:v>-0.76812467321481903</c:v>
              </c:pt>
              <c:pt idx="507">
                <c:v>-0.85590862076690832</c:v>
              </c:pt>
              <c:pt idx="508">
                <c:v>-1.1434843881907142</c:v>
              </c:pt>
              <c:pt idx="509">
                <c:v>1.7551637837634606</c:v>
              </c:pt>
              <c:pt idx="510">
                <c:v>-4.207364371437522E-2</c:v>
              </c:pt>
              <c:pt idx="511">
                <c:v>0.562857761948376</c:v>
              </c:pt>
              <c:pt idx="512">
                <c:v>-0.14163619688737761</c:v>
              </c:pt>
              <c:pt idx="513">
                <c:v>-0.6213365786372117</c:v>
              </c:pt>
              <c:pt idx="514">
                <c:v>-0.26620050727458261</c:v>
              </c:pt>
              <c:pt idx="515">
                <c:v>0.68019934247370029</c:v>
              </c:pt>
              <c:pt idx="516">
                <c:v>1.3230223001810875</c:v>
              </c:pt>
              <c:pt idx="517">
                <c:v>0.51263200967806677</c:v>
              </c:pt>
              <c:pt idx="518">
                <c:v>0.31372914117396594</c:v>
              </c:pt>
              <c:pt idx="519">
                <c:v>0.15649586802686954</c:v>
              </c:pt>
              <c:pt idx="520">
                <c:v>1.0185564567725758</c:v>
              </c:pt>
              <c:pt idx="521">
                <c:v>-0.43687916985687247</c:v>
              </c:pt>
              <c:pt idx="522">
                <c:v>0.34962055264146569</c:v>
              </c:pt>
              <c:pt idx="523">
                <c:v>0.58941518405590676</c:v>
              </c:pt>
              <c:pt idx="524">
                <c:v>0.31472921146253408</c:v>
              </c:pt>
              <c:pt idx="525">
                <c:v>1.0204454784287598</c:v>
              </c:pt>
              <c:pt idx="526">
                <c:v>-0.92369116254763539</c:v>
              </c:pt>
              <c:pt idx="527">
                <c:v>-6.3852952220969497E-2</c:v>
              </c:pt>
              <c:pt idx="528">
                <c:v>0.61852834134533374</c:v>
              </c:pt>
              <c:pt idx="529">
                <c:v>-0.47454848405960437</c:v>
              </c:pt>
              <c:pt idx="530">
                <c:v>-0.86535372904782926</c:v>
              </c:pt>
              <c:pt idx="531">
                <c:v>0.31284018980634987</c:v>
              </c:pt>
              <c:pt idx="532">
                <c:v>1.0060000187049984</c:v>
              </c:pt>
              <c:pt idx="533">
                <c:v>-1.2933838125549779</c:v>
              </c:pt>
              <c:pt idx="534">
                <c:v>0.99177679682314079</c:v>
              </c:pt>
              <c:pt idx="535">
                <c:v>0.31839613585395043</c:v>
              </c:pt>
              <c:pt idx="536">
                <c:v>0.21483330152667562</c:v>
              </c:pt>
              <c:pt idx="537">
                <c:v>0.83221002633605212</c:v>
              </c:pt>
              <c:pt idx="538">
                <c:v>0.39873511570225484</c:v>
              </c:pt>
              <c:pt idx="539">
                <c:v>-0.53777515008129906</c:v>
              </c:pt>
              <c:pt idx="540">
                <c:v>8.3379618040445899E-2</c:v>
              </c:pt>
              <c:pt idx="541">
                <c:v>-0.537441793318443</c:v>
              </c:pt>
              <c:pt idx="542">
                <c:v>-0.2674228154050548</c:v>
              </c:pt>
              <c:pt idx="543">
                <c:v>-1.5678475473064466</c:v>
              </c:pt>
              <c:pt idx="544">
                <c:v>0.45751702488586898</c:v>
              </c:pt>
              <c:pt idx="545">
                <c:v>-0.50255045213951133</c:v>
              </c:pt>
              <c:pt idx="546">
                <c:v>0.26883709710935327</c:v>
              </c:pt>
              <c:pt idx="547">
                <c:v>-0.15019235380068252</c:v>
              </c:pt>
              <c:pt idx="548">
                <c:v>0.92277194691194153</c:v>
              </c:pt>
              <c:pt idx="549">
                <c:v>7.5712412494757103E-2</c:v>
              </c:pt>
              <c:pt idx="550">
                <c:v>0.60508295191014039</c:v>
              </c:pt>
              <c:pt idx="551">
                <c:v>-0.31187038378585941</c:v>
              </c:pt>
              <c:pt idx="552">
                <c:v>0.8005411338647288</c:v>
              </c:pt>
              <c:pt idx="553">
                <c:v>-0.19986251146623174</c:v>
              </c:pt>
              <c:pt idx="554">
                <c:v>0.2681703835836412</c:v>
              </c:pt>
              <c:pt idx="555">
                <c:v>0.48107423612769545</c:v>
              </c:pt>
              <c:pt idx="556">
                <c:v>-2.6119209285715477</c:v>
              </c:pt>
              <c:pt idx="557">
                <c:v>-0.27586785339740771</c:v>
              </c:pt>
              <c:pt idx="558">
                <c:v>0.4205144242088491</c:v>
              </c:pt>
              <c:pt idx="559">
                <c:v>1.5697063046945532</c:v>
              </c:pt>
              <c:pt idx="560">
                <c:v>-0.44299071050923311</c:v>
              </c:pt>
              <c:pt idx="561">
                <c:v>-0.75623494867295393</c:v>
              </c:pt>
              <c:pt idx="562">
                <c:v>0.60797204385489267</c:v>
              </c:pt>
              <c:pt idx="563">
                <c:v>0.18649797668391266</c:v>
              </c:pt>
              <c:pt idx="564">
                <c:v>-0.18019446245772569</c:v>
              </c:pt>
              <c:pt idx="565">
                <c:v>2.0435173836339309</c:v>
              </c:pt>
              <c:pt idx="566">
                <c:v>0.62541771444435856</c:v>
              </c:pt>
              <c:pt idx="567">
                <c:v>-0.31331492975823555</c:v>
              </c:pt>
              <c:pt idx="568">
                <c:v>1.1989024654776905</c:v>
              </c:pt>
              <c:pt idx="569">
                <c:v>4.5154709232953907E-2</c:v>
              </c:pt>
              <c:pt idx="570">
                <c:v>7.6601363862373192E-2</c:v>
              </c:pt>
              <c:pt idx="571">
                <c:v>0.17860853329631984</c:v>
              </c:pt>
              <c:pt idx="572">
                <c:v>0.95332965017374482</c:v>
              </c:pt>
              <c:pt idx="573">
                <c:v>0.54974572927603871</c:v>
              </c:pt>
              <c:pt idx="574">
                <c:v>0.16138510054875804</c:v>
              </c:pt>
              <c:pt idx="575">
                <c:v>0.53596698307798918</c:v>
              </c:pt>
              <c:pt idx="576">
                <c:v>-9.2935620335317937E-3</c:v>
              </c:pt>
              <c:pt idx="577">
                <c:v>1.4793666219605679</c:v>
              </c:pt>
              <c:pt idx="578">
                <c:v>0.32461879542726313</c:v>
              </c:pt>
              <c:pt idx="579">
                <c:v>-3.2931403021231737E-3</c:v>
              </c:pt>
              <c:pt idx="580">
                <c:v>-0.3572069035342802</c:v>
              </c:pt>
              <c:pt idx="581">
                <c:v>0.11938214842889766</c:v>
              </c:pt>
              <c:pt idx="582">
                <c:v>0.96777510989750626</c:v>
              </c:pt>
              <c:pt idx="583">
                <c:v>1.0227789757687522</c:v>
              </c:pt>
              <c:pt idx="584">
                <c:v>-0.21764153881855358</c:v>
              </c:pt>
              <c:pt idx="585">
                <c:v>0.18983154431247301</c:v>
              </c:pt>
              <c:pt idx="586">
                <c:v>0.15182887334688505</c:v>
              </c:pt>
              <c:pt idx="587">
                <c:v>0.28139353517693061</c:v>
              </c:pt>
              <c:pt idx="588">
                <c:v>-2.0786612269228439</c:v>
              </c:pt>
              <c:pt idx="589">
                <c:v>-0.3067589134220669</c:v>
              </c:pt>
              <c:pt idx="590">
                <c:v>1.0200010027449518</c:v>
              </c:pt>
              <c:pt idx="591">
                <c:v>-0.15674837013685122</c:v>
              </c:pt>
              <c:pt idx="592">
                <c:v>1.0743381550904856</c:v>
              </c:pt>
              <c:pt idx="593">
                <c:v>-1.1958213999591116</c:v>
              </c:pt>
              <c:pt idx="594">
                <c:v>0.22727862067330096</c:v>
              </c:pt>
              <c:pt idx="595">
                <c:v>-0.6540055413971031</c:v>
              </c:pt>
              <c:pt idx="596">
                <c:v>-6.0630503513361148E-2</c:v>
              </c:pt>
              <c:pt idx="597">
                <c:v>-5.4074487177192473E-2</c:v>
              </c:pt>
              <c:pt idx="598">
                <c:v>-1.0987034630470536</c:v>
              </c:pt>
              <c:pt idx="599">
                <c:v>5.9377931114811391E-2</c:v>
              </c:pt>
              <c:pt idx="600">
                <c:v>0.96566385039941816</c:v>
              </c:pt>
              <c:pt idx="601">
                <c:v>-0.53399710676893064</c:v>
              </c:pt>
              <c:pt idx="602">
                <c:v>-2.202892180547193</c:v>
              </c:pt>
              <c:pt idx="603">
                <c:v>-0.12241262356267961</c:v>
              </c:pt>
              <c:pt idx="604">
                <c:v>0.84165513461697317</c:v>
              </c:pt>
              <c:pt idx="605">
                <c:v>0.32406320082250306</c:v>
              </c:pt>
              <c:pt idx="606">
                <c:v>2.1930854753983473E-2</c:v>
              </c:pt>
              <c:pt idx="607">
                <c:v>-1.4433943558401936</c:v>
              </c:pt>
              <c:pt idx="608">
                <c:v>-1.4232818311478797</c:v>
              </c:pt>
              <c:pt idx="609">
                <c:v>-0.43187881841403197</c:v>
              </c:pt>
              <c:pt idx="610">
                <c:v>-1.2939394071597379</c:v>
              </c:pt>
              <c:pt idx="611">
                <c:v>1.8212795417299077</c:v>
              </c:pt>
              <c:pt idx="612">
                <c:v>1.4779220759881917</c:v>
              </c:pt>
              <c:pt idx="613">
                <c:v>2.5574423930369843</c:v>
              </c:pt>
              <c:pt idx="614">
                <c:v>-0.28953548067450507</c:v>
              </c:pt>
              <c:pt idx="615">
                <c:v>-0.20652964672335244</c:v>
              </c:pt>
              <c:pt idx="616">
                <c:v>-1.3850569223403877</c:v>
              </c:pt>
              <c:pt idx="617">
                <c:v>-0.17663865698726128</c:v>
              </c:pt>
              <c:pt idx="618">
                <c:v>1.5837072887345069</c:v>
              </c:pt>
              <c:pt idx="619">
                <c:v>-1.543068027934148</c:v>
              </c:pt>
              <c:pt idx="620">
                <c:v>1.2612401801317692</c:v>
              </c:pt>
              <c:pt idx="621">
                <c:v>0.63552953625099162</c:v>
              </c:pt>
              <c:pt idx="622">
                <c:v>2.3762074329642533</c:v>
              </c:pt>
              <c:pt idx="623">
                <c:v>0.62719561717959071</c:v>
              </c:pt>
              <c:pt idx="624">
                <c:v>0.53341124789609295</c:v>
              </c:pt>
              <c:pt idx="625">
                <c:v>0.14538397593166838</c:v>
              </c:pt>
              <c:pt idx="626">
                <c:v>5.671107701196311E-2</c:v>
              </c:pt>
              <c:pt idx="627">
                <c:v>-0.79312643042902176</c:v>
              </c:pt>
              <c:pt idx="628">
                <c:v>-1.743859918094433</c:v>
              </c:pt>
              <c:pt idx="629">
                <c:v>0.66908745037849915</c:v>
              </c:pt>
              <c:pt idx="630">
                <c:v>1.5592611261250644</c:v>
              </c:pt>
              <c:pt idx="631">
                <c:v>-0.17774984619678141</c:v>
              </c:pt>
              <c:pt idx="632">
                <c:v>-0.37076341189042555</c:v>
              </c:pt>
              <c:pt idx="633">
                <c:v>-0.12085695866935146</c:v>
              </c:pt>
              <c:pt idx="634">
                <c:v>-0.81623916598704016</c:v>
              </c:pt>
              <c:pt idx="635">
                <c:v>1.1534548268083178</c:v>
              </c:pt>
              <c:pt idx="636">
                <c:v>-0.68723009876175467</c:v>
              </c:pt>
              <c:pt idx="637">
                <c:v>-0.63878224922667759</c:v>
              </c:pt>
              <c:pt idx="638">
                <c:v>0.67286549369086746</c:v>
              </c:pt>
              <c:pt idx="639">
                <c:v>0.60263833564919611</c:v>
              </c:pt>
              <c:pt idx="640">
                <c:v>-1.2976063315511541</c:v>
              </c:pt>
              <c:pt idx="641">
                <c:v>-1.5655140499664544</c:v>
              </c:pt>
              <c:pt idx="642">
                <c:v>-0.11896793701316725</c:v>
              </c:pt>
              <c:pt idx="643">
                <c:v>-0.65422777923900721</c:v>
              </c:pt>
              <c:pt idx="644">
                <c:v>0.73842565705255436</c:v>
              </c:pt>
              <c:pt idx="645">
                <c:v>1.2315714282375818</c:v>
              </c:pt>
              <c:pt idx="646">
                <c:v>-0.41498874242932621</c:v>
              </c:pt>
              <c:pt idx="647">
                <c:v>-0.82668434455652928</c:v>
              </c:pt>
              <c:pt idx="648">
                <c:v>0.60274945457014817</c:v>
              </c:pt>
              <c:pt idx="649">
                <c:v>-0.27586785339740771</c:v>
              </c:pt>
              <c:pt idx="650">
                <c:v>-0.88202156719063107</c:v>
              </c:pt>
              <c:pt idx="651">
                <c:v>-0.1871949544777024</c:v>
              </c:pt>
              <c:pt idx="652">
                <c:v>0.9071041790577079</c:v>
              </c:pt>
              <c:pt idx="653">
                <c:v>0.37751140180042064</c:v>
              </c:pt>
              <c:pt idx="654">
                <c:v>-0.97602817431603284</c:v>
              </c:pt>
              <c:pt idx="655">
                <c:v>0.12482697555554623</c:v>
              </c:pt>
              <c:pt idx="656">
                <c:v>1.3869156797284943</c:v>
              </c:pt>
              <c:pt idx="657">
                <c:v>1.5254809741556528</c:v>
              </c:pt>
              <c:pt idx="658">
                <c:v>0.30706200591684524</c:v>
              </c:pt>
              <c:pt idx="659">
                <c:v>0.754537900590596</c:v>
              </c:pt>
              <c:pt idx="660">
                <c:v>4.4851841645176527E-3</c:v>
              </c:pt>
              <c:pt idx="661">
                <c:v>1.2435722717003992</c:v>
              </c:pt>
              <c:pt idx="662">
                <c:v>5.5963733740377747E-3</c:v>
              </c:pt>
              <c:pt idx="663">
                <c:v>0.45151660315446035</c:v>
              </c:pt>
              <c:pt idx="664">
                <c:v>0.29806137331973231</c:v>
              </c:pt>
              <c:pt idx="665">
                <c:v>7.5267936810949052E-2</c:v>
              </c:pt>
              <c:pt idx="666">
                <c:v>0.29361661648165188</c:v>
              </c:pt>
              <c:pt idx="667">
                <c:v>-0.70256450985313224</c:v>
              </c:pt>
              <c:pt idx="668">
                <c:v>-0.27820135073739993</c:v>
              </c:pt>
              <c:pt idx="669">
                <c:v>1.6018196728496847</c:v>
              </c:pt>
              <c:pt idx="670">
                <c:v>-2.6264267764110893E-3</c:v>
              </c:pt>
              <c:pt idx="671">
                <c:v>-0.47588191111102862</c:v>
              </c:pt>
              <c:pt idx="672">
                <c:v>1.1987913465567386</c:v>
              </c:pt>
              <c:pt idx="673">
                <c:v>0.15649586802686954</c:v>
              </c:pt>
              <c:pt idx="674">
                <c:v>-0.13174661292264861</c:v>
              </c:pt>
              <c:pt idx="675">
                <c:v>-1.2667152715264951</c:v>
              </c:pt>
              <c:pt idx="676">
                <c:v>0.69508927788126984</c:v>
              </c:pt>
              <c:pt idx="677">
                <c:v>-0.69734192056838773</c:v>
              </c:pt>
              <c:pt idx="678">
                <c:v>0.25083583191512743</c:v>
              </c:pt>
              <c:pt idx="679">
                <c:v>0.47196248460963053</c:v>
              </c:pt>
              <c:pt idx="680">
                <c:v>1.9828464527941325</c:v>
              </c:pt>
              <c:pt idx="681">
                <c:v>0.14571733269452442</c:v>
              </c:pt>
              <c:pt idx="682">
                <c:v>-0.33887228157719823</c:v>
              </c:pt>
              <c:pt idx="683">
                <c:v>0.63075142265005513</c:v>
              </c:pt>
              <c:pt idx="684">
                <c:v>-0.33865004373529423</c:v>
              </c:pt>
              <c:pt idx="685">
                <c:v>0.13404984599456318</c:v>
              </c:pt>
              <c:pt idx="686">
                <c:v>-0.93591424385235666</c:v>
              </c:pt>
              <c:pt idx="687">
                <c:v>1.3264669867306</c:v>
              </c:pt>
              <c:pt idx="688">
                <c:v>-0.40276566112460493</c:v>
              </c:pt>
              <c:pt idx="689">
                <c:v>0.63764079574907984</c:v>
              </c:pt>
              <c:pt idx="690">
                <c:v>0.95121839067565661</c:v>
              </c:pt>
              <c:pt idx="691">
                <c:v>-0.21597475500427343</c:v>
              </c:pt>
              <c:pt idx="692">
                <c:v>5.8377860826243286E-2</c:v>
              </c:pt>
              <c:pt idx="693">
                <c:v>-0.25353295028605333</c:v>
              </c:pt>
              <c:pt idx="694">
                <c:v>0.33806418486245648</c:v>
              </c:pt>
              <c:pt idx="695">
                <c:v>-0.81746147411751224</c:v>
              </c:pt>
              <c:pt idx="696">
                <c:v>0.88421368134159362</c:v>
              </c:pt>
              <c:pt idx="697">
                <c:v>0.24594659939323887</c:v>
              </c:pt>
              <c:pt idx="698">
                <c:v>0.65241961223569733</c:v>
              </c:pt>
              <c:pt idx="699">
                <c:v>-0.12485723982362386</c:v>
              </c:pt>
              <c:pt idx="700">
                <c:v>-0.74445634305204067</c:v>
              </c:pt>
              <c:pt idx="701">
                <c:v>-0.37954180664563453</c:v>
              </c:pt>
              <c:pt idx="702">
                <c:v>-1.1573742533097158</c:v>
              </c:pt>
              <c:pt idx="703">
                <c:v>0.33784194702055248</c:v>
              </c:pt>
              <c:pt idx="704">
                <c:v>9.5602699345167186E-2</c:v>
              </c:pt>
              <c:pt idx="705">
                <c:v>-0.65611680089519142</c:v>
              </c:pt>
              <c:pt idx="706">
                <c:v>-0.56455481003073393</c:v>
              </c:pt>
              <c:pt idx="707">
                <c:v>0.24461317234181473</c:v>
              </c:pt>
              <c:pt idx="708">
                <c:v>-1.1684861454049169</c:v>
              </c:pt>
              <c:pt idx="709">
                <c:v>0.49174165253908858</c:v>
              </c:pt>
              <c:pt idx="710">
                <c:v>0.64730814187190477</c:v>
              </c:pt>
              <c:pt idx="711">
                <c:v>0.26694807545316906</c:v>
              </c:pt>
              <c:pt idx="712">
                <c:v>1.0009996672621577</c:v>
              </c:pt>
              <c:pt idx="713">
                <c:v>-0.6802296067417779</c:v>
              </c:pt>
              <c:pt idx="714">
                <c:v>-1.3591662137585687</c:v>
              </c:pt>
              <c:pt idx="715">
                <c:v>0.30972886001969357</c:v>
              </c:pt>
              <c:pt idx="716">
                <c:v>1.0363354841248975</c:v>
              </c:pt>
              <c:pt idx="717">
                <c:v>0.8904363409149062</c:v>
              </c:pt>
              <c:pt idx="718">
                <c:v>0.7152018025735839</c:v>
              </c:pt>
              <c:pt idx="719">
                <c:v>0.96010790435181759</c:v>
              </c:pt>
              <c:pt idx="720">
                <c:v>0.66064241238614618</c:v>
              </c:pt>
              <c:pt idx="721">
                <c:v>0.17505272782585546</c:v>
              </c:pt>
              <c:pt idx="722">
                <c:v>-0.21941944155378579</c:v>
              </c:pt>
              <c:pt idx="723">
                <c:v>0.4087358185879359</c:v>
              </c:pt>
              <c:pt idx="724">
                <c:v>-0.48966065730907804</c:v>
              </c:pt>
              <c:pt idx="725">
                <c:v>-3.1517346223934109E-2</c:v>
              </c:pt>
              <c:pt idx="726">
                <c:v>1.0887836148142469</c:v>
              </c:pt>
              <c:pt idx="727">
                <c:v>5.6044363486251039E-2</c:v>
              </c:pt>
              <c:pt idx="728">
                <c:v>-5.4407843940048509E-2</c:v>
              </c:pt>
              <c:pt idx="729">
                <c:v>-0.8862440861868075</c:v>
              </c:pt>
              <c:pt idx="730">
                <c:v>0.2795045135207464</c:v>
              </c:pt>
              <c:pt idx="731">
                <c:v>-0.76745795968910713</c:v>
              </c:pt>
              <c:pt idx="732">
                <c:v>0.59308210844732312</c:v>
              </c:pt>
              <c:pt idx="733">
                <c:v>2.0486308781607322E-2</c:v>
              </c:pt>
              <c:pt idx="734">
                <c:v>0.8463221292969576</c:v>
              </c:pt>
              <c:pt idx="735">
                <c:v>8.7157661352814289E-2</c:v>
              </c:pt>
              <c:pt idx="736">
                <c:v>0.70386767263647876</c:v>
              </c:pt>
              <c:pt idx="737">
                <c:v>-6.1822322468754604E-3</c:v>
              </c:pt>
              <c:pt idx="738">
                <c:v>0.29917256252925245</c:v>
              </c:pt>
              <c:pt idx="739">
                <c:v>0.30995109786159758</c:v>
              </c:pt>
              <c:pt idx="740">
                <c:v>0.71397949444311182</c:v>
              </c:pt>
              <c:pt idx="741">
                <c:v>1.2171259685138205</c:v>
              </c:pt>
              <c:pt idx="742">
                <c:v>-8.1409741731387333E-2</c:v>
              </c:pt>
              <c:pt idx="743">
                <c:v>8.5601996459486129E-2</c:v>
              </c:pt>
              <c:pt idx="744">
                <c:v>-0.78257013293858058</c:v>
              </c:pt>
              <c:pt idx="745">
                <c:v>-0.5343304635317867</c:v>
              </c:pt>
              <c:pt idx="746">
                <c:v>0.23283456672090153</c:v>
              </c:pt>
              <c:pt idx="747">
                <c:v>0.64141883906144814</c:v>
              </c:pt>
              <c:pt idx="748">
                <c:v>-0.46577008930439556</c:v>
              </c:pt>
              <c:pt idx="749">
                <c:v>0.26350338890365671</c:v>
              </c:pt>
              <c:pt idx="750">
                <c:v>0.55130139416936674</c:v>
              </c:pt>
              <c:pt idx="751">
                <c:v>-0.16230431618445179</c:v>
              </c:pt>
              <c:pt idx="752">
                <c:v>0.77731727938575834</c:v>
              </c:pt>
              <c:pt idx="753">
                <c:v>0.19572084712292964</c:v>
              </c:pt>
              <c:pt idx="754">
                <c:v>-0.13574689407692103</c:v>
              </c:pt>
              <c:pt idx="755">
                <c:v>0.40217980225176719</c:v>
              </c:pt>
              <c:pt idx="756">
                <c:v>-0.20719636024906446</c:v>
              </c:pt>
              <c:pt idx="757">
                <c:v>0.39995742383272698</c:v>
              </c:pt>
              <c:pt idx="758">
                <c:v>-0.31742632983346003</c:v>
              </c:pt>
              <c:pt idx="759">
                <c:v>0.11371508346034506</c:v>
              </c:pt>
              <c:pt idx="760">
                <c:v>-1.6959676631641158</c:v>
              </c:pt>
              <c:pt idx="761">
                <c:v>-2.5596950357241024</c:v>
              </c:pt>
              <c:pt idx="762">
                <c:v>0.69608934816983792</c:v>
              </c:pt>
              <c:pt idx="763">
                <c:v>1.0882280202094869</c:v>
              </c:pt>
              <c:pt idx="764">
                <c:v>0.13316089462694711</c:v>
              </c:pt>
              <c:pt idx="765">
                <c:v>0.58230357311497805</c:v>
              </c:pt>
              <c:pt idx="766">
                <c:v>1.1257862154912668</c:v>
              </c:pt>
              <c:pt idx="767">
                <c:v>-0.49277198709573422</c:v>
              </c:pt>
              <c:pt idx="768">
                <c:v>0.67397668290038759</c:v>
              </c:pt>
              <c:pt idx="769">
                <c:v>0.14882866248118073</c:v>
              </c:pt>
              <c:pt idx="770">
                <c:v>0.54963461035508665</c:v>
              </c:pt>
              <c:pt idx="771">
                <c:v>0.3418422281748249</c:v>
              </c:pt>
              <c:pt idx="772">
                <c:v>-0.60855790272773047</c:v>
              </c:pt>
              <c:pt idx="773">
                <c:v>1.0745603929323895</c:v>
              </c:pt>
              <c:pt idx="774">
                <c:v>-0.46188092707107509</c:v>
              </c:pt>
              <c:pt idx="775">
                <c:v>0.26694807545316906</c:v>
              </c:pt>
              <c:pt idx="776">
                <c:v>0.39884623462320684</c:v>
              </c:pt>
              <c:pt idx="777">
                <c:v>0.57141391886168091</c:v>
              </c:pt>
              <c:pt idx="778">
                <c:v>-0.41243300724742993</c:v>
              </c:pt>
              <c:pt idx="779">
                <c:v>-0.5422199069193796</c:v>
              </c:pt>
              <c:pt idx="780">
                <c:v>1.0858945228694947</c:v>
              </c:pt>
              <c:pt idx="781">
                <c:v>1.1082294259808489</c:v>
              </c:pt>
              <c:pt idx="782">
                <c:v>7.4490104364284965E-2</c:v>
              </c:pt>
              <c:pt idx="783">
                <c:v>-0.5507760638326844</c:v>
              </c:pt>
              <c:pt idx="784">
                <c:v>0.54685663733128631</c:v>
              </c:pt>
              <c:pt idx="785">
                <c:v>-0.15263697006162674</c:v>
              </c:pt>
              <c:pt idx="786">
                <c:v>0.87621311903304877</c:v>
              </c:pt>
              <c:pt idx="787">
                <c:v>-0.6945639475445875</c:v>
              </c:pt>
              <c:pt idx="788">
                <c:v>0.23161225859042939</c:v>
              </c:pt>
              <c:pt idx="789">
                <c:v>0.47818514418294317</c:v>
              </c:pt>
              <c:pt idx="790">
                <c:v>-0.46965925153771593</c:v>
              </c:pt>
              <c:pt idx="791">
                <c:v>-1.1121488524822469</c:v>
              </c:pt>
              <c:pt idx="792">
                <c:v>-0.18863950045007855</c:v>
              </c:pt>
              <c:pt idx="793">
                <c:v>0.43718226235165086</c:v>
              </c:pt>
              <c:pt idx="794">
                <c:v>1.1506768537845176</c:v>
              </c:pt>
              <c:pt idx="795">
                <c:v>0.68397738578606859</c:v>
              </c:pt>
              <c:pt idx="796">
                <c:v>0.60897211414346075</c:v>
              </c:pt>
              <c:pt idx="797">
                <c:v>9.8188923702142022E-3</c:v>
              </c:pt>
              <c:pt idx="798">
                <c:v>1.0134449864087831</c:v>
              </c:pt>
              <c:pt idx="799">
                <c:v>0.37162209898996396</c:v>
              </c:pt>
              <c:pt idx="800">
                <c:v>0.4760738846848549</c:v>
              </c:pt>
              <c:pt idx="801">
                <c:v>-0.13896934278452933</c:v>
              </c:pt>
              <c:pt idx="802">
                <c:v>-7.9076244391395059E-2</c:v>
              </c:pt>
              <c:pt idx="803">
                <c:v>0.22005589081142019</c:v>
              </c:pt>
              <c:pt idx="804">
                <c:v>0.60008260046729989</c:v>
              </c:pt>
              <c:pt idx="805">
                <c:v>0.29017192993213953</c:v>
              </c:pt>
              <c:pt idx="806">
                <c:v>-0.42621175344547935</c:v>
              </c:pt>
              <c:pt idx="807">
                <c:v>-0.56111012348122147</c:v>
              </c:pt>
              <c:pt idx="808">
                <c:v>0.81365316653706621</c:v>
              </c:pt>
              <c:pt idx="809">
                <c:v>0.16082950594399797</c:v>
              </c:pt>
              <c:pt idx="810">
                <c:v>0.3252855089529752</c:v>
              </c:pt>
              <c:pt idx="811">
                <c:v>0.35139845537669789</c:v>
              </c:pt>
              <c:pt idx="812">
                <c:v>-0.11963465053887933</c:v>
              </c:pt>
              <c:pt idx="813">
                <c:v>0.36384377452332323</c:v>
              </c:pt>
              <c:pt idx="814">
                <c:v>-0.14819221322354631</c:v>
              </c:pt>
              <c:pt idx="815">
                <c:v>-7.0075611794282136E-2</c:v>
              </c:pt>
              <c:pt idx="816">
                <c:v>-2.0766610863457076</c:v>
              </c:pt>
              <c:pt idx="817">
                <c:v>0.5220771179589877</c:v>
              </c:pt>
              <c:pt idx="818">
                <c:v>0.85654507002454272</c:v>
              </c:pt>
              <c:pt idx="819">
                <c:v>-0.94269249803042943</c:v>
              </c:pt>
              <c:pt idx="820">
                <c:v>1.0272237326068325</c:v>
              </c:pt>
              <c:pt idx="821">
                <c:v>0.11127046719940081</c:v>
              </c:pt>
              <c:pt idx="822">
                <c:v>0.59663791391778753</c:v>
              </c:pt>
              <c:pt idx="823">
                <c:v>-0.16697131086443628</c:v>
              </c:pt>
              <c:pt idx="824">
                <c:v>0.54207852373034981</c:v>
              </c:pt>
              <c:pt idx="825">
                <c:v>-0.44165728345780897</c:v>
              </c:pt>
              <c:pt idx="826">
                <c:v>-0.94591494673803767</c:v>
              </c:pt>
              <c:pt idx="827">
                <c:v>0.18994266323342501</c:v>
              </c:pt>
              <c:pt idx="828">
                <c:v>0.79098490666285592</c:v>
              </c:pt>
              <c:pt idx="829">
                <c:v>0.14093921909358792</c:v>
              </c:pt>
              <c:pt idx="830">
                <c:v>0.16983013854111095</c:v>
              </c:pt>
              <c:pt idx="831">
                <c:v>0.21527777721048369</c:v>
              </c:pt>
              <c:pt idx="832">
                <c:v>-7.9076244391395059E-2</c:v>
              </c:pt>
              <c:pt idx="833">
                <c:v>-0.24542126905655648</c:v>
              </c:pt>
              <c:pt idx="834">
                <c:v>1.4084727503931844</c:v>
              </c:pt>
              <c:pt idx="835">
                <c:v>0.54930125359223059</c:v>
              </c:pt>
              <c:pt idx="836">
                <c:v>0.41584742952886461</c:v>
              </c:pt>
              <c:pt idx="837">
                <c:v>0.30772871944255736</c:v>
              </c:pt>
              <c:pt idx="838">
                <c:v>0.88432480026254556</c:v>
              </c:pt>
              <c:pt idx="839">
                <c:v>-8.2632049861859444E-2</c:v>
              </c:pt>
              <c:pt idx="840">
                <c:v>-0.33209402739912552</c:v>
              </c:pt>
              <c:pt idx="841">
                <c:v>0.65286408791950534</c:v>
              </c:pt>
              <c:pt idx="842">
                <c:v>2.9598060299672282E-2</c:v>
              </c:pt>
              <c:pt idx="843">
                <c:v>0.32495215219011914</c:v>
              </c:pt>
              <c:pt idx="844">
                <c:v>-3.8487349068832277E-3</c:v>
              </c:pt>
              <c:pt idx="845">
                <c:v>0.41573631060791261</c:v>
              </c:pt>
              <c:pt idx="846">
                <c:v>0.79309616616094414</c:v>
              </c:pt>
              <c:pt idx="847">
                <c:v>0.16171845731161411</c:v>
              </c:pt>
              <c:pt idx="848">
                <c:v>-0.23097580933279493</c:v>
              </c:pt>
              <c:pt idx="849">
                <c:v>-2.75170650696617E-2</c:v>
              </c:pt>
              <c:pt idx="850">
                <c:v>0.15127327874212498</c:v>
              </c:pt>
              <c:pt idx="851">
                <c:v>0.52618851803421218</c:v>
              </c:pt>
              <c:pt idx="852">
                <c:v>0.54418978322843814</c:v>
              </c:pt>
              <c:pt idx="853">
                <c:v>0.51296536644092283</c:v>
              </c:pt>
              <c:pt idx="854">
                <c:v>-0.44199064022066503</c:v>
              </c:pt>
              <c:pt idx="855">
                <c:v>-0.4735484137710364</c:v>
              </c:pt>
              <c:pt idx="856">
                <c:v>0.28694948122453118</c:v>
              </c:pt>
              <c:pt idx="857">
                <c:v>2.3708757489215658E-2</c:v>
              </c:pt>
              <c:pt idx="858">
                <c:v>1.0154451269859193</c:v>
              </c:pt>
              <c:pt idx="859">
                <c:v>-9.6077439297052855E-2</c:v>
              </c:pt>
              <c:pt idx="860">
                <c:v>1.0972286528065998</c:v>
              </c:pt>
              <c:pt idx="861">
                <c:v>0.64864156892332903</c:v>
              </c:pt>
              <c:pt idx="862">
                <c:v>0.5776365784349935</c:v>
              </c:pt>
              <c:pt idx="863">
                <c:v>0.5547460807188791</c:v>
              </c:pt>
              <c:pt idx="864">
                <c:v>-0.11663443967317501</c:v>
              </c:pt>
              <c:pt idx="865">
                <c:v>0.19083161460104114</c:v>
              </c:pt>
              <c:pt idx="866">
                <c:v>0.19805434446292186</c:v>
              </c:pt>
              <c:pt idx="867">
                <c:v>-0.4067659422788773</c:v>
              </c:pt>
              <c:pt idx="868">
                <c:v>0.94866265549376028</c:v>
              </c:pt>
              <c:pt idx="869">
                <c:v>-0.73545571045492764</c:v>
              </c:pt>
              <c:pt idx="870">
                <c:v>0.35817670955477054</c:v>
              </c:pt>
              <c:pt idx="871">
                <c:v>0.64119660121954414</c:v>
              </c:pt>
              <c:pt idx="872">
                <c:v>-0.91257927045243414</c:v>
              </c:pt>
              <c:pt idx="873">
                <c:v>-0.82746217700319324</c:v>
              </c:pt>
              <c:pt idx="874">
                <c:v>-1.3627199950660238E-2</c:v>
              </c:pt>
              <c:pt idx="875">
                <c:v>0.54407866430748608</c:v>
              </c:pt>
              <c:pt idx="876">
                <c:v>0.7574269925353484</c:v>
              </c:pt>
              <c:pt idx="877">
                <c:v>0.40140196980510312</c:v>
              </c:pt>
              <c:pt idx="878">
                <c:v>-0.96180495243417541</c:v>
              </c:pt>
              <c:pt idx="879">
                <c:v>-0.15297032682448281</c:v>
              </c:pt>
              <c:pt idx="880">
                <c:v>-0.26208910719935824</c:v>
              </c:pt>
              <c:pt idx="881">
                <c:v>0.72275788919832074</c:v>
              </c:pt>
              <c:pt idx="882">
                <c:v>-1.4813970268057817</c:v>
              </c:pt>
              <c:pt idx="883">
                <c:v>-0.51777374430993695</c:v>
              </c:pt>
              <c:pt idx="884">
                <c:v>0.83332121554557226</c:v>
              </c:pt>
              <c:pt idx="885">
                <c:v>-2.1986696615510164</c:v>
              </c:pt>
              <c:pt idx="886">
                <c:v>0.10304766704895196</c:v>
              </c:pt>
              <c:pt idx="887">
                <c:v>-8.0076314679963193E-2</c:v>
              </c:pt>
              <c:pt idx="888">
                <c:v>-0.48254904636814921</c:v>
              </c:pt>
              <c:pt idx="889">
                <c:v>1.1305643290922034</c:v>
              </c:pt>
              <c:pt idx="890">
                <c:v>-4.6407281631503677E-2</c:v>
              </c:pt>
              <c:pt idx="891">
                <c:v>0.89610340588345871</c:v>
              </c:pt>
              <c:pt idx="892">
                <c:v>6.3822687952891852E-2</c:v>
              </c:pt>
              <c:pt idx="893">
                <c:v>-0.21464132795284924</c:v>
              </c:pt>
              <c:pt idx="894">
                <c:v>-0.72112136965211815</c:v>
              </c:pt>
              <c:pt idx="895">
                <c:v>1.3109103377973184</c:v>
              </c:pt>
              <c:pt idx="896">
                <c:v>0.60319393025395618</c:v>
              </c:pt>
              <c:pt idx="897">
                <c:v>-0.34331703841527872</c:v>
              </c:pt>
              <c:pt idx="898">
                <c:v>1.5837072887345069</c:v>
              </c:pt>
              <c:pt idx="899">
                <c:v>0.19683203633244978</c:v>
              </c:pt>
              <c:pt idx="900">
                <c:v>0.11182606180416087</c:v>
              </c:pt>
              <c:pt idx="901">
                <c:v>1.1508990916264215</c:v>
              </c:pt>
              <c:pt idx="902">
                <c:v>-1.2293772899236097E-2</c:v>
              </c:pt>
              <c:pt idx="903">
                <c:v>-0.42243371013311098</c:v>
              </c:pt>
              <c:pt idx="904">
                <c:v>0.97288658026129882</c:v>
              </c:pt>
              <c:pt idx="905">
                <c:v>-1.2596036605855665</c:v>
              </c:pt>
              <c:pt idx="906">
                <c:v>0.6691985692994511</c:v>
              </c:pt>
              <c:pt idx="907">
                <c:v>-0.18030558137867769</c:v>
              </c:pt>
              <c:pt idx="908">
                <c:v>-0.17486075425202907</c:v>
              </c:pt>
              <c:pt idx="909">
                <c:v>0.38873441281657378</c:v>
              </c:pt>
              <c:pt idx="910">
                <c:v>-0.8402408529126747</c:v>
              </c:pt>
              <c:pt idx="911">
                <c:v>-0.34009458970767037</c:v>
              </c:pt>
              <c:pt idx="912">
                <c:v>-1.1232607445774483</c:v>
              </c:pt>
              <c:pt idx="913">
                <c:v>3.3739949549975307E-3</c:v>
              </c:pt>
              <c:pt idx="914">
                <c:v>-0.94569270889613377</c:v>
              </c:pt>
              <c:pt idx="915">
                <c:v>0.82120925316180304</c:v>
              </c:pt>
              <c:pt idx="916">
                <c:v>0.57696986490928148</c:v>
              </c:pt>
              <c:pt idx="917">
                <c:v>0.11338172669748903</c:v>
              </c:pt>
              <c:pt idx="918">
                <c:v>-1.2073777677381208</c:v>
              </c:pt>
              <c:pt idx="919">
                <c:v>-0.53455270137369071</c:v>
              </c:pt>
              <c:pt idx="920">
                <c:v>0.23839051276850209</c:v>
              </c:pt>
              <c:pt idx="921">
                <c:v>-0.99414055843121063</c:v>
              </c:pt>
              <c:pt idx="922">
                <c:v>-0.19652894383767139</c:v>
              </c:pt>
              <c:pt idx="923">
                <c:v>-0.28753534009736886</c:v>
              </c:pt>
              <c:pt idx="924">
                <c:v>0.1486064246392767</c:v>
              </c:pt>
              <c:pt idx="925">
                <c:v>0.36117692042047495</c:v>
              </c:pt>
              <c:pt idx="926">
                <c:v>-0.11418982341223076</c:v>
              </c:pt>
              <c:pt idx="927">
                <c:v>1.6834920797494133</c:v>
              </c:pt>
              <c:pt idx="928">
                <c:v>-6.3741833300017467E-2</c:v>
              </c:pt>
              <c:pt idx="929">
                <c:v>-0.5934457294782568</c:v>
              </c:pt>
              <c:pt idx="930">
                <c:v>-0.98525104475504977</c:v>
              </c:pt>
              <c:pt idx="931">
                <c:v>0.21194420958192334</c:v>
              </c:pt>
              <c:pt idx="932">
                <c:v>-3.1342909759669544</c:v>
              </c:pt>
              <c:pt idx="933">
                <c:v>0.7969853283942645</c:v>
              </c:pt>
              <c:pt idx="934">
                <c:v>-1.3675001328299696</c:v>
              </c:pt>
              <c:pt idx="935">
                <c:v>-0.20819643053763259</c:v>
              </c:pt>
              <c:pt idx="936">
                <c:v>-1.4936201081105027</c:v>
              </c:pt>
              <c:pt idx="937">
                <c:v>2.016515485842592</c:v>
              </c:pt>
              <c:pt idx="938">
                <c:v>-3.6851054429630659E-2</c:v>
              </c:pt>
              <c:pt idx="939">
                <c:v>1.2750189263298186</c:v>
              </c:pt>
              <c:pt idx="940">
                <c:v>-0.15352592142924287</c:v>
              </c:pt>
              <c:pt idx="941">
                <c:v>-1.0155865101749491</c:v>
              </c:pt>
              <c:pt idx="942">
                <c:v>-0.16230431618445179</c:v>
              </c:pt>
              <c:pt idx="943">
                <c:v>1.9339541275752474</c:v>
              </c:pt>
              <c:pt idx="944">
                <c:v>1.7082715991217117</c:v>
              </c:pt>
              <c:pt idx="945">
                <c:v>-0.12274598032553564</c:v>
              </c:pt>
              <c:pt idx="946">
                <c:v>1.1507879727054695</c:v>
              </c:pt>
              <c:pt idx="947">
                <c:v>0.44429387329257958</c:v>
              </c:pt>
              <c:pt idx="948">
                <c:v>-0.1214125532741115</c:v>
              </c:pt>
              <c:pt idx="949">
                <c:v>-0.25675539899366162</c:v>
              </c:pt>
              <c:pt idx="950">
                <c:v>-0.81879490116893638</c:v>
              </c:pt>
              <c:pt idx="951">
                <c:v>0.3418422281748249</c:v>
              </c:pt>
              <c:pt idx="952">
                <c:v>1.7717205029853105</c:v>
              </c:pt>
              <c:pt idx="953">
                <c:v>-0.12241262356267961</c:v>
              </c:pt>
              <c:pt idx="954">
                <c:v>-1.3537213866319202</c:v>
              </c:pt>
              <c:pt idx="955">
                <c:v>0.83854380483031676</c:v>
              </c:pt>
              <c:pt idx="956">
                <c:v>9.9602980499439595E-2</c:v>
              </c:pt>
              <c:pt idx="957">
                <c:v>-1.1528183775506833</c:v>
              </c:pt>
              <c:pt idx="958">
                <c:v>-0.24486567445179641</c:v>
              </c:pt>
              <c:pt idx="959">
                <c:v>1.3712479118742606</c:v>
              </c:pt>
              <c:pt idx="960">
                <c:v>1.4965900547081297</c:v>
              </c:pt>
              <c:pt idx="961">
                <c:v>0.2270563828313969</c:v>
              </c:pt>
              <c:pt idx="962">
                <c:v>0.448071916604948</c:v>
              </c:pt>
              <c:pt idx="963">
                <c:v>-1.9597132506990189E-3</c:v>
              </c:pt>
              <c:pt idx="964">
                <c:v>0.14716187866690056</c:v>
              </c:pt>
              <c:pt idx="965">
                <c:v>0.59385994089398719</c:v>
              </c:pt>
              <c:pt idx="966">
                <c:v>0.33673075781103234</c:v>
              </c:pt>
              <c:pt idx="967">
                <c:v>-0.77079152731766742</c:v>
              </c:pt>
              <c:pt idx="968">
                <c:v>-0.94291473587233332</c:v>
              </c:pt>
              <c:pt idx="969">
                <c:v>1.78661043839288</c:v>
              </c:pt>
              <c:pt idx="970">
                <c:v>0.67431003966324354</c:v>
              </c:pt>
              <c:pt idx="971">
                <c:v>-0.1513035430102026</c:v>
              </c:pt>
              <c:pt idx="972">
                <c:v>-0.16063753237017159</c:v>
              </c:pt>
              <c:pt idx="973">
                <c:v>-0.63622651404478126</c:v>
              </c:pt>
              <c:pt idx="974">
                <c:v>-1.1115932578774868</c:v>
              </c:pt>
              <c:pt idx="975">
                <c:v>-0.16285991078921186</c:v>
              </c:pt>
              <c:pt idx="976">
                <c:v>0.24794673997037509</c:v>
              </c:pt>
              <c:pt idx="977">
                <c:v>-0.44221287806256904</c:v>
              </c:pt>
              <c:pt idx="978">
                <c:v>-0.35787361705999221</c:v>
              </c:pt>
              <c:pt idx="979">
                <c:v>-1.4596177182991874</c:v>
              </c:pt>
              <c:pt idx="980">
                <c:v>0.70320095911076663</c:v>
              </c:pt>
              <c:pt idx="981">
                <c:v>1.57504001290025</c:v>
              </c:pt>
              <c:pt idx="982">
                <c:v>1.2450168176727754</c:v>
              </c:pt>
              <c:pt idx="983">
                <c:v>0.1053811643889442</c:v>
              </c:pt>
              <c:pt idx="984">
                <c:v>1.147565523997861</c:v>
              </c:pt>
              <c:pt idx="985">
                <c:v>-0.26064456122698204</c:v>
              </c:pt>
              <c:pt idx="986">
                <c:v>0.74198146252301878</c:v>
              </c:pt>
              <c:pt idx="987">
                <c:v>0.1257159269231623</c:v>
              </c:pt>
              <c:pt idx="988">
                <c:v>0.88632494083968183</c:v>
              </c:pt>
              <c:pt idx="989">
                <c:v>-0.14152507796642561</c:v>
              </c:pt>
              <c:pt idx="990">
                <c:v>0.53685593444560531</c:v>
              </c:pt>
              <c:pt idx="991">
                <c:v>-0.32420458401153274</c:v>
              </c:pt>
              <c:pt idx="992">
                <c:v>-2.6662580809170819</c:v>
              </c:pt>
              <c:pt idx="993">
                <c:v>0.46151730604014141</c:v>
              </c:pt>
              <c:pt idx="994">
                <c:v>1.9885135177626849</c:v>
              </c:pt>
              <c:pt idx="995">
                <c:v>-0.19808460873099953</c:v>
              </c:pt>
              <c:pt idx="996">
                <c:v>-0.37820837959421033</c:v>
              </c:pt>
              <c:pt idx="997">
                <c:v>0.7180908945183363</c:v>
              </c:pt>
              <c:pt idx="998">
                <c:v>-0.55022046922792434</c:v>
              </c:pt>
              <c:pt idx="999">
                <c:v>-0.11118961254652644</c:v>
              </c:pt>
              <c:pt idx="1000">
                <c:v>-0.25308847460224526</c:v>
              </c:pt>
              <c:pt idx="1001">
                <c:v>0.50640935010475407</c:v>
              </c:pt>
              <c:pt idx="1002">
                <c:v>1.0085557538868946</c:v>
              </c:pt>
              <c:pt idx="1003">
                <c:v>0.88621382191872988</c:v>
              </c:pt>
              <c:pt idx="1004">
                <c:v>0.6644204556985146</c:v>
              </c:pt>
              <c:pt idx="1005">
                <c:v>1.2686851478355539</c:v>
              </c:pt>
              <c:pt idx="1006">
                <c:v>0.15116215982117298</c:v>
              </c:pt>
              <c:pt idx="1007">
                <c:v>0.58597049750639441</c:v>
              </c:pt>
              <c:pt idx="1008">
                <c:v>-5.2296584441960295E-2</c:v>
              </c:pt>
              <c:pt idx="1009">
                <c:v>-0.91369045966195428</c:v>
              </c:pt>
              <c:pt idx="1010">
                <c:v>-0.6964529692007716</c:v>
              </c:pt>
              <c:pt idx="1011">
                <c:v>0.3695108394918758</c:v>
              </c:pt>
              <c:pt idx="1012">
                <c:v>0.80076337170663281</c:v>
              </c:pt>
              <c:pt idx="1013">
                <c:v>0.8363214264112766</c:v>
              </c:pt>
              <c:pt idx="1014">
                <c:v>5.0377298517698454E-2</c:v>
              </c:pt>
              <c:pt idx="1015">
                <c:v>-0.58233383738305566</c:v>
              </c:pt>
              <c:pt idx="1016">
                <c:v>-0.33598318963244594</c:v>
              </c:pt>
              <c:pt idx="1017">
                <c:v>-0.25608868546794955</c:v>
              </c:pt>
              <c:pt idx="1018">
                <c:v>0.87988004342446513</c:v>
              </c:pt>
              <c:pt idx="1019">
                <c:v>0.47185136568867847</c:v>
              </c:pt>
              <c:pt idx="1020">
                <c:v>0.46007276006776521</c:v>
              </c:pt>
              <c:pt idx="1021">
                <c:v>1.2306824768699658</c:v>
              </c:pt>
              <c:pt idx="1022">
                <c:v>0.87910221097780106</c:v>
              </c:pt>
              <c:pt idx="1023">
                <c:v>-0.81846154440608032</c:v>
              </c:pt>
              <c:pt idx="1024">
                <c:v>-0.1675269054691963</c:v>
              </c:pt>
              <c:pt idx="1025">
                <c:v>0.12327131066221807</c:v>
              </c:pt>
              <c:pt idx="1026">
                <c:v>0.256725134725584</c:v>
              </c:pt>
              <c:pt idx="1027">
                <c:v>-0.23586504185468349</c:v>
              </c:pt>
              <c:pt idx="1028">
                <c:v>0.65764220152044195</c:v>
              </c:pt>
              <c:pt idx="1029">
                <c:v>-0.88557737266109537</c:v>
              </c:pt>
              <c:pt idx="1030">
                <c:v>-0.23553168509182748</c:v>
              </c:pt>
              <c:pt idx="1031">
                <c:v>-8.3409882308523545E-2</c:v>
              </c:pt>
              <c:pt idx="1032">
                <c:v>0.91877166575766922</c:v>
              </c:pt>
              <c:pt idx="1033">
                <c:v>-0.12074583974839943</c:v>
              </c:pt>
              <c:pt idx="1034">
                <c:v>-0.70111996388075604</c:v>
              </c:pt>
              <c:pt idx="1035">
                <c:v>0.38173392079659707</c:v>
              </c:pt>
              <c:pt idx="1036">
                <c:v>1.3922493879341908</c:v>
              </c:pt>
              <c:pt idx="1037">
                <c:v>1.0270014947649284</c:v>
              </c:pt>
              <c:pt idx="1038">
                <c:v>0.22005589081142019</c:v>
              </c:pt>
              <c:pt idx="1039">
                <c:v>0.16794111688492674</c:v>
              </c:pt>
              <c:pt idx="1040">
                <c:v>-0.22908678767661078</c:v>
              </c:pt>
              <c:pt idx="1041">
                <c:v>-0.65900589283994371</c:v>
              </c:pt>
              <c:pt idx="1042">
                <c:v>-0.48899394378336591</c:v>
              </c:pt>
              <c:pt idx="1043">
                <c:v>-1.2688265310245834</c:v>
              </c:pt>
              <c:pt idx="1044">
                <c:v>0.2842826271216829</c:v>
              </c:pt>
              <c:pt idx="1045">
                <c:v>0.8232093937389392</c:v>
              </c:pt>
              <c:pt idx="1046">
                <c:v>-0.84468560975075513</c:v>
              </c:pt>
              <c:pt idx="1047">
                <c:v>1.1500101402588054</c:v>
              </c:pt>
              <c:pt idx="1048">
                <c:v>0.55252370229983894</c:v>
              </c:pt>
              <c:pt idx="1049">
                <c:v>-0.73656689966444777</c:v>
              </c:pt>
              <c:pt idx="1050">
                <c:v>2.6597849433967966E-2</c:v>
              </c:pt>
              <c:pt idx="1051">
                <c:v>0.64753037971380889</c:v>
              </c:pt>
              <c:pt idx="1052">
                <c:v>0.6348628227252795</c:v>
              </c:pt>
              <c:pt idx="1053">
                <c:v>-0.20741859809096846</c:v>
              </c:pt>
              <c:pt idx="1054">
                <c:v>-1.1113710200355829</c:v>
              </c:pt>
              <c:pt idx="1055">
                <c:v>1.4245849939312263</c:v>
              </c:pt>
              <c:pt idx="1056">
                <c:v>-0.92102430844478711</c:v>
              </c:pt>
              <c:pt idx="1057">
                <c:v>-0.13785815357500919</c:v>
              </c:pt>
              <c:pt idx="1058">
                <c:v>-0.14741438077688218</c:v>
              </c:pt>
              <c:pt idx="1059">
                <c:v>0.98944329948314858</c:v>
              </c:pt>
              <c:pt idx="1060">
                <c:v>2.1846384132429857</c:v>
              </c:pt>
              <c:pt idx="1061">
                <c:v>1.3778039282104293</c:v>
              </c:pt>
              <c:pt idx="1062">
                <c:v>0.74098139223445059</c:v>
              </c:pt>
              <c:pt idx="1063">
                <c:v>-0.10941170981129426</c:v>
              </c:pt>
              <c:pt idx="1064">
                <c:v>-1.0832579330347241</c:v>
              </c:pt>
              <c:pt idx="1065">
                <c:v>-0.30931464860396313</c:v>
              </c:pt>
              <c:pt idx="1066">
                <c:v>0.35473202300525825</c:v>
              </c:pt>
              <c:pt idx="1067">
                <c:v>-0.20919650082620073</c:v>
              </c:pt>
              <c:pt idx="1068">
                <c:v>5.0377298517698454E-2</c:v>
              </c:pt>
              <c:pt idx="1069">
                <c:v>-1.226490222141867</c:v>
              </c:pt>
              <c:pt idx="1070">
                <c:v>-6.6519806323817751E-2</c:v>
              </c:pt>
              <c:pt idx="1071">
                <c:v>-0.25242176107653325</c:v>
              </c:pt>
              <c:pt idx="1072">
                <c:v>0.26772590789983314</c:v>
              </c:pt>
              <c:pt idx="1073">
                <c:v>0.5690804215216887</c:v>
              </c:pt>
              <c:pt idx="1074">
                <c:v>-1.2298237897704272</c:v>
              </c:pt>
              <c:pt idx="1075">
                <c:v>-0.29075778880497721</c:v>
              </c:pt>
              <c:pt idx="1076">
                <c:v>0.38062273158707699</c:v>
              </c:pt>
              <c:pt idx="1077">
                <c:v>1.3451349654505378</c:v>
              </c:pt>
              <c:pt idx="1078">
                <c:v>-0.28809093470212893</c:v>
              </c:pt>
              <c:pt idx="1079">
                <c:v>-1.1592632749659</c:v>
              </c:pt>
              <c:pt idx="1080">
                <c:v>0.76887224139340549</c:v>
              </c:pt>
              <c:pt idx="1081">
                <c:v>0.14571733269452442</c:v>
              </c:pt>
              <c:pt idx="1082">
                <c:v>0.35117621753479389</c:v>
              </c:pt>
              <c:pt idx="1083">
                <c:v>0.34917607695765768</c:v>
              </c:pt>
              <c:pt idx="1084">
                <c:v>0.29328325971879582</c:v>
              </c:pt>
              <c:pt idx="1085">
                <c:v>-6.2519525169545356E-2</c:v>
              </c:pt>
              <c:pt idx="1086">
                <c:v>-0.79457097640139784</c:v>
              </c:pt>
              <c:pt idx="1087">
                <c:v>-5.9741552145745072E-2</c:v>
              </c:pt>
              <c:pt idx="1088">
                <c:v>-0.59711265386967327</c:v>
              </c:pt>
              <c:pt idx="1089">
                <c:v>-2.3716818214732984</c:v>
              </c:pt>
              <c:pt idx="1090">
                <c:v>-2.8850492121085827E-2</c:v>
              </c:pt>
              <c:pt idx="1091">
                <c:v>0.40840246182507983</c:v>
              </c:pt>
              <c:pt idx="1092">
                <c:v>-2.0418808640877284</c:v>
              </c:pt>
              <c:pt idx="1093">
                <c:v>1.3539133602057467</c:v>
              </c:pt>
              <c:pt idx="1094">
                <c:v>0.11993774303365771</c:v>
              </c:pt>
              <c:pt idx="1095">
                <c:v>6.5600590688124044E-2</c:v>
              </c:pt>
              <c:pt idx="1096">
                <c:v>-0.43599021848925634</c:v>
              </c:pt>
              <c:pt idx="1097">
                <c:v>-0.48954953838812609</c:v>
              </c:pt>
              <c:pt idx="1098">
                <c:v>-0.20486286290907224</c:v>
              </c:pt>
              <c:pt idx="1099">
                <c:v>0.41684749981743274</c:v>
              </c:pt>
              <c:pt idx="1100">
                <c:v>1.5499271367650953</c:v>
              </c:pt>
              <c:pt idx="1101">
                <c:v>0.6579755582832979</c:v>
              </c:pt>
              <c:pt idx="1102">
                <c:v>0.14527285701071635</c:v>
              </c:pt>
              <c:pt idx="1103">
                <c:v>1.0028886889183422</c:v>
              </c:pt>
              <c:pt idx="1104">
                <c:v>-8.9299185118980148E-2</c:v>
              </c:pt>
              <c:pt idx="1105">
                <c:v>-2.619477015196285</c:v>
              </c:pt>
              <c:pt idx="1106">
                <c:v>1.1131186585027375</c:v>
              </c:pt>
              <c:pt idx="1107">
                <c:v>0.69275578054127762</c:v>
              </c:pt>
              <c:pt idx="1108">
                <c:v>0.1198266241127057</c:v>
              </c:pt>
              <c:pt idx="1109">
                <c:v>-0.17697201375011734</c:v>
              </c:pt>
              <c:pt idx="1110">
                <c:v>-1.1488180963964107</c:v>
              </c:pt>
              <c:pt idx="1111">
                <c:v>2.5961625083334439E-3</c:v>
              </c:pt>
              <c:pt idx="1112">
                <c:v>-3.2695227027655527</c:v>
              </c:pt>
              <c:pt idx="1113">
                <c:v>-0.69767527733124368</c:v>
              </c:pt>
              <c:pt idx="1114">
                <c:v>1.5555942017336479</c:v>
              </c:pt>
              <c:pt idx="1115">
                <c:v>0.16860783041063881</c:v>
              </c:pt>
              <c:pt idx="1116">
                <c:v>0.22505624225426074</c:v>
              </c:pt>
              <c:pt idx="1117">
                <c:v>-7.4964844316170662E-2</c:v>
              </c:pt>
              <c:pt idx="1118">
                <c:v>0.11860431598223359</c:v>
              </c:pt>
              <c:pt idx="1119">
                <c:v>-0.80312713331470276</c:v>
              </c:pt>
              <c:pt idx="1120">
                <c:v>0.4549612897039727</c:v>
              </c:pt>
              <c:pt idx="1121">
                <c:v>-1.0095860884435404</c:v>
              </c:pt>
              <c:pt idx="1122">
                <c:v>-1.5287336871313386</c:v>
              </c:pt>
              <c:pt idx="1123">
                <c:v>-0.22208629565663407</c:v>
              </c:pt>
              <c:pt idx="1124">
                <c:v>-2.6368115668647989</c:v>
              </c:pt>
              <c:pt idx="1125">
                <c:v>0.40695791585270374</c:v>
              </c:pt>
              <c:pt idx="1126">
                <c:v>-0.174082921805365</c:v>
              </c:pt>
              <c:pt idx="1127">
                <c:v>1.2084586926795635</c:v>
              </c:pt>
              <c:pt idx="1128">
                <c:v>0.2500579994684633</c:v>
              </c:pt>
              <c:pt idx="1129">
                <c:v>-1.7497492209048895</c:v>
              </c:pt>
              <c:pt idx="1130">
                <c:v>-0.10452247728940574</c:v>
              </c:pt>
              <c:pt idx="1131">
                <c:v>0.48162983073245552</c:v>
              </c:pt>
              <c:pt idx="1132">
                <c:v>-1.1402619394831057</c:v>
              </c:pt>
              <c:pt idx="1133">
                <c:v>-2.3405664994437261E-2</c:v>
              </c:pt>
              <c:pt idx="1134">
                <c:v>0.39495707238988642</c:v>
              </c:pt>
              <c:pt idx="1135">
                <c:v>-0.8860218483449035</c:v>
              </c:pt>
              <c:pt idx="1136">
                <c:v>-1.4037249010603254</c:v>
              </c:pt>
              <c:pt idx="1137">
                <c:v>0.45207219775922042</c:v>
              </c:pt>
              <c:pt idx="1138">
                <c:v>-9.2935620335317937E-3</c:v>
              </c:pt>
              <c:pt idx="1139">
                <c:v>-1.168375026483965</c:v>
              </c:pt>
              <c:pt idx="1140">
                <c:v>-0.41854454789979056</c:v>
              </c:pt>
              <c:pt idx="1141">
                <c:v>-2.0594376535981462</c:v>
              </c:pt>
              <c:pt idx="1142">
                <c:v>0.18260881445059227</c:v>
              </c:pt>
              <c:pt idx="1143">
                <c:v>-3.3407499310957918</c:v>
              </c:pt>
              <c:pt idx="1144">
                <c:v>-5.4357860667250195</c:v>
              </c:pt>
              <c:pt idx="1145">
                <c:v>3.9808757704322533</c:v>
              </c:pt>
              <c:pt idx="1146">
                <c:v>0.64908604460713704</c:v>
              </c:pt>
              <c:pt idx="1147">
                <c:v>1.6304883544553037</c:v>
              </c:pt>
              <c:pt idx="1148">
                <c:v>2.8024596137361697</c:v>
              </c:pt>
              <c:pt idx="1149">
                <c:v>2.2096401704571882</c:v>
              </c:pt>
              <c:pt idx="1150">
                <c:v>-2.087550740599005</c:v>
              </c:pt>
              <c:pt idx="1151">
                <c:v>0.31772942232823842</c:v>
              </c:pt>
              <c:pt idx="1152">
                <c:v>0.90799313042532404</c:v>
              </c:pt>
              <c:pt idx="1153">
                <c:v>-1.2441581305732368</c:v>
              </c:pt>
              <c:pt idx="1154">
                <c:v>-0.12285709924648767</c:v>
              </c:pt>
              <c:pt idx="1155">
                <c:v>0.27994898920455447</c:v>
              </c:pt>
              <c:pt idx="1156">
                <c:v>3.9668747863923</c:v>
              </c:pt>
              <c:pt idx="1157">
                <c:v>-0.17252725691203685</c:v>
              </c:pt>
              <c:pt idx="1158">
                <c:v>0.57030272965216078</c:v>
              </c:pt>
              <c:pt idx="1159">
                <c:v>9.1935774953750798E-2</c:v>
              </c:pt>
              <c:pt idx="1160">
                <c:v>-0.56222131269074149</c:v>
              </c:pt>
              <c:pt idx="1161">
                <c:v>1.0540033925562673</c:v>
              </c:pt>
              <c:pt idx="1162">
                <c:v>1.5584832936784001</c:v>
              </c:pt>
              <c:pt idx="1163">
                <c:v>0.2909497623788036</c:v>
              </c:pt>
              <c:pt idx="1164">
                <c:v>-1.9833211927460179</c:v>
              </c:pt>
              <c:pt idx="1165">
                <c:v>0.85710066462930279</c:v>
              </c:pt>
              <c:pt idx="1166">
                <c:v>-2.2428949920899171</c:v>
              </c:pt>
              <c:pt idx="1167">
                <c:v>-0.88557737266109537</c:v>
              </c:pt>
              <c:pt idx="1168">
                <c:v>0.19872105798863393</c:v>
              </c:pt>
              <c:pt idx="1169">
                <c:v>0.73831453813160242</c:v>
              </c:pt>
              <c:pt idx="1170">
                <c:v>1.6193764623601026</c:v>
              </c:pt>
              <c:pt idx="1171">
                <c:v>0.19394294438769744</c:v>
              </c:pt>
              <c:pt idx="1172">
                <c:v>0.7037565537155267</c:v>
              </c:pt>
              <c:pt idx="1173">
                <c:v>0.62619554689102264</c:v>
              </c:pt>
              <c:pt idx="1174">
                <c:v>1.4030279232665359</c:v>
              </c:pt>
              <c:pt idx="1175">
                <c:v>-0.57411103723260681</c:v>
              </c:pt>
              <c:pt idx="1176">
                <c:v>1.7404960861977952</c:v>
              </c:pt>
              <c:pt idx="1177">
                <c:v>-2.9597835392671246E-3</c:v>
              </c:pt>
              <c:pt idx="1178">
                <c:v>-0.51821821999374496</c:v>
              </c:pt>
              <c:pt idx="1179">
                <c:v>1.0976731284904078</c:v>
              </c:pt>
              <c:pt idx="1180">
                <c:v>0.11660417540509738</c:v>
              </c:pt>
              <c:pt idx="1181">
                <c:v>0.41462512139839247</c:v>
              </c:pt>
              <c:pt idx="1182">
                <c:v>0.35639880681953839</c:v>
              </c:pt>
              <c:pt idx="1183">
                <c:v>-0.49899464666904703</c:v>
              </c:pt>
              <c:pt idx="1184">
                <c:v>6.2378141980515701E-2</c:v>
              </c:pt>
              <c:pt idx="1185">
                <c:v>0.91266012510530847</c:v>
              </c:pt>
              <c:pt idx="1186">
                <c:v>0.98510966156602009</c:v>
              </c:pt>
              <c:pt idx="1187">
                <c:v>-0.48877170594146191</c:v>
              </c:pt>
              <c:pt idx="1188">
                <c:v>-0.37987516340849053</c:v>
              </c:pt>
              <c:pt idx="1189">
                <c:v>-1.1513738315783071</c:v>
              </c:pt>
              <c:pt idx="1190">
                <c:v>-0.14530312127879402</c:v>
              </c:pt>
              <c:pt idx="1191">
                <c:v>0.85487828621026252</c:v>
              </c:pt>
              <c:pt idx="1192">
                <c:v>1.3345786679600966</c:v>
              </c:pt>
              <c:pt idx="1193">
                <c:v>1.891506699771579</c:v>
              </c:pt>
              <c:pt idx="1194">
                <c:v>-1.3627199950660238E-2</c:v>
              </c:pt>
              <c:pt idx="1195">
                <c:v>-1.9116494887319706</c:v>
              </c:pt>
              <c:pt idx="1196">
                <c:v>-0.58266719414591173</c:v>
              </c:pt>
              <c:pt idx="1197">
                <c:v>-1.293606050396882</c:v>
              </c:pt>
              <c:pt idx="1198">
                <c:v>-1.525733476265634</c:v>
              </c:pt>
              <c:pt idx="1199">
                <c:v>0.24483541018371874</c:v>
              </c:pt>
              <c:pt idx="1200">
                <c:v>-1.2352686168970759</c:v>
              </c:pt>
              <c:pt idx="1201">
                <c:v>-0.38354208779990695</c:v>
              </c:pt>
              <c:pt idx="1202">
                <c:v>1.7212725128730972</c:v>
              </c:pt>
              <c:pt idx="1203">
                <c:v>-0.97458362834365664</c:v>
              </c:pt>
              <c:pt idx="1204">
                <c:v>1.8791724995459058</c:v>
              </c:pt>
              <c:pt idx="1205">
                <c:v>-8.1854217415195371E-2</c:v>
              </c:pt>
              <c:pt idx="1206">
                <c:v>0.33817530378340854</c:v>
              </c:pt>
              <c:pt idx="1207">
                <c:v>-1.054255894666249</c:v>
              </c:pt>
              <c:pt idx="1208">
                <c:v>-0.11318975312366263</c:v>
              </c:pt>
              <c:pt idx="1209">
                <c:v>1.373359171372349</c:v>
              </c:pt>
              <c:pt idx="1210">
                <c:v>-1.0663678570500181</c:v>
              </c:pt>
              <c:pt idx="1211">
                <c:v>-0.96180495243417541</c:v>
              </c:pt>
              <c:pt idx="1212">
                <c:v>1.9617338578132502</c:v>
              </c:pt>
              <c:pt idx="1213">
                <c:v>-5.1821619583073547E-3</c:v>
              </c:pt>
              <c:pt idx="1214">
                <c:v>5.4710936434826898E-2</c:v>
              </c:pt>
              <c:pt idx="1215">
                <c:v>-0.68534107710557046</c:v>
              </c:pt>
              <c:pt idx="1216">
                <c:v>0.80643043667518544</c:v>
              </c:pt>
              <c:pt idx="1217">
                <c:v>-1.3885016088898998</c:v>
              </c:pt>
              <c:pt idx="1218">
                <c:v>-1.4596177182991874</c:v>
              </c:pt>
              <c:pt idx="1219">
                <c:v>-0.10952282873224627</c:v>
              </c:pt>
              <c:pt idx="1220">
                <c:v>-1.2922726233454578</c:v>
              </c:pt>
              <c:pt idx="1221">
                <c:v>-0.96947215797986419</c:v>
              </c:pt>
              <c:pt idx="1222">
                <c:v>0.53007768026753255</c:v>
              </c:pt>
              <c:pt idx="1223">
                <c:v>1.5938191105411399</c:v>
              </c:pt>
              <c:pt idx="1224">
                <c:v>1.890284391641107</c:v>
              </c:pt>
              <c:pt idx="1225">
                <c:v>-0.7636799163767386</c:v>
              </c:pt>
              <c:pt idx="1226">
                <c:v>0.40618008340603962</c:v>
              </c:pt>
              <c:pt idx="1227">
                <c:v>0.21394435015905955</c:v>
              </c:pt>
              <c:pt idx="1228">
                <c:v>0.37951154237755685</c:v>
              </c:pt>
              <c:pt idx="1229">
                <c:v>0.1879425226562888</c:v>
              </c:pt>
              <c:pt idx="1230">
                <c:v>0.59063749218637895</c:v>
              </c:pt>
              <c:pt idx="1231">
                <c:v>8.5965842397420916E-3</c:v>
              </c:pt>
              <c:pt idx="1232">
                <c:v>-0.78957062495855734</c:v>
              </c:pt>
              <c:pt idx="1233">
                <c:v>-0.11441206125413479</c:v>
              </c:pt>
              <c:pt idx="1234">
                <c:v>0.84887786447885383</c:v>
              </c:pt>
              <c:pt idx="1235">
                <c:v>-2.9510558753170875</c:v>
              </c:pt>
              <c:pt idx="1236">
                <c:v>-0.46521449469963549</c:v>
              </c:pt>
              <c:pt idx="1237">
                <c:v>-1.0997035333356215</c:v>
              </c:pt>
              <c:pt idx="1238">
                <c:v>-1.868313109560686</c:v>
              </c:pt>
              <c:pt idx="1239">
                <c:v>0.66375374217280259</c:v>
              </c:pt>
              <c:pt idx="1240">
                <c:v>-1.4235040689897835</c:v>
              </c:pt>
              <c:pt idx="1241">
                <c:v>-0.21297454413856909</c:v>
              </c:pt>
              <c:pt idx="1242">
                <c:v>0.87265731356258447</c:v>
              </c:pt>
              <c:pt idx="1243">
                <c:v>-1.0944809440508771</c:v>
              </c:pt>
              <c:pt idx="1244">
                <c:v>0.3465092228548094</c:v>
              </c:pt>
              <c:pt idx="1245">
                <c:v>0.77398371175719805</c:v>
              </c:pt>
              <c:pt idx="1246">
                <c:v>0.69220018593651744</c:v>
              </c:pt>
              <c:pt idx="1247">
                <c:v>-2.1533331418025958</c:v>
              </c:pt>
              <c:pt idx="1248">
                <c:v>-0.43565686172640039</c:v>
              </c:pt>
              <c:pt idx="1249">
                <c:v>1.4006944259265437</c:v>
              </c:pt>
              <c:pt idx="1250">
                <c:v>2.0315165401711139</c:v>
              </c:pt>
              <c:pt idx="1251">
                <c:v>-0.85324176666405993</c:v>
              </c:pt>
              <c:pt idx="1252">
                <c:v>0.37217769359472402</c:v>
              </c:pt>
              <c:pt idx="1253">
                <c:v>0.85187807534455817</c:v>
              </c:pt>
              <c:pt idx="1254">
                <c:v>2.5122169922095159</c:v>
              </c:pt>
              <c:pt idx="1255">
                <c:v>0.95721881240706519</c:v>
              </c:pt>
              <c:pt idx="1256">
                <c:v>0.23250120995804546</c:v>
              </c:pt>
              <c:pt idx="1257">
                <c:v>-0.278645826421208</c:v>
              </c:pt>
              <c:pt idx="1258">
                <c:v>-0.86424253983830912</c:v>
              </c:pt>
              <c:pt idx="1259">
                <c:v>0.12060445655936979</c:v>
              </c:pt>
              <c:pt idx="1260">
                <c:v>2.0595185082510206</c:v>
              </c:pt>
              <c:pt idx="1261">
                <c:v>0.10171423999752782</c:v>
              </c:pt>
              <c:pt idx="1262">
                <c:v>1.422473734433138</c:v>
              </c:pt>
              <c:pt idx="1263">
                <c:v>0.2107219014514512</c:v>
              </c:pt>
              <c:pt idx="1264">
                <c:v>9.4158153372791029E-2</c:v>
              </c:pt>
              <c:pt idx="1265">
                <c:v>0.17849741437536784</c:v>
              </c:pt>
              <c:pt idx="1266">
                <c:v>-0.62022538942769168</c:v>
              </c:pt>
              <c:pt idx="1267">
                <c:v>1.1802344867577526</c:v>
              </c:pt>
              <c:pt idx="1268">
                <c:v>0.6723098990861075</c:v>
              </c:pt>
              <c:pt idx="1269">
                <c:v>1.0525588465838913</c:v>
              </c:pt>
              <c:pt idx="1270">
                <c:v>0.83387681015033233</c:v>
              </c:pt>
              <c:pt idx="1271">
                <c:v>0.94977384470328041</c:v>
              </c:pt>
              <c:pt idx="1272">
                <c:v>0.48129647396959946</c:v>
              </c:pt>
              <c:pt idx="1273">
                <c:v>0.27772661078551419</c:v>
              </c:pt>
              <c:pt idx="1274">
                <c:v>0.13338313246885114</c:v>
              </c:pt>
              <c:pt idx="1275">
                <c:v>-0.31575954601917983</c:v>
              </c:pt>
              <c:pt idx="1276">
                <c:v>0.4139584078726804</c:v>
              </c:pt>
              <c:pt idx="1277">
                <c:v>0.65375303928712147</c:v>
              </c:pt>
              <c:pt idx="1278">
                <c:v>0.60397176270062025</c:v>
              </c:pt>
              <c:pt idx="1279">
                <c:v>-1.6780775168908419</c:v>
              </c:pt>
              <c:pt idx="1280">
                <c:v>1.2015693195805388</c:v>
              </c:pt>
              <c:pt idx="1281">
                <c:v>0.5235216639313639</c:v>
              </c:pt>
              <c:pt idx="1282">
                <c:v>1.0371133165715616</c:v>
              </c:pt>
              <c:pt idx="1283">
                <c:v>9.7380602080399364E-2</c:v>
              </c:pt>
              <c:pt idx="1284">
                <c:v>-0.26897848029838295</c:v>
              </c:pt>
              <c:pt idx="1285">
                <c:v>-0.1757497056196452</c:v>
              </c:pt>
              <c:pt idx="1286">
                <c:v>-0.21597475500427343</c:v>
              </c:pt>
              <c:pt idx="1287">
                <c:v>-0.41698888300646242</c:v>
              </c:pt>
              <c:pt idx="1288">
                <c:v>-0.11318975312366263</c:v>
              </c:pt>
              <c:pt idx="1289">
                <c:v>-0.86635379933639733</c:v>
              </c:pt>
              <c:pt idx="1290">
                <c:v>1.605042121557293</c:v>
              </c:pt>
              <c:pt idx="1291">
                <c:v>0.1712746845134871</c:v>
              </c:pt>
              <c:pt idx="1292">
                <c:v>-1.0423661701243838</c:v>
              </c:pt>
              <c:pt idx="1293">
                <c:v>-1.7947523838904542</c:v>
              </c:pt>
              <c:pt idx="1294">
                <c:v>-0.22897566875565878</c:v>
              </c:pt>
              <c:pt idx="1295">
                <c:v>0.74098139223445059</c:v>
              </c:pt>
              <c:pt idx="1296">
                <c:v>0.34628698501290539</c:v>
              </c:pt>
              <c:pt idx="1297">
                <c:v>-0.33609430855339795</c:v>
              </c:pt>
              <c:pt idx="1298">
                <c:v>1.6359331815819522</c:v>
              </c:pt>
              <c:pt idx="1299">
                <c:v>0.2728373782636257</c:v>
              </c:pt>
              <c:pt idx="1300">
                <c:v>0.49040822548766444</c:v>
              </c:pt>
              <c:pt idx="1301">
                <c:v>-0.36765208210376921</c:v>
              </c:pt>
              <c:pt idx="1302">
                <c:v>-0.34253920596861465</c:v>
              </c:pt>
              <c:pt idx="1303">
                <c:v>-1.4730631077343808</c:v>
              </c:pt>
              <c:pt idx="1304">
                <c:v>0.77698392262290239</c:v>
              </c:pt>
              <c:pt idx="1305">
                <c:v>-0.35520676295714393</c:v>
              </c:pt>
              <c:pt idx="1306">
                <c:v>0.391179029077518</c:v>
              </c:pt>
              <c:pt idx="1307">
                <c:v>0.3482871255900416</c:v>
              </c:pt>
              <c:pt idx="1308">
                <c:v>-0.16774914331110036</c:v>
              </c:pt>
              <c:pt idx="1309">
                <c:v>-1.0910362575013646</c:v>
              </c:pt>
              <c:pt idx="1310">
                <c:v>-1.1933767836981675</c:v>
              </c:pt>
              <c:pt idx="1311">
                <c:v>-1.0444774296224717</c:v>
              </c:pt>
              <c:pt idx="1312">
                <c:v>-1.3929463657279804</c:v>
              </c:pt>
              <c:pt idx="1313">
                <c:v>-0.16563788381301214</c:v>
              </c:pt>
              <c:pt idx="1314">
                <c:v>-0.22097510644711393</c:v>
              </c:pt>
              <c:pt idx="1315">
                <c:v>-0.12707961824266412</c:v>
              </c:pt>
              <c:pt idx="1316">
                <c:v>0.40595784556413561</c:v>
              </c:pt>
              <c:pt idx="1317">
                <c:v>-0.21052992787762481</c:v>
              </c:pt>
              <c:pt idx="1318">
                <c:v>-0.30409205931921862</c:v>
              </c:pt>
              <c:pt idx="1319">
                <c:v>-0.6752292552989374</c:v>
              </c:pt>
              <c:pt idx="1320">
                <c:v>0.26405898350841678</c:v>
              </c:pt>
              <c:pt idx="1321">
                <c:v>1.0715601820666851</c:v>
              </c:pt>
              <c:pt idx="1322">
                <c:v>0.33406390370818406</c:v>
              </c:pt>
              <c:pt idx="1323">
                <c:v>-0.79857125755567027</c:v>
              </c:pt>
              <c:pt idx="1324">
                <c:v>0.55541279424459122</c:v>
              </c:pt>
              <c:pt idx="1325">
                <c:v>2.9480254001833051</c:v>
              </c:pt>
              <c:pt idx="1326">
                <c:v>-0.51221779826233638</c:v>
              </c:pt>
              <c:pt idx="1327">
                <c:v>1.3439126573200659</c:v>
              </c:pt>
              <c:pt idx="1328">
                <c:v>4.4710233549145856E-2</c:v>
              </c:pt>
              <c:pt idx="1329">
                <c:v>0.98833211027362844</c:v>
              </c:pt>
              <c:pt idx="1330">
                <c:v>1.0168896729582955</c:v>
              </c:pt>
              <c:pt idx="1331">
                <c:v>6.8600801553828361E-2</c:v>
              </c:pt>
              <c:pt idx="1332">
                <c:v>0.87087941082735221</c:v>
              </c:pt>
              <c:pt idx="1333">
                <c:v>-0.46076973786155495</c:v>
              </c:pt>
              <c:pt idx="1334">
                <c:v>0.47851850094579917</c:v>
              </c:pt>
              <c:pt idx="1335">
                <c:v>0.12671599721173044</c:v>
              </c:pt>
              <c:pt idx="1336">
                <c:v>0.14393942995929221</c:v>
              </c:pt>
              <c:pt idx="1337">
                <c:v>1.137231464349324</c:v>
              </c:pt>
              <c:pt idx="1338">
                <c:v>0.52685523155992431</c:v>
              </c:pt>
              <c:pt idx="1339">
                <c:v>-2.2370056892794605</c:v>
              </c:pt>
              <c:pt idx="1340">
                <c:v>0.59041525434447484</c:v>
              </c:pt>
              <c:pt idx="1341">
                <c:v>0.46351744661727762</c:v>
              </c:pt>
              <c:pt idx="1342">
                <c:v>-1.3862792304708595</c:v>
              </c:pt>
              <c:pt idx="1343">
                <c:v>1.0353354138363295</c:v>
              </c:pt>
              <c:pt idx="1344">
                <c:v>0.81987582611037879</c:v>
              </c:pt>
              <c:pt idx="1345">
                <c:v>0.82887645870749171</c:v>
              </c:pt>
              <c:pt idx="1346">
                <c:v>0.47329591166105461</c:v>
              </c:pt>
              <c:pt idx="1347">
                <c:v>-0.43332336438640817</c:v>
              </c:pt>
              <c:pt idx="1348">
                <c:v>-2.5150252295013935</c:v>
              </c:pt>
              <c:pt idx="1349">
                <c:v>-0.16552676489206009</c:v>
              </c:pt>
              <c:pt idx="1350">
                <c:v>0.68331067226035669</c:v>
              </c:pt>
              <c:pt idx="1351">
                <c:v>1.1261195722541228</c:v>
              </c:pt>
              <c:pt idx="1352">
                <c:v>1.1030068366961043</c:v>
              </c:pt>
              <c:pt idx="1353">
                <c:v>0.98733203998506036</c:v>
              </c:pt>
              <c:pt idx="1354">
                <c:v>0.35595433113573038</c:v>
              </c:pt>
              <c:pt idx="1355">
                <c:v>-0.49377205738430241</c:v>
              </c:pt>
              <c:pt idx="1356">
                <c:v>-1.7311923611059037</c:v>
              </c:pt>
              <c:pt idx="1357">
                <c:v>0.9133268386310206</c:v>
              </c:pt>
              <c:pt idx="1358">
                <c:v>1.9285093004485989</c:v>
              </c:pt>
              <c:pt idx="1359">
                <c:v>0.76553867376484519</c:v>
              </c:pt>
              <c:pt idx="1360">
                <c:v>0.27683765941789812</c:v>
              </c:pt>
              <c:pt idx="1361">
                <c:v>0.18027531711060002</c:v>
              </c:pt>
              <c:pt idx="1362">
                <c:v>1.1136742531074977</c:v>
              </c:pt>
              <c:pt idx="1363">
                <c:v>0.79454071213332023</c:v>
              </c:pt>
              <c:pt idx="1364">
                <c:v>0.40062413735843905</c:v>
              </c:pt>
              <c:pt idx="1365">
                <c:v>-0.26264470180411831</c:v>
              </c:pt>
              <c:pt idx="1366">
                <c:v>0.67364332613753164</c:v>
              </c:pt>
              <c:pt idx="1367">
                <c:v>-0.46176980815012314</c:v>
              </c:pt>
              <c:pt idx="1368">
                <c:v>-0.19275090052530297</c:v>
              </c:pt>
              <c:pt idx="1369">
                <c:v>0.48085199828579145</c:v>
              </c:pt>
              <c:pt idx="1370">
                <c:v>0.54652328056843036</c:v>
              </c:pt>
              <c:pt idx="1371">
                <c:v>0.23461246945613373</c:v>
              </c:pt>
              <c:pt idx="1372">
                <c:v>-1.0625898137376499</c:v>
              </c:pt>
              <c:pt idx="1373">
                <c:v>1.2570176611355928</c:v>
              </c:pt>
              <c:pt idx="1374">
                <c:v>-7.4075892948554559E-2</c:v>
              </c:pt>
              <c:pt idx="1375">
                <c:v>-0.75234578643963346</c:v>
              </c:pt>
              <c:pt idx="1376">
                <c:v>0.35584321221477833</c:v>
              </c:pt>
              <c:pt idx="1377">
                <c:v>0.89921473567011512</c:v>
              </c:pt>
              <c:pt idx="1378">
                <c:v>0.78053972809336669</c:v>
              </c:pt>
              <c:pt idx="1379">
                <c:v>0.13082739728695486</c:v>
              </c:pt>
              <c:pt idx="1380">
                <c:v>0.62119519544818214</c:v>
              </c:pt>
              <c:pt idx="1381">
                <c:v>-0.75923515953865817</c:v>
              </c:pt>
              <c:pt idx="1382">
                <c:v>0.29783913547782831</c:v>
              </c:pt>
              <c:pt idx="1383">
                <c:v>4.9488347150082358E-2</c:v>
              </c:pt>
              <c:pt idx="1384">
                <c:v>-0.39209824471321181</c:v>
              </c:pt>
              <c:pt idx="1385">
                <c:v>0.16171845731161411</c:v>
              </c:pt>
              <c:pt idx="1386">
                <c:v>0.13071627836600286</c:v>
              </c:pt>
              <c:pt idx="1387">
                <c:v>-1.0076970667873562</c:v>
              </c:pt>
              <c:pt idx="1388">
                <c:v>-0.574888869679271</c:v>
              </c:pt>
              <c:pt idx="1389">
                <c:v>0.67831032081751608</c:v>
              </c:pt>
              <c:pt idx="1390">
                <c:v>-9.4632893324676712E-2</c:v>
              </c:pt>
              <c:pt idx="1391">
                <c:v>1.2744633317250587</c:v>
              </c:pt>
              <c:pt idx="1392">
                <c:v>0.27017052416077741</c:v>
              </c:pt>
              <c:pt idx="1393">
                <c:v>-0.19030628426435875</c:v>
              </c:pt>
              <c:pt idx="1394">
                <c:v>7.7045839546181244E-2</c:v>
              </c:pt>
              <c:pt idx="1395">
                <c:v>-0.43765700230353655</c:v>
              </c:pt>
              <c:pt idx="1396">
                <c:v>-0.7603463487481783</c:v>
              </c:pt>
              <c:pt idx="1397">
                <c:v>-9.574408253419682E-2</c:v>
              </c:pt>
              <c:pt idx="1398">
                <c:v>1.3333563598296247</c:v>
              </c:pt>
              <c:pt idx="1399">
                <c:v>1.1877905733824894</c:v>
              </c:pt>
              <c:pt idx="1400">
                <c:v>1.0028886889183422</c:v>
              </c:pt>
              <c:pt idx="1401">
                <c:v>0.11804872137747352</c:v>
              </c:pt>
              <c:pt idx="1402">
                <c:v>-1.1097042362213028</c:v>
              </c:pt>
              <c:pt idx="1403">
                <c:v>-1.2840498231950088</c:v>
              </c:pt>
              <c:pt idx="1404">
                <c:v>-1.2441581305732368</c:v>
              </c:pt>
              <c:pt idx="1405">
                <c:v>-5.1821619583073547E-3</c:v>
              </c:pt>
              <c:pt idx="1406">
                <c:v>-0.40765489364649343</c:v>
              </c:pt>
              <c:pt idx="1407">
                <c:v>3.1568178526521349</c:v>
              </c:pt>
              <c:pt idx="1408">
                <c:v>0.17783070084965577</c:v>
              </c:pt>
              <c:pt idx="1409">
                <c:v>0.88099123263398527</c:v>
              </c:pt>
              <c:pt idx="1410">
                <c:v>0.15360677608211726</c:v>
              </c:pt>
              <c:pt idx="1411">
                <c:v>0.66464269354041861</c:v>
              </c:pt>
              <c:pt idx="1412">
                <c:v>-1.0113639911787724</c:v>
              </c:pt>
              <c:pt idx="1413">
                <c:v>0.99155455898123679</c:v>
              </c:pt>
              <c:pt idx="1414">
                <c:v>-1.1819315348401103</c:v>
              </c:pt>
              <c:pt idx="1415">
                <c:v>0.8856582273139697</c:v>
              </c:pt>
              <c:pt idx="1416">
                <c:v>0.7149795647316799</c:v>
              </c:pt>
              <c:pt idx="1417">
                <c:v>-0.11318975312366263</c:v>
              </c:pt>
              <c:pt idx="1418">
                <c:v>0.21638896642000383</c:v>
              </c:pt>
              <c:pt idx="1419">
                <c:v>-0.14941452135401845</c:v>
              </c:pt>
              <c:pt idx="1420">
                <c:v>-0.48066002471196501</c:v>
              </c:pt>
              <c:pt idx="1421">
                <c:v>0.46662877640393391</c:v>
              </c:pt>
              <c:pt idx="1422">
                <c:v>-0.32998276790103731</c:v>
              </c:pt>
              <c:pt idx="1423">
                <c:v>-0.58055593464782351</c:v>
              </c:pt>
              <c:pt idx="1424">
                <c:v>0.20616602569241871</c:v>
              </c:pt>
              <c:pt idx="1425">
                <c:v>0.63219596862243121</c:v>
              </c:pt>
              <c:pt idx="1426">
                <c:v>0.80976400430374573</c:v>
              </c:pt>
              <c:pt idx="1427">
                <c:v>0.4695178683486862</c:v>
              </c:pt>
              <c:pt idx="1428">
                <c:v>-5.5074557465760579E-2</c:v>
              </c:pt>
              <c:pt idx="1429">
                <c:v>0.26228108077318463</c:v>
              </c:pt>
              <c:pt idx="1430">
                <c:v>0.82243156129227513</c:v>
              </c:pt>
              <c:pt idx="1431">
                <c:v>-0.20508510075097625</c:v>
              </c:pt>
              <c:pt idx="1432">
                <c:v>-0.67445142285227333</c:v>
              </c:pt>
              <c:pt idx="1433">
                <c:v>0.16027391133923793</c:v>
              </c:pt>
              <c:pt idx="1434">
                <c:v>-0.12852416421504026</c:v>
              </c:pt>
              <c:pt idx="1435">
                <c:v>-0.13630248868168104</c:v>
              </c:pt>
              <c:pt idx="1436">
                <c:v>-1.5410678873570118</c:v>
              </c:pt>
              <c:pt idx="1437">
                <c:v>-0.80379384684041477</c:v>
              </c:pt>
              <c:pt idx="1438">
                <c:v>8.3046261277589864E-2</c:v>
              </c:pt>
              <c:pt idx="1439">
                <c:v>1.5534829422355596</c:v>
              </c:pt>
              <c:pt idx="1440">
                <c:v>0.40540225095937554</c:v>
              </c:pt>
              <c:pt idx="1441">
                <c:v>-3.2838570435683625</c:v>
              </c:pt>
              <c:pt idx="1442">
                <c:v>2.6390036810157609</c:v>
              </c:pt>
              <c:pt idx="1443">
                <c:v>-2.3136777447363488</c:v>
              </c:pt>
              <c:pt idx="1444">
                <c:v>-0.14330298070165781</c:v>
              </c:pt>
              <c:pt idx="1445">
                <c:v>-4.4296022133415436E-2</c:v>
              </c:pt>
              <c:pt idx="1446">
                <c:v>0.45962828438395725</c:v>
              </c:pt>
              <c:pt idx="1447">
                <c:v>0.48118535504864746</c:v>
              </c:pt>
              <c:pt idx="1448">
                <c:v>0.23927946413611817</c:v>
              </c:pt>
              <c:pt idx="1449">
                <c:v>0.47018458187439827</c:v>
              </c:pt>
              <c:pt idx="1450">
                <c:v>1.2006803682129228</c:v>
              </c:pt>
              <c:pt idx="1451">
                <c:v>0.61641708184724564</c:v>
              </c:pt>
              <c:pt idx="1452">
                <c:v>-0.24442119876798835</c:v>
              </c:pt>
              <c:pt idx="1453">
                <c:v>0.15671810586877355</c:v>
              </c:pt>
              <c:pt idx="1454">
                <c:v>0.83598806964842054</c:v>
              </c:pt>
              <c:pt idx="1455">
                <c:v>-0.28809093470212893</c:v>
              </c:pt>
              <c:pt idx="1456">
                <c:v>0.65497534741759356</c:v>
              </c:pt>
              <c:pt idx="1457">
                <c:v>0.34628698501290539</c:v>
              </c:pt>
              <c:pt idx="1458">
                <c:v>-0.81946161469464851</c:v>
              </c:pt>
              <c:pt idx="1459">
                <c:v>-0.27686792368597574</c:v>
              </c:pt>
              <c:pt idx="1460">
                <c:v>1.1600108431444864</c:v>
              </c:pt>
              <c:pt idx="1461">
                <c:v>0.22972323693424518</c:v>
              </c:pt>
              <c:pt idx="1462">
                <c:v>1.4072504422627123</c:v>
              </c:pt>
              <c:pt idx="1463">
                <c:v>0.27139283229124955</c:v>
              </c:pt>
              <c:pt idx="1464">
                <c:v>-0.43454567251688025</c:v>
              </c:pt>
              <c:pt idx="1465">
                <c:v>0.45429457617826063</c:v>
              </c:pt>
              <c:pt idx="1466">
                <c:v>-8.9188066198028146E-2</c:v>
              </c:pt>
              <c:pt idx="1467">
                <c:v>-2.4627973124909386E-2</c:v>
              </c:pt>
              <c:pt idx="1468">
                <c:v>-0.32698255703533302</c:v>
              </c:pt>
              <c:pt idx="1469">
                <c:v>-0.97469474726460881</c:v>
              </c:pt>
              <c:pt idx="1470">
                <c:v>0.10938144554321662</c:v>
              </c:pt>
              <c:pt idx="1471">
                <c:v>-0.38732013111227531</c:v>
              </c:pt>
              <c:pt idx="1472">
                <c:v>-0.9649162822208317</c:v>
              </c:pt>
              <c:pt idx="1473">
                <c:v>-0.41754447761122249</c:v>
              </c:pt>
              <c:pt idx="1474">
                <c:v>0.46207290064490147</c:v>
              </c:pt>
              <c:pt idx="1475">
                <c:v>5.6822195932915126E-2</c:v>
              </c:pt>
              <c:pt idx="1476">
                <c:v>1.1904574274853377</c:v>
              </c:pt>
              <c:pt idx="1477">
                <c:v>-0.51266227394614439</c:v>
              </c:pt>
              <c:pt idx="1478">
                <c:v>1.2845751535316916</c:v>
              </c:pt>
              <c:pt idx="1479">
                <c:v>0.30472850857685302</c:v>
              </c:pt>
              <c:pt idx="1480">
                <c:v>0.24083512902944637</c:v>
              </c:pt>
              <c:pt idx="1481">
                <c:v>0.92066068741385332</c:v>
              </c:pt>
              <c:pt idx="1482">
                <c:v>0.23927946413611817</c:v>
              </c:pt>
              <c:pt idx="1483">
                <c:v>-0.28164603728691229</c:v>
              </c:pt>
              <c:pt idx="1484">
                <c:v>0.15816265184114969</c:v>
              </c:pt>
              <c:pt idx="1485">
                <c:v>2.5931135908255895E-2</c:v>
              </c:pt>
              <c:pt idx="1486">
                <c:v>0.83576583180651653</c:v>
              </c:pt>
              <c:pt idx="1487">
                <c:v>-0.29853611327161805</c:v>
              </c:pt>
              <c:pt idx="1488">
                <c:v>-0.95736019559609487</c:v>
              </c:pt>
              <c:pt idx="1489">
                <c:v>0.81354204761611426</c:v>
              </c:pt>
              <c:pt idx="1490">
                <c:v>-7.7076103814258876E-2</c:v>
              </c:pt>
              <c:pt idx="1491">
                <c:v>-0.21175223600809695</c:v>
              </c:pt>
              <c:pt idx="1492">
                <c:v>0.23127890182757338</c:v>
              </c:pt>
              <c:pt idx="1493">
                <c:v>1.1693448325044553</c:v>
              </c:pt>
              <c:pt idx="1494">
                <c:v>0.35373195271669017</c:v>
              </c:pt>
              <c:pt idx="1495">
                <c:v>-0.1511924240892506</c:v>
              </c:pt>
              <c:pt idx="1496">
                <c:v>0.38517860734610943</c:v>
              </c:pt>
              <c:pt idx="1497">
                <c:v>1.0370021976506096</c:v>
              </c:pt>
              <c:pt idx="1498">
                <c:v>0.26494793487603285</c:v>
              </c:pt>
              <c:pt idx="1499">
                <c:v>-5.9297076461937007E-2</c:v>
              </c:pt>
              <c:pt idx="1500">
                <c:v>0.61741715213581372</c:v>
              </c:pt>
              <c:pt idx="1501">
                <c:v>0.94255111484139964</c:v>
              </c:pt>
              <c:pt idx="1502">
                <c:v>0.58530378398068239</c:v>
              </c:pt>
              <c:pt idx="1503">
                <c:v>0.16905230609444685</c:v>
              </c:pt>
              <c:pt idx="1504">
                <c:v>0.99433253200503702</c:v>
              </c:pt>
              <c:pt idx="1505">
                <c:v>-0.25142169078796511</c:v>
              </c:pt>
              <c:pt idx="1506">
                <c:v>-5.8519244015272934E-2</c:v>
              </c:pt>
              <c:pt idx="1507">
                <c:v>0.30150605986924472</c:v>
              </c:pt>
              <c:pt idx="1508">
                <c:v>-0.23175364177945906</c:v>
              </c:pt>
              <c:pt idx="1509">
                <c:v>0.1944985389924575</c:v>
              </c:pt>
              <c:pt idx="1510">
                <c:v>0.24116848579230238</c:v>
              </c:pt>
              <c:pt idx="1511">
                <c:v>-3.5406508457254515E-2</c:v>
              </c:pt>
              <c:pt idx="1512">
                <c:v>-0.14219179149213768</c:v>
              </c:pt>
              <c:pt idx="1513">
                <c:v>-0.79368202503378182</c:v>
              </c:pt>
              <c:pt idx="1514">
                <c:v>0.26761478897888119</c:v>
              </c:pt>
              <c:pt idx="1515">
                <c:v>-0.42865636970642362</c:v>
              </c:pt>
              <c:pt idx="1516">
                <c:v>0.46796220345535811</c:v>
              </c:pt>
              <c:pt idx="1517">
                <c:v>0.70664564566027899</c:v>
              </c:pt>
              <c:pt idx="1518">
                <c:v>0.24761338320751908</c:v>
              </c:pt>
              <c:pt idx="1519">
                <c:v>-1.0134752506768607</c:v>
              </c:pt>
              <c:pt idx="1520">
                <c:v>-0.28175715620786429</c:v>
              </c:pt>
              <c:pt idx="1521">
                <c:v>0.87099052974830415</c:v>
              </c:pt>
              <c:pt idx="1522">
                <c:v>0.60808316277584473</c:v>
              </c:pt>
              <c:pt idx="1523">
                <c:v>2.782015756444009E-2</c:v>
              </c:pt>
              <c:pt idx="1524">
                <c:v>1.1792344164691844</c:v>
              </c:pt>
              <c:pt idx="1525">
                <c:v>0.86976822161783207</c:v>
              </c:pt>
              <c:pt idx="1526">
                <c:v>0.12027109979651376</c:v>
              </c:pt>
              <c:pt idx="1527">
                <c:v>0.73742558676398628</c:v>
              </c:pt>
              <c:pt idx="1528">
                <c:v>-0.48432694910338148</c:v>
              </c:pt>
              <c:pt idx="1529">
                <c:v>0.16271852760018218</c:v>
              </c:pt>
              <c:pt idx="1530">
                <c:v>-0.23875413379943577</c:v>
              </c:pt>
              <c:pt idx="1531">
                <c:v>-0.22219741457758607</c:v>
              </c:pt>
              <c:pt idx="1532">
                <c:v>6.8711920474780364E-2</c:v>
              </c:pt>
              <c:pt idx="1533">
                <c:v>-0.15519270524352302</c:v>
              </c:pt>
              <c:pt idx="1534">
                <c:v>-1.9072027077308804E-2</c:v>
              </c:pt>
              <c:pt idx="1535">
                <c:v>-0.34176137352195052</c:v>
              </c:pt>
              <c:pt idx="1536">
                <c:v>1.6238212191981831</c:v>
              </c:pt>
              <c:pt idx="1537">
                <c:v>-0.5064396143728318</c:v>
              </c:pt>
              <c:pt idx="1538">
                <c:v>-0.20230712772717596</c:v>
              </c:pt>
              <c:pt idx="1539">
                <c:v>0.17538608458871152</c:v>
              </c:pt>
              <c:pt idx="1540">
                <c:v>-0.49266086817478227</c:v>
              </c:pt>
              <c:pt idx="1541">
                <c:v>-9.4410655482772679E-2</c:v>
              </c:pt>
              <c:pt idx="1542">
                <c:v>0.28706060014548318</c:v>
              </c:pt>
              <c:pt idx="1543">
                <c:v>-1.1059261929089343</c:v>
              </c:pt>
              <c:pt idx="1544">
                <c:v>-0.11663443967317501</c:v>
              </c:pt>
              <c:pt idx="1545">
                <c:v>0.41662526197552874</c:v>
              </c:pt>
              <c:pt idx="1546">
                <c:v>-1.1500404045268831</c:v>
              </c:pt>
              <c:pt idx="1547">
                <c:v>-1.1293702610668005E-2</c:v>
              </c:pt>
              <c:pt idx="1548">
                <c:v>1.0453361167220105</c:v>
              </c:pt>
              <c:pt idx="1549">
                <c:v>7.8490385518557387E-2</c:v>
              </c:pt>
              <c:pt idx="1550">
                <c:v>1.4784776705929519</c:v>
              </c:pt>
              <c:pt idx="1551">
                <c:v>0.2386127506104061</c:v>
              </c:pt>
              <c:pt idx="1552">
                <c:v>0.11927102950794564</c:v>
              </c:pt>
              <c:pt idx="1553">
                <c:v>0.20038784180291414</c:v>
              </c:pt>
              <c:pt idx="1554">
                <c:v>0.84921122124171</c:v>
              </c:pt>
              <c:pt idx="1555">
                <c:v>0.22927876125043717</c:v>
              </c:pt>
              <c:pt idx="1556">
                <c:v>0.20961071224193106</c:v>
              </c:pt>
              <c:pt idx="1557">
                <c:v>-0.6850077203427144</c:v>
              </c:pt>
              <c:pt idx="1558">
                <c:v>0.49029710656671238</c:v>
              </c:pt>
              <c:pt idx="1559">
                <c:v>-0.17141606770251672</c:v>
              </c:pt>
              <c:pt idx="1560">
                <c:v>0.66286479080518645</c:v>
              </c:pt>
              <c:pt idx="1561">
                <c:v>0.44129366242687529</c:v>
              </c:pt>
              <c:pt idx="1562">
                <c:v>-9.0743731091356292E-2</c:v>
              </c:pt>
              <c:pt idx="1563">
                <c:v>0.62719561717959071</c:v>
              </c:pt>
              <c:pt idx="1564">
                <c:v>1.3263578919726571E-2</c:v>
              </c:pt>
              <c:pt idx="1565">
                <c:v>-0.12530171550743191</c:v>
              </c:pt>
              <c:pt idx="1566">
                <c:v>-0.41954461818835864</c:v>
              </c:pt>
              <c:pt idx="1567">
                <c:v>-0.17130494878156471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E3-4493-840B-94A755B90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10272"/>
        <c:axId val="248712192"/>
      </c:scatterChart>
      <c:valAx>
        <c:axId val="24871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X </a:t>
                </a:r>
                <a:r>
                  <a:rPr lang="zh-TW" altLang="en-US"/>
                  <a:t>變數 </a:t>
                </a:r>
                <a:r>
                  <a:rPr lang="en-US" altLang="zh-TW"/>
                  <a:t>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712192"/>
        <c:crosses val="autoZero"/>
        <c:crossBetween val="midCat"/>
      </c:valAx>
      <c:valAx>
        <c:axId val="248712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710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CAR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[1]工作表1!$H$725:$H$745</c:f>
              <c:numCache>
                <c:formatCode>General</c:formatCode>
                <c:ptCount val="21"/>
                <c:pt idx="0">
                  <c:v>-1.6678135511240324</c:v>
                </c:pt>
                <c:pt idx="1">
                  <c:v>-3.1562876909309097</c:v>
                </c:pt>
                <c:pt idx="2">
                  <c:v>-0.81856121512818003</c:v>
                </c:pt>
                <c:pt idx="3">
                  <c:v>-2.437246596224182</c:v>
                </c:pt>
                <c:pt idx="4">
                  <c:v>-2.7582467159692987</c:v>
                </c:pt>
                <c:pt idx="5">
                  <c:v>-2.7302359017156848</c:v>
                </c:pt>
                <c:pt idx="6">
                  <c:v>-3.2871982092882783</c:v>
                </c:pt>
                <c:pt idx="7">
                  <c:v>1.0776682841927263</c:v>
                </c:pt>
                <c:pt idx="8">
                  <c:v>5.4269207861815776</c:v>
                </c:pt>
                <c:pt idx="9">
                  <c:v>5.8615024119303811</c:v>
                </c:pt>
                <c:pt idx="10">
                  <c:v>5.848958887116364</c:v>
                </c:pt>
                <c:pt idx="11">
                  <c:v>14.347796236282802</c:v>
                </c:pt>
                <c:pt idx="12">
                  <c:v>14.800590672662262</c:v>
                </c:pt>
                <c:pt idx="13">
                  <c:v>14.762579341431122</c:v>
                </c:pt>
                <c:pt idx="14">
                  <c:v>12.367623534238946</c:v>
                </c:pt>
                <c:pt idx="15">
                  <c:v>13.852231411245809</c:v>
                </c:pt>
                <c:pt idx="16">
                  <c:v>14.056139903862279</c:v>
                </c:pt>
                <c:pt idx="17">
                  <c:v>12.59377665283507</c:v>
                </c:pt>
                <c:pt idx="18">
                  <c:v>12.475452890204819</c:v>
                </c:pt>
                <c:pt idx="19">
                  <c:v>12.660660655190123</c:v>
                </c:pt>
                <c:pt idx="20">
                  <c:v>12.134141260404508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B1-4A59-88AA-5AE59D76A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98464"/>
        <c:axId val="272800384"/>
      </c:scatterChart>
      <c:valAx>
        <c:axId val="27279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72800384"/>
        <c:crosses val="autoZero"/>
        <c:crossBetween val="midCat"/>
      </c:valAx>
      <c:valAx>
        <c:axId val="2728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7279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200025</xdr:rowOff>
        </xdr:from>
        <xdr:to>
          <xdr:col>7</xdr:col>
          <xdr:colOff>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聽說指派至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按鈕有加分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7</xdr:row>
          <xdr:rowOff>171450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這是清除鍵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18</xdr:col>
      <xdr:colOff>514350</xdr:colOff>
      <xdr:row>18</xdr:row>
      <xdr:rowOff>57150</xdr:rowOff>
    </xdr:to>
    <xdr:sp macro="" textlink="">
      <xdr:nvSpPr>
        <xdr:cNvPr id="2" name="文字方塊 1"/>
        <xdr:cNvSpPr txBox="1"/>
      </xdr:nvSpPr>
      <xdr:spPr>
        <a:xfrm>
          <a:off x="8915400" y="209550"/>
          <a:ext cx="3943350" cy="3619500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請利用</a:t>
          </a:r>
          <a:r>
            <a:rPr lang="en-US" altLang="zh-TW" sz="1100"/>
            <a:t>TEJ Smart Wizard</a:t>
          </a:r>
          <a:r>
            <a:rPr lang="zh-TW" altLang="en-US" sz="1100"/>
            <a:t>匯入自己學號後兩碼的股票</a:t>
          </a:r>
        </a:p>
        <a:p>
          <a:r>
            <a:rPr lang="en-US" altLang="zh-TW" sz="1100"/>
            <a:t>(</a:t>
          </a:r>
          <a:r>
            <a:rPr lang="zh-TW" altLang="en-US" sz="1100"/>
            <a:t>例如 </a:t>
          </a:r>
          <a:r>
            <a:rPr lang="en-US" altLang="zh-TW" sz="1100"/>
            <a:t>: B104xxx30 </a:t>
          </a:r>
          <a:r>
            <a:rPr lang="zh-TW" altLang="en-US" sz="1100"/>
            <a:t>下載 </a:t>
          </a:r>
          <a:r>
            <a:rPr lang="en-US" altLang="zh-TW" sz="1100"/>
            <a:t>3030 </a:t>
          </a:r>
          <a:r>
            <a:rPr lang="zh-TW" altLang="en-US" sz="1100"/>
            <a:t>、 </a:t>
          </a:r>
          <a:r>
            <a:rPr lang="en-US" altLang="zh-TW" sz="1100"/>
            <a:t>B104xxx31 </a:t>
          </a:r>
          <a:r>
            <a:rPr lang="zh-TW" altLang="en-US" sz="1100"/>
            <a:t>下載</a:t>
          </a:r>
          <a:r>
            <a:rPr lang="en-US" altLang="zh-TW" sz="1100"/>
            <a:t>3131)</a:t>
          </a:r>
        </a:p>
        <a:p>
          <a:r>
            <a:rPr lang="zh-TW" altLang="en-US" sz="1100"/>
            <a:t>匯入內容 </a:t>
          </a:r>
          <a:r>
            <a:rPr lang="en-US" altLang="zh-TW" sz="1100"/>
            <a:t>: </a:t>
          </a:r>
          <a:r>
            <a:rPr lang="zh-TW" altLang="en-US" sz="1100"/>
            <a:t>該檔股票名稱、日期、開、高、低、收盤價</a:t>
          </a:r>
        </a:p>
        <a:p>
          <a:r>
            <a:rPr lang="zh-TW" altLang="en-US" sz="1100"/>
            <a:t>日期期間 </a:t>
          </a:r>
          <a:r>
            <a:rPr lang="en-US" altLang="zh-TW" sz="1100"/>
            <a:t>: 2016/01/01 ~ 2017/04/28</a:t>
          </a:r>
        </a:p>
        <a:p>
          <a:r>
            <a:rPr lang="zh-TW" altLang="en-US" sz="1100"/>
            <a:t>日期頻率 </a:t>
          </a:r>
          <a:r>
            <a:rPr lang="en-US" altLang="zh-TW" sz="1100"/>
            <a:t>: </a:t>
          </a:r>
          <a:r>
            <a:rPr lang="zh-TW" altLang="en-US" sz="1100"/>
            <a:t>日</a:t>
          </a:r>
        </a:p>
        <a:p>
          <a:r>
            <a:rPr lang="zh-TW" altLang="en-US" sz="1100"/>
            <a:t>巨集名稱 </a:t>
          </a:r>
          <a:r>
            <a:rPr lang="en-US" altLang="zh-TW" sz="1100"/>
            <a:t>: </a:t>
          </a:r>
          <a:r>
            <a:rPr lang="zh-TW" altLang="en-US" sz="1100"/>
            <a:t>自訂</a:t>
          </a:r>
        </a:p>
        <a:p>
          <a:r>
            <a:rPr lang="zh-TW" altLang="en-US" sz="1100"/>
            <a:t>巨集目的 </a:t>
          </a:r>
          <a:r>
            <a:rPr lang="en-US" altLang="zh-TW" sz="1100"/>
            <a:t>: </a:t>
          </a:r>
          <a:r>
            <a:rPr lang="zh-TW" altLang="en-US" sz="1100"/>
            <a:t>計算</a:t>
          </a:r>
          <a:r>
            <a:rPr lang="en-US" altLang="zh-TW" sz="1100"/>
            <a:t>KD</a:t>
          </a:r>
          <a:r>
            <a:rPr lang="zh-TW" altLang="en-US" sz="1100"/>
            <a:t>指標及運用</a:t>
          </a:r>
        </a:p>
        <a:p>
          <a:r>
            <a:rPr lang="zh-TW" altLang="en-US" sz="1100"/>
            <a:t>上傳檔名 </a:t>
          </a:r>
          <a:r>
            <a:rPr lang="en-US" altLang="zh-TW" sz="1100"/>
            <a:t>: </a:t>
          </a:r>
          <a:r>
            <a:rPr lang="zh-TW" altLang="en-US" sz="1100"/>
            <a:t>學號 </a:t>
          </a:r>
          <a:r>
            <a:rPr lang="en-US" altLang="zh-TW" sz="1100"/>
            <a:t>+ </a:t>
          </a:r>
          <a:r>
            <a:rPr lang="zh-TW" altLang="en-US" sz="1100"/>
            <a:t>姓名</a:t>
          </a:r>
        </a:p>
        <a:p>
          <a:r>
            <a:rPr lang="zh-TW" altLang="en-US" sz="1100"/>
            <a:t>上傳副檔名 </a:t>
          </a:r>
          <a:r>
            <a:rPr lang="en-US" altLang="zh-TW" sz="1100"/>
            <a:t>: xlsm (</a:t>
          </a:r>
          <a:r>
            <a:rPr lang="zh-TW" altLang="en-US" sz="1100"/>
            <a:t>否則會看不到程式碼</a:t>
          </a:r>
          <a:r>
            <a:rPr lang="en-US" altLang="zh-TW" sz="1100"/>
            <a:t>)</a:t>
          </a:r>
        </a:p>
        <a:p>
          <a:r>
            <a:rPr lang="zh-TW" altLang="en-US" sz="1100"/>
            <a:t>評分方式 </a:t>
          </a:r>
          <a:r>
            <a:rPr lang="en-US" altLang="zh-TW" sz="1100"/>
            <a:t>:</a:t>
          </a:r>
        </a:p>
        <a:p>
          <a:r>
            <a:rPr lang="zh-TW" altLang="en-US" sz="1100"/>
            <a:t>匯入</a:t>
          </a:r>
          <a:r>
            <a:rPr lang="en-US" altLang="zh-TW" sz="1100"/>
            <a:t>TEJ</a:t>
          </a:r>
          <a:r>
            <a:rPr lang="zh-TW" altLang="en-US" sz="1100"/>
            <a:t> 基本資料。</a:t>
          </a:r>
          <a:r>
            <a:rPr lang="en-US" altLang="zh-TW" sz="1100"/>
            <a:t>(30</a:t>
          </a:r>
          <a:r>
            <a:rPr lang="zh-TW" altLang="en-US" sz="1100"/>
            <a:t>分</a:t>
          </a:r>
          <a:r>
            <a:rPr lang="en-US" altLang="zh-TW" sz="1100"/>
            <a:t>)</a:t>
          </a:r>
        </a:p>
        <a:p>
          <a:r>
            <a:rPr lang="en-US" altLang="zh-TW" sz="1100" b="1" u="sng"/>
            <a:t>9</a:t>
          </a:r>
          <a:r>
            <a:rPr lang="zh-TW" altLang="en-US" sz="1100" b="1" u="sng"/>
            <a:t>日最高價</a:t>
          </a:r>
          <a:r>
            <a:rPr lang="zh-TW" altLang="en-US" sz="1100"/>
            <a:t>：需在</a:t>
          </a:r>
          <a:r>
            <a:rPr lang="en-US" altLang="zh-TW" sz="1100"/>
            <a:t>Sub</a:t>
          </a:r>
          <a:r>
            <a:rPr lang="zh-TW" altLang="en-US" sz="1100"/>
            <a:t>內呼叫內建函數，並使用迴圈。</a:t>
          </a:r>
          <a:r>
            <a:rPr lang="en-US" altLang="zh-TW" sz="1100"/>
            <a:t>(15</a:t>
          </a:r>
          <a:r>
            <a:rPr lang="zh-TW" altLang="en-US" sz="1100"/>
            <a:t>分</a:t>
          </a:r>
          <a:r>
            <a:rPr lang="en-US" altLang="zh-TW" sz="1100"/>
            <a:t>)</a:t>
          </a:r>
          <a:endParaRPr lang="zh-TW" altLang="en-US" sz="1100"/>
        </a:p>
        <a:p>
          <a:r>
            <a:rPr lang="en-US" altLang="zh-TW" sz="1100" b="1" u="sng"/>
            <a:t>9</a:t>
          </a:r>
          <a:r>
            <a:rPr lang="zh-TW" altLang="en-US" sz="1100" b="1" u="sng"/>
            <a:t>日最低價</a:t>
          </a:r>
          <a:r>
            <a:rPr lang="zh-TW" altLang="en-US" sz="1100"/>
            <a:t>：需在</a:t>
          </a:r>
          <a:r>
            <a:rPr lang="en-US" altLang="zh-TW" sz="1100"/>
            <a:t>Sub</a:t>
          </a:r>
          <a:r>
            <a:rPr lang="zh-TW" altLang="en-US" sz="1100"/>
            <a:t>內呼叫內建函數，並使用迴圈。</a:t>
          </a:r>
          <a:r>
            <a:rPr lang="en-US" altLang="zh-TW" sz="1100"/>
            <a:t>(15</a:t>
          </a:r>
          <a:r>
            <a:rPr lang="zh-TW" altLang="en-US" sz="1100"/>
            <a:t>分</a:t>
          </a:r>
          <a:r>
            <a:rPr lang="en-US" altLang="zh-TW" sz="1100"/>
            <a:t>)</a:t>
          </a:r>
        </a:p>
        <a:p>
          <a:r>
            <a:rPr lang="en-US" altLang="zh-TW" sz="1100" b="1" u="sng"/>
            <a:t>RSV</a:t>
          </a:r>
          <a:r>
            <a:rPr lang="zh-TW" altLang="en-US" sz="1100" b="1" u="sng"/>
            <a:t>、</a:t>
          </a:r>
          <a:r>
            <a:rPr lang="en-US" altLang="zh-TW" sz="1100" b="1" u="sng"/>
            <a:t>K</a:t>
          </a:r>
          <a:r>
            <a:rPr lang="zh-TW" altLang="en-US" sz="1100" b="1" u="sng"/>
            <a:t>、</a:t>
          </a:r>
          <a:r>
            <a:rPr lang="en-US" altLang="zh-TW" sz="1100" b="1" u="sng"/>
            <a:t>D</a:t>
          </a:r>
          <a:r>
            <a:rPr lang="zh-TW" altLang="en-US" sz="1100" b="1" u="sng"/>
            <a:t> </a:t>
          </a:r>
          <a:r>
            <a:rPr lang="zh-TW" altLang="en-US" sz="1100"/>
            <a:t>：需自訂三個</a:t>
          </a:r>
          <a:r>
            <a:rPr lang="en-US" altLang="zh-TW" sz="1100"/>
            <a:t>Function</a:t>
          </a:r>
          <a:r>
            <a:rPr lang="zh-TW" altLang="en-US" sz="1100"/>
            <a:t> ，並在</a:t>
          </a:r>
          <a:r>
            <a:rPr lang="en-US" altLang="zh-TW" sz="1100"/>
            <a:t>Excel</a:t>
          </a:r>
          <a:r>
            <a:rPr lang="zh-TW" altLang="en-US" sz="1100"/>
            <a:t>儲存格使用。</a:t>
          </a:r>
          <a:endParaRPr lang="en-US" altLang="zh-TW" sz="1100"/>
        </a:p>
        <a:p>
          <a:r>
            <a:rPr lang="en-US" altLang="zh-TW" sz="1100"/>
            <a:t>	</a:t>
          </a:r>
          <a:r>
            <a:rPr lang="zh-TW" altLang="en-US" sz="1100"/>
            <a:t>   </a:t>
          </a:r>
          <a:r>
            <a:rPr lang="en-US" altLang="zh-TW" sz="1100"/>
            <a:t>(RSV</a:t>
          </a:r>
          <a:r>
            <a:rPr lang="zh-TW" altLang="en-US" sz="1100"/>
            <a:t>函數</a:t>
          </a:r>
          <a:r>
            <a:rPr lang="en-US" altLang="zh-TW" sz="1100"/>
            <a:t>10</a:t>
          </a:r>
          <a:r>
            <a:rPr lang="zh-TW" altLang="en-US" sz="1100"/>
            <a:t>分，</a:t>
          </a:r>
          <a:r>
            <a:rPr lang="en-US" altLang="zh-TW" sz="1100"/>
            <a:t>K</a:t>
          </a:r>
          <a:r>
            <a:rPr lang="zh-TW" altLang="en-US" sz="1100"/>
            <a:t>值函數</a:t>
          </a:r>
          <a:r>
            <a:rPr lang="en-US" altLang="zh-TW" sz="1100"/>
            <a:t>10</a:t>
          </a:r>
          <a:r>
            <a:rPr lang="zh-TW" altLang="en-US" sz="1100"/>
            <a:t>分，</a:t>
          </a:r>
          <a:r>
            <a:rPr lang="en-US" altLang="zh-TW" sz="1100"/>
            <a:t>D</a:t>
          </a:r>
          <a:r>
            <a:rPr lang="zh-TW" altLang="en-US" sz="1100"/>
            <a:t>值函數</a:t>
          </a:r>
          <a:r>
            <a:rPr lang="en-US" altLang="zh-TW" sz="1100"/>
            <a:t>10</a:t>
          </a:r>
          <a:r>
            <a:rPr lang="zh-TW" altLang="en-US" sz="1100"/>
            <a:t>分</a:t>
          </a:r>
          <a:r>
            <a:rPr lang="en-US" altLang="zh-TW" sz="1100"/>
            <a:t>)</a:t>
          </a:r>
        </a:p>
        <a:p>
          <a:r>
            <a:rPr lang="zh-TW" altLang="en-US" sz="1100" b="1" u="sng"/>
            <a:t>判斷</a:t>
          </a:r>
          <a:r>
            <a:rPr lang="en-US" altLang="zh-TW" sz="1100" b="1" u="sng"/>
            <a:t>KD</a:t>
          </a:r>
          <a:r>
            <a:rPr lang="zh-TW" altLang="en-US" sz="1100"/>
            <a:t>：使用</a:t>
          </a:r>
          <a:r>
            <a:rPr lang="en-US" altLang="zh-TW" sz="1100"/>
            <a:t>Sub</a:t>
          </a:r>
          <a:r>
            <a:rPr lang="zh-TW" altLang="en-US" sz="1100"/>
            <a:t>，並利用迴圈及</a:t>
          </a:r>
          <a:r>
            <a:rPr lang="en-US" altLang="zh-TW" sz="1100"/>
            <a:t>IF</a:t>
          </a:r>
          <a:r>
            <a:rPr lang="zh-TW" altLang="en-US" sz="1100"/>
            <a:t>判斷式。</a:t>
          </a:r>
          <a:r>
            <a:rPr lang="en-US" altLang="zh-TW" sz="1100"/>
            <a:t>(20</a:t>
          </a:r>
          <a:r>
            <a:rPr lang="zh-TW" altLang="en-US" sz="1100"/>
            <a:t>分</a:t>
          </a:r>
          <a:r>
            <a:rPr lang="en-US" altLang="zh-TW" sz="1100"/>
            <a:t>)</a:t>
          </a:r>
        </a:p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☆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TW" altLang="en-US" sz="1100"/>
            <a:t>滿分 </a:t>
          </a:r>
          <a:r>
            <a:rPr lang="en-US" altLang="zh-TW" sz="1100"/>
            <a:t>100</a:t>
          </a:r>
          <a:r>
            <a:rPr lang="zh-TW" altLang="en-US" sz="1100"/>
            <a:t>分</a:t>
          </a:r>
          <a:endParaRPr lang="en-US" altLang="zh-TW" sz="1100"/>
        </a:p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☆ 測驗期間可參考網路學園教材</a:t>
          </a:r>
          <a:endParaRPr lang="zh-TW" altLang="zh-TW" sz="1100">
            <a:effectLst/>
          </a:endParaRPr>
        </a:p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☆ 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請將</a:t>
          </a:r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答案檔上傳至 網路學員 → 評量區 → 作業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報告</a:t>
          </a:r>
          <a:endParaRPr lang="zh-TW" altLang="zh-TW" sz="1100">
            <a:effectLst/>
          </a:endParaRPr>
        </a:p>
        <a:p>
          <a:endParaRPr lang="zh-TW" altLang="en-US" sz="1100"/>
        </a:p>
      </xdr:txBody>
    </xdr:sp>
    <xdr:clientData/>
  </xdr:twoCellAnchor>
  <xdr:twoCellAnchor>
    <xdr:from>
      <xdr:col>13</xdr:col>
      <xdr:colOff>9525</xdr:colOff>
      <xdr:row>19</xdr:row>
      <xdr:rowOff>47625</xdr:rowOff>
    </xdr:from>
    <xdr:to>
      <xdr:col>18</xdr:col>
      <xdr:colOff>495300</xdr:colOff>
      <xdr:row>32</xdr:row>
      <xdr:rowOff>142875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文字方塊 2"/>
            <xdr:cNvSpPr txBox="1"/>
          </xdr:nvSpPr>
          <xdr:spPr>
            <a:xfrm>
              <a:off x="8924925" y="4029075"/>
              <a:ext cx="3914775" cy="2819400"/>
            </a:xfrm>
            <a:prstGeom prst="rect">
              <a:avLst/>
            </a:prstGeom>
            <a:solidFill>
              <a:schemeClr val="lt1"/>
            </a:solidFill>
            <a:ln w="2857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TW" altLang="en-US" sz="1100"/>
                <a:t>公式說明：</a:t>
              </a:r>
              <a:endParaRPr lang="en-US" altLang="zh-TW" sz="1100"/>
            </a:p>
            <a:p>
              <a:endParaRPr lang="en-US" altLang="zh-TW" sz="1100"/>
            </a:p>
            <a:p>
              <a:r>
                <a:rPr lang="en-US" altLang="zh-TW" sz="1100"/>
                <a:t>RSV</a:t>
              </a:r>
              <a:r>
                <a:rPr lang="zh-TW" altLang="en-US" sz="1100"/>
                <a:t> </a:t>
              </a:r>
              <a:r>
                <a:rPr lang="en-US" altLang="zh-TW" sz="1100"/>
                <a:t>=</a:t>
              </a:r>
              <a:r>
                <a:rPr lang="zh-TW" altLang="en-US" sz="11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zh-TW" sz="1100" i="1">
                          <a:latin typeface="Cambria Math"/>
                        </a:rPr>
                      </m:ctrlPr>
                    </m:fPr>
                    <m:num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今日收盤價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 − 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最近</m:t>
                      </m:r>
                      <m:r>
                        <a:rPr lang="en-US" altLang="zh-TW" sz="1100" i="1">
                          <a:latin typeface="Cambria Math" panose="02040503050406030204" pitchFamily="18" charset="0"/>
                        </a:rPr>
                        <m:t>9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天最低價</m:t>
                      </m:r>
                    </m:num>
                    <m:den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最近</m:t>
                      </m:r>
                      <m:r>
                        <a:rPr lang="en-US" altLang="zh-TW" sz="1100" i="1">
                          <a:latin typeface="Cambria Math" panose="02040503050406030204" pitchFamily="18" charset="0"/>
                        </a:rPr>
                        <m:t>9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天最高價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 − 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最近</m:t>
                      </m:r>
                      <m:r>
                        <a:rPr lang="en-US" altLang="zh-TW" sz="1100" i="1">
                          <a:latin typeface="Cambria Math" panose="02040503050406030204" pitchFamily="18" charset="0"/>
                        </a:rPr>
                        <m:t>9</m:t>
                      </m:r>
                      <m:r>
                        <a:rPr lang="zh-TW" altLang="en-US" sz="1100" i="1">
                          <a:latin typeface="Cambria Math" panose="02040503050406030204" pitchFamily="18" charset="0"/>
                        </a:rPr>
                        <m:t>天最低價</m:t>
                      </m:r>
                    </m:den>
                  </m:f>
                </m:oMath>
              </a14:m>
              <a:r>
                <a:rPr lang="zh-TW" altLang="en-US" sz="1100"/>
                <a:t>  </a:t>
              </a:r>
              <a:r>
                <a:rPr lang="en-US" altLang="zh-TW" sz="1100"/>
                <a:t>X</a:t>
              </a:r>
              <a:r>
                <a:rPr lang="zh-TW" altLang="en-US" sz="1100"/>
                <a:t> </a:t>
              </a:r>
              <a:r>
                <a:rPr lang="en-US" altLang="zh-TW" sz="1100"/>
                <a:t>100</a:t>
              </a:r>
            </a:p>
            <a:p>
              <a:endParaRPr lang="en-US" altLang="zh-TW" sz="1100"/>
            </a:p>
            <a:p>
              <a:r>
                <a:rPr lang="en-US" altLang="zh-TW" sz="1100"/>
                <a:t>K</a:t>
              </a:r>
              <a:r>
                <a:rPr lang="zh-TW" altLang="en-US" sz="1100"/>
                <a:t> </a:t>
              </a:r>
              <a:r>
                <a:rPr lang="en-US" altLang="zh-TW" sz="1100"/>
                <a:t>=</a:t>
              </a:r>
              <a:r>
                <a:rPr lang="zh-TW" altLang="en-US" sz="11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zh-TW" sz="1100" i="1">
                          <a:latin typeface="Cambria Math"/>
                        </a:rPr>
                      </m:ctrlPr>
                    </m:fPr>
                    <m:num>
                      <m:r>
                        <a:rPr lang="en-US" altLang="zh-TW" sz="1100" i="1">
                          <a:latin typeface="Cambria Math" panose="02040503050406030204" pitchFamily="18" charset="0"/>
                        </a:rPr>
                        <m:t>2</m:t>
                      </m:r>
                    </m:num>
                    <m:den>
                      <m:r>
                        <a:rPr lang="en-US" altLang="zh-TW" sz="1100" i="1">
                          <a:latin typeface="Cambria Math" panose="02040503050406030204" pitchFamily="18" charset="0"/>
                        </a:rPr>
                        <m:t>3</m:t>
                      </m:r>
                    </m:den>
                  </m:f>
                </m:oMath>
              </a14:m>
              <a:r>
                <a:rPr lang="zh-TW" altLang="en-US" sz="1100"/>
                <a:t> </a:t>
              </a:r>
              <a:r>
                <a:rPr lang="en-US" altLang="zh-TW" sz="1100"/>
                <a:t>x </a:t>
              </a:r>
              <a:r>
                <a:rPr lang="zh-TW" altLang="en-US" sz="1100"/>
                <a:t>昨天的</a:t>
              </a:r>
              <a:r>
                <a:rPr lang="en-US" altLang="zh-TW" sz="1100"/>
                <a:t>K</a:t>
              </a:r>
              <a:r>
                <a:rPr lang="zh-TW" altLang="en-US" sz="1100"/>
                <a:t>值 </a:t>
              </a:r>
              <a:r>
                <a:rPr lang="en-US" altLang="zh-TW" sz="1100"/>
                <a:t>+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num>
                    <m:den>
                      <m: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den>
                  </m:f>
                </m:oMath>
              </a14:m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今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天的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RSV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值</a:t>
              </a:r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num>
                    <m:den>
                      <m: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den>
                  </m:f>
                </m:oMath>
              </a14:m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昨天的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值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+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num>
                    <m:den>
                      <m:r>
                        <a:rPr lang="en-US" altLang="zh-TW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den>
                  </m:f>
                </m:oMath>
              </a14:m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今天的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K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值</a:t>
              </a:r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黃金交叉：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K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&gt;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死亡交叉：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K</a:t>
              </a:r>
              <a:r>
                <a:rPr lang="en-US" altLang="zh-TW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&lt; 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zh-TW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TW" alt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可參考網址：</a:t>
              </a:r>
              <a:endParaRPr lang="en-US" altLang="zh-TW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100" u="sng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https://www.cmoney.tw/notes/note-detail.aspx?nid=16024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zh-TW" altLang="zh-TW" sz="1100">
                <a:effectLst/>
              </a:endParaRPr>
            </a:p>
            <a:p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altLang="zh-TW" sz="1100"/>
            </a:p>
            <a:p>
              <a:endParaRPr lang="zh-TW" altLang="en-US" sz="1100"/>
            </a:p>
          </xdr:txBody>
        </xdr:sp>
      </mc:Choice>
      <mc:Fallback>
        <xdr:sp macro="" textlink="">
          <xdr:nvSpPr>
            <xdr:cNvPr id="3" name="文字方塊 2"/>
            <xdr:cNvSpPr txBox="1"/>
          </xdr:nvSpPr>
          <xdr:spPr>
            <a:xfrm>
              <a:off x="8924925" y="4029075"/>
              <a:ext cx="3914775" cy="2819400"/>
            </a:xfrm>
            <a:prstGeom prst="rect">
              <a:avLst/>
            </a:prstGeom>
            <a:solidFill>
              <a:schemeClr val="lt1"/>
            </a:solidFill>
            <a:ln w="2857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TW" altLang="en-US" sz="1100"/>
                <a:t>公式說明：</a:t>
              </a:r>
              <a:endParaRPr lang="en-US" altLang="zh-TW" sz="1100"/>
            </a:p>
            <a:p>
              <a:endParaRPr lang="en-US" altLang="zh-TW" sz="1100"/>
            </a:p>
            <a:p>
              <a:r>
                <a:rPr lang="en-US" altLang="zh-TW" sz="1100"/>
                <a:t>RSV</a:t>
              </a:r>
              <a:r>
                <a:rPr lang="zh-TW" altLang="en-US" sz="1100"/>
                <a:t> </a:t>
              </a:r>
              <a:r>
                <a:rPr lang="en-US" altLang="zh-TW" sz="1100"/>
                <a:t>=</a:t>
              </a:r>
              <a:r>
                <a:rPr lang="zh-TW" altLang="en-US" sz="1100"/>
                <a:t> </a:t>
              </a:r>
              <a:r>
                <a:rPr lang="en-US" altLang="zh-TW" sz="1100" i="0">
                  <a:latin typeface="Cambria Math"/>
                </a:rPr>
                <a:t>(</a:t>
              </a:r>
              <a:r>
                <a:rPr lang="zh-TW" altLang="en-US" sz="1100" i="0">
                  <a:latin typeface="Cambria Math" panose="02040503050406030204" pitchFamily="18" charset="0"/>
                </a:rPr>
                <a:t>今日收盤價 − 最近</a:t>
              </a:r>
              <a:r>
                <a:rPr lang="en-US" altLang="zh-TW" sz="1100" i="0">
                  <a:latin typeface="Cambria Math" panose="02040503050406030204" pitchFamily="18" charset="0"/>
                </a:rPr>
                <a:t>9</a:t>
              </a:r>
              <a:r>
                <a:rPr lang="zh-TW" altLang="en-US" sz="1100" i="0">
                  <a:latin typeface="Cambria Math" panose="02040503050406030204" pitchFamily="18" charset="0"/>
                </a:rPr>
                <a:t>天最低價</a:t>
              </a:r>
              <a:r>
                <a:rPr lang="en-US" altLang="zh-TW" sz="1100" i="0">
                  <a:latin typeface="Cambria Math"/>
                </a:rPr>
                <a:t>)/(</a:t>
              </a:r>
              <a:r>
                <a:rPr lang="zh-TW" altLang="en-US" sz="1100" i="0">
                  <a:latin typeface="Cambria Math" panose="02040503050406030204" pitchFamily="18" charset="0"/>
                </a:rPr>
                <a:t>最近</a:t>
              </a:r>
              <a:r>
                <a:rPr lang="en-US" altLang="zh-TW" sz="1100" i="0">
                  <a:latin typeface="Cambria Math" panose="02040503050406030204" pitchFamily="18" charset="0"/>
                </a:rPr>
                <a:t>9</a:t>
              </a:r>
              <a:r>
                <a:rPr lang="zh-TW" altLang="en-US" sz="1100" i="0">
                  <a:latin typeface="Cambria Math" panose="02040503050406030204" pitchFamily="18" charset="0"/>
                </a:rPr>
                <a:t>天最高價 − 最近</a:t>
              </a:r>
              <a:r>
                <a:rPr lang="en-US" altLang="zh-TW" sz="1100" i="0">
                  <a:latin typeface="Cambria Math" panose="02040503050406030204" pitchFamily="18" charset="0"/>
                </a:rPr>
                <a:t>9</a:t>
              </a:r>
              <a:r>
                <a:rPr lang="zh-TW" altLang="en-US" sz="1100" i="0">
                  <a:latin typeface="Cambria Math" panose="02040503050406030204" pitchFamily="18" charset="0"/>
                </a:rPr>
                <a:t>天最低價</a:t>
              </a:r>
              <a:r>
                <a:rPr lang="en-US" altLang="zh-TW" sz="1100" i="0">
                  <a:latin typeface="Cambria Math"/>
                </a:rPr>
                <a:t>)</a:t>
              </a:r>
              <a:r>
                <a:rPr lang="zh-TW" altLang="en-US" sz="1100"/>
                <a:t>  </a:t>
              </a:r>
              <a:r>
                <a:rPr lang="en-US" altLang="zh-TW" sz="1100"/>
                <a:t>X</a:t>
              </a:r>
              <a:r>
                <a:rPr lang="zh-TW" altLang="en-US" sz="1100"/>
                <a:t> </a:t>
              </a:r>
              <a:r>
                <a:rPr lang="en-US" altLang="zh-TW" sz="1100"/>
                <a:t>100</a:t>
              </a:r>
            </a:p>
            <a:p>
              <a:endParaRPr lang="en-US" altLang="zh-TW" sz="1100"/>
            </a:p>
            <a:p>
              <a:r>
                <a:rPr lang="en-US" altLang="zh-TW" sz="1100"/>
                <a:t>K</a:t>
              </a:r>
              <a:r>
                <a:rPr lang="zh-TW" altLang="en-US" sz="1100"/>
                <a:t> </a:t>
              </a:r>
              <a:r>
                <a:rPr lang="en-US" altLang="zh-TW" sz="1100"/>
                <a:t>=</a:t>
              </a:r>
              <a:r>
                <a:rPr lang="zh-TW" altLang="en-US" sz="1100"/>
                <a:t> </a:t>
              </a:r>
              <a:r>
                <a:rPr lang="en-US" altLang="zh-TW" sz="1100" i="0">
                  <a:latin typeface="Cambria Math" panose="02040503050406030204" pitchFamily="18" charset="0"/>
                </a:rPr>
                <a:t>2</a:t>
              </a:r>
              <a:r>
                <a:rPr lang="en-US" altLang="zh-TW" sz="1100" i="0">
                  <a:latin typeface="Cambria Math"/>
                </a:rPr>
                <a:t>/</a:t>
              </a:r>
              <a:r>
                <a:rPr lang="en-US" altLang="zh-TW" sz="1100" i="0">
                  <a:latin typeface="Cambria Math" panose="02040503050406030204" pitchFamily="18" charset="0"/>
                </a:rPr>
                <a:t>3</a:t>
              </a:r>
              <a:r>
                <a:rPr lang="zh-TW" altLang="en-US" sz="1100"/>
                <a:t> </a:t>
              </a:r>
              <a:r>
                <a:rPr lang="en-US" altLang="zh-TW" sz="1100"/>
                <a:t>x </a:t>
              </a:r>
              <a:r>
                <a:rPr lang="zh-TW" altLang="en-US" sz="1100"/>
                <a:t>昨天的</a:t>
              </a:r>
              <a:r>
                <a:rPr lang="en-US" altLang="zh-TW" sz="1100"/>
                <a:t>K</a:t>
              </a:r>
              <a:r>
                <a:rPr lang="zh-TW" altLang="en-US" sz="1100"/>
                <a:t>值 </a:t>
              </a:r>
              <a:r>
                <a:rPr lang="en-US" altLang="zh-TW" sz="1100"/>
                <a:t>+ 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/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今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天的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RSV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值</a:t>
              </a:r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/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昨天的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值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+ 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/</a:t>
              </a:r>
              <a:r>
                <a:rPr lang="en-US" altLang="zh-TW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x 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今天的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K</a:t>
              </a:r>
              <a:r>
                <a:rPr lang="zh-TW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值</a:t>
              </a:r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黃金交叉：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K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&gt;</a:t>
              </a: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TW" alt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死亡交叉：</a:t>
              </a:r>
              <a:r>
                <a:rPr lang="en-US" altLang="zh-TW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K</a:t>
              </a:r>
              <a:r>
                <a:rPr lang="en-US" altLang="zh-TW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&lt; 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zh-TW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TW" alt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可參考網址：</a:t>
              </a:r>
              <a:endParaRPr lang="en-US" altLang="zh-TW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100" u="sng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https://www.cmoney.tw/notes/note-detail.aspx?nid=16024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zh-TW" altLang="zh-TW" sz="1100">
                <a:effectLst/>
              </a:endParaRPr>
            </a:p>
            <a:p>
              <a:endParaRPr lang="en-US" altLang="zh-TW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altLang="zh-TW" sz="1100"/>
            </a:p>
            <a:p>
              <a:endParaRPr lang="zh-TW" altLang="en-US" sz="1100"/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19050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階層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209550</xdr:rowOff>
        </xdr:from>
        <xdr:to>
          <xdr:col>4</xdr:col>
          <xdr:colOff>9525</xdr:colOff>
          <xdr:row>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加1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200025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9526</xdr:colOff>
      <xdr:row>9</xdr:row>
      <xdr:rowOff>9524</xdr:rowOff>
    </xdr:from>
    <xdr:to>
      <xdr:col>4</xdr:col>
      <xdr:colOff>0</xdr:colOff>
      <xdr:row>10</xdr:row>
      <xdr:rowOff>85725</xdr:rowOff>
    </xdr:to>
    <xdr:sp macro="[0]!BTN_F10" textlink="">
      <xdr:nvSpPr>
        <xdr:cNvPr id="2" name="矩形 1"/>
        <xdr:cNvSpPr/>
      </xdr:nvSpPr>
      <xdr:spPr>
        <a:xfrm>
          <a:off x="2105026" y="2952749"/>
          <a:ext cx="847724" cy="295276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000" b="1">
              <a:latin typeface="Adobe 繁黑體 Std B" pitchFamily="34" charset="-120"/>
              <a:ea typeface="Adobe 繁黑體 Std B" pitchFamily="34" charset="-120"/>
            </a:rPr>
            <a:t>累加</a:t>
          </a:r>
          <a:r>
            <a:rPr lang="en-US" altLang="zh-TW" sz="1000" b="1">
              <a:latin typeface="Adobe 繁黑體 Std B" pitchFamily="34" charset="-120"/>
              <a:ea typeface="Adobe 繁黑體 Std B" pitchFamily="34" charset="-120"/>
            </a:rPr>
            <a:t>_</a:t>
          </a:r>
          <a:r>
            <a:rPr lang="zh-TW" altLang="en-US" sz="1000" b="1">
              <a:latin typeface="Adobe 繁黑體 Std B" pitchFamily="34" charset="-120"/>
              <a:ea typeface="Adobe 繁黑體 Std B" pitchFamily="34" charset="-120"/>
            </a:rPr>
            <a:t>絕對</a:t>
          </a:r>
        </a:p>
      </xdr:txBody>
    </xdr:sp>
    <xdr:clientData/>
  </xdr:twoCellAnchor>
  <xdr:twoCellAnchor>
    <xdr:from>
      <xdr:col>3</xdr:col>
      <xdr:colOff>9525</xdr:colOff>
      <xdr:row>10</xdr:row>
      <xdr:rowOff>190499</xdr:rowOff>
    </xdr:from>
    <xdr:to>
      <xdr:col>4</xdr:col>
      <xdr:colOff>1</xdr:colOff>
      <xdr:row>12</xdr:row>
      <xdr:rowOff>57150</xdr:rowOff>
    </xdr:to>
    <xdr:sp macro="[0]!BTN_ActiveCell" textlink="">
      <xdr:nvSpPr>
        <xdr:cNvPr id="7" name="矩形 6"/>
        <xdr:cNvSpPr/>
      </xdr:nvSpPr>
      <xdr:spPr>
        <a:xfrm>
          <a:off x="2105025" y="3352799"/>
          <a:ext cx="847726" cy="28575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000" b="1">
              <a:latin typeface="Adobe 繁黑體 Std B" pitchFamily="34" charset="-120"/>
              <a:ea typeface="Adobe 繁黑體 Std B" pitchFamily="34" charset="-120"/>
            </a:rPr>
            <a:t>累加</a:t>
          </a:r>
          <a:r>
            <a:rPr lang="en-US" altLang="zh-TW" sz="1000" b="1">
              <a:latin typeface="Adobe 繁黑體 Std B" pitchFamily="34" charset="-120"/>
              <a:ea typeface="Adobe 繁黑體 Std B" pitchFamily="34" charset="-120"/>
            </a:rPr>
            <a:t>_</a:t>
          </a:r>
          <a:r>
            <a:rPr lang="zh-TW" altLang="en-US" sz="1000" b="1">
              <a:latin typeface="Adobe 繁黑體 Std B" pitchFamily="34" charset="-120"/>
              <a:ea typeface="Adobe 繁黑體 Std B" pitchFamily="34" charset="-120"/>
            </a:rPr>
            <a:t>相對</a:t>
          </a:r>
        </a:p>
      </xdr:txBody>
    </xdr:sp>
    <xdr:clientData/>
  </xdr:twoCellAnchor>
  <xdr:twoCellAnchor>
    <xdr:from>
      <xdr:col>3</xdr:col>
      <xdr:colOff>0</xdr:colOff>
      <xdr:row>13</xdr:row>
      <xdr:rowOff>9524</xdr:rowOff>
    </xdr:from>
    <xdr:to>
      <xdr:col>4</xdr:col>
      <xdr:colOff>0</xdr:colOff>
      <xdr:row>14</xdr:row>
      <xdr:rowOff>85725</xdr:rowOff>
    </xdr:to>
    <xdr:sp macro="[0]!Module2.BTN_MsgBox" textlink="">
      <xdr:nvSpPr>
        <xdr:cNvPr id="8" name="矩形 7"/>
        <xdr:cNvSpPr/>
      </xdr:nvSpPr>
      <xdr:spPr>
        <a:xfrm>
          <a:off x="3943350" y="1276349"/>
          <a:ext cx="819150" cy="28575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000" b="1">
              <a:latin typeface="Adobe 繁黑體 Std B" pitchFamily="34" charset="-120"/>
              <a:ea typeface="Adobe 繁黑體 Std B" pitchFamily="34" charset="-120"/>
            </a:rPr>
            <a:t>累加</a:t>
          </a:r>
          <a:r>
            <a:rPr lang="en-US" altLang="zh-TW" sz="1000" b="1">
              <a:latin typeface="Adobe 繁黑體 Std B" pitchFamily="34" charset="-120"/>
              <a:ea typeface="Adobe 繁黑體 Std B" pitchFamily="34" charset="-120"/>
            </a:rPr>
            <a:t>_Msg</a:t>
          </a:r>
        </a:p>
        <a:p>
          <a:pPr algn="l"/>
          <a:endParaRPr lang="zh-TW" altLang="en-US" sz="1000" b="1">
            <a:latin typeface="Adobe 繁黑體 Std B" pitchFamily="34" charset="-120"/>
            <a:ea typeface="Adobe 繁黑體 Std B" pitchFamily="34" charset="-12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47625</xdr:rowOff>
    </xdr:from>
    <xdr:to>
      <xdr:col>13</xdr:col>
      <xdr:colOff>704850</xdr:colOff>
      <xdr:row>26</xdr:row>
      <xdr:rowOff>66675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3</xdr:row>
      <xdr:rowOff>180974</xdr:rowOff>
    </xdr:from>
    <xdr:to>
      <xdr:col>12</xdr:col>
      <xdr:colOff>9526</xdr:colOff>
      <xdr:row>8</xdr:row>
      <xdr:rowOff>114299</xdr:rowOff>
    </xdr:to>
    <xdr:sp macro="" textlink="">
      <xdr:nvSpPr>
        <xdr:cNvPr id="2" name="文字方塊 1"/>
        <xdr:cNvSpPr txBox="1"/>
      </xdr:nvSpPr>
      <xdr:spPr>
        <a:xfrm>
          <a:off x="6600825" y="809624"/>
          <a:ext cx="2733676" cy="9810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400"/>
            <a:t>E(Ri) = </a:t>
          </a:r>
          <a:r>
            <a:rPr lang="el-GR" altLang="zh-TW" sz="2400"/>
            <a:t>α</a:t>
          </a:r>
          <a:r>
            <a:rPr lang="en-US" altLang="zh-TW" sz="2400"/>
            <a:t> + </a:t>
          </a:r>
          <a:r>
            <a:rPr lang="el-GR" altLang="zh-TW" sz="2400"/>
            <a:t>β</a:t>
          </a:r>
          <a:r>
            <a:rPr lang="en-US" altLang="zh-TW" sz="2400"/>
            <a:t> (Rm-Rf)</a:t>
          </a:r>
        </a:p>
        <a:p>
          <a:r>
            <a:rPr lang="zh-TW" altLang="en-US" sz="2400"/>
            <a:t>殘差 </a:t>
          </a:r>
          <a:r>
            <a:rPr lang="en-US" altLang="zh-TW" sz="2400"/>
            <a:t>=</a:t>
          </a:r>
          <a:r>
            <a:rPr lang="zh-TW" altLang="en-US" sz="2400"/>
            <a:t> </a:t>
          </a:r>
          <a:r>
            <a:rPr lang="en-US" altLang="zh-TW" sz="2400"/>
            <a:t>Ri - E(Ri) </a:t>
          </a:r>
          <a:endParaRPr lang="zh-TW" altLang="en-US" sz="2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4</xdr:row>
      <xdr:rowOff>138112</xdr:rowOff>
    </xdr:from>
    <xdr:to>
      <xdr:col>11</xdr:col>
      <xdr:colOff>342900</xdr:colOff>
      <xdr:row>17</xdr:row>
      <xdr:rowOff>157162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</xdr:row>
      <xdr:rowOff>0</xdr:rowOff>
    </xdr:from>
    <xdr:to>
      <xdr:col>16</xdr:col>
      <xdr:colOff>9525</xdr:colOff>
      <xdr:row>11</xdr:row>
      <xdr:rowOff>0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12</xdr:row>
      <xdr:rowOff>9525</xdr:rowOff>
    </xdr:from>
    <xdr:to>
      <xdr:col>16</xdr:col>
      <xdr:colOff>9525</xdr:colOff>
      <xdr:row>22</xdr:row>
      <xdr:rowOff>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17</xdr:col>
      <xdr:colOff>209550</xdr:colOff>
      <xdr:row>727</xdr:row>
      <xdr:rowOff>19050</xdr:rowOff>
    </xdr:to>
    <xdr:sp macro="" textlink="">
      <xdr:nvSpPr>
        <xdr:cNvPr id="2" name="文字方塊 1"/>
        <xdr:cNvSpPr txBox="1"/>
      </xdr:nvSpPr>
      <xdr:spPr>
        <a:xfrm>
          <a:off x="10810875" y="0"/>
          <a:ext cx="226695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/>
            <a:t>E(Ri) = </a:t>
          </a:r>
          <a:r>
            <a:rPr lang="el-GR" altLang="zh-TW" sz="2000"/>
            <a:t>α</a:t>
          </a:r>
          <a:r>
            <a:rPr lang="en-US" altLang="zh-TW" sz="2000"/>
            <a:t> + </a:t>
          </a:r>
          <a:r>
            <a:rPr lang="el-GR" altLang="zh-TW" sz="2000"/>
            <a:t>β</a:t>
          </a:r>
          <a:r>
            <a:rPr lang="en-US" altLang="zh-TW" sz="2000"/>
            <a:t> (Rm-Rf)</a:t>
          </a:r>
        </a:p>
        <a:p>
          <a:r>
            <a:rPr lang="en-US" altLang="zh-TW" sz="2000"/>
            <a:t>AR</a:t>
          </a:r>
          <a:r>
            <a:rPr lang="zh-TW" altLang="en-US" sz="2000"/>
            <a:t> </a:t>
          </a:r>
          <a:r>
            <a:rPr lang="en-US" altLang="zh-TW" sz="2000"/>
            <a:t>=</a:t>
          </a:r>
          <a:r>
            <a:rPr lang="zh-TW" altLang="en-US" sz="2000"/>
            <a:t> </a:t>
          </a:r>
          <a:r>
            <a:rPr lang="en-US" altLang="zh-TW" sz="2000"/>
            <a:t>Ri - E(Ri)</a:t>
          </a:r>
          <a:br>
            <a:rPr lang="en-US" altLang="zh-TW" sz="2000"/>
          </a:br>
          <a:r>
            <a:rPr lang="en-US" altLang="zh-TW" sz="2000"/>
            <a:t>CAR</a:t>
          </a:r>
          <a:r>
            <a:rPr lang="en-US" altLang="zh-TW" sz="1000"/>
            <a:t>(H5)</a:t>
          </a:r>
          <a:r>
            <a:rPr lang="en-US" altLang="zh-TW" sz="2000"/>
            <a:t>=CAR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(H4)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+AR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(H5)</a:t>
          </a:r>
        </a:p>
        <a:p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 = AR / </a:t>
          </a:r>
          <a:r>
            <a:rPr lang="zh-TW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標準誤</a:t>
          </a:r>
          <a:endParaRPr lang="en-US" altLang="zh-TW" sz="6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zh-TW" alt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若大於</a:t>
          </a:r>
          <a:r>
            <a:rPr lang="en-US" altLang="zh-TW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1.6</a:t>
          </a:r>
          <a:r>
            <a:rPr lang="zh-TW" alt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顯著 </a:t>
          </a:r>
          <a:endParaRPr lang="en-US" altLang="zh-TW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19050</xdr:colOff>
      <xdr:row>728</xdr:row>
      <xdr:rowOff>152400</xdr:rowOff>
    </xdr:from>
    <xdr:to>
      <xdr:col>17</xdr:col>
      <xdr:colOff>76200</xdr:colOff>
      <xdr:row>742</xdr:row>
      <xdr:rowOff>171450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folder/VBAA/VBA-2017-06-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異常報酬"/>
      <sheetName val="工作表2"/>
      <sheetName val="工作表1"/>
      <sheetName val="期末考重點"/>
    </sheetNames>
    <sheetDataSet>
      <sheetData sheetId="0" refreshError="1"/>
      <sheetData sheetId="1" refreshError="1"/>
      <sheetData sheetId="2">
        <row r="725">
          <cell r="H725">
            <v>-1.6678135511240324</v>
          </cell>
        </row>
        <row r="726">
          <cell r="H726">
            <v>-3.1562876909309097</v>
          </cell>
        </row>
        <row r="727">
          <cell r="H727">
            <v>-0.81856121512818003</v>
          </cell>
        </row>
        <row r="728">
          <cell r="H728">
            <v>-2.437246596224182</v>
          </cell>
        </row>
        <row r="729">
          <cell r="H729">
            <v>-2.7582467159692987</v>
          </cell>
        </row>
        <row r="730">
          <cell r="H730">
            <v>-2.7302359017156848</v>
          </cell>
        </row>
        <row r="731">
          <cell r="H731">
            <v>-3.2871982092882783</v>
          </cell>
        </row>
        <row r="732">
          <cell r="H732">
            <v>1.0776682841927263</v>
          </cell>
        </row>
        <row r="733">
          <cell r="H733">
            <v>5.4269207861815776</v>
          </cell>
        </row>
        <row r="734">
          <cell r="H734">
            <v>5.8615024119303811</v>
          </cell>
        </row>
        <row r="735">
          <cell r="H735">
            <v>5.848958887116364</v>
          </cell>
        </row>
        <row r="736">
          <cell r="H736">
            <v>14.347796236282802</v>
          </cell>
        </row>
        <row r="737">
          <cell r="H737">
            <v>14.800590672662262</v>
          </cell>
        </row>
        <row r="738">
          <cell r="H738">
            <v>14.762579341431122</v>
          </cell>
        </row>
        <row r="739">
          <cell r="H739">
            <v>12.367623534238946</v>
          </cell>
        </row>
        <row r="740">
          <cell r="H740">
            <v>13.852231411245809</v>
          </cell>
        </row>
        <row r="741">
          <cell r="H741">
            <v>14.056139903862279</v>
          </cell>
        </row>
        <row r="742">
          <cell r="H742">
            <v>12.59377665283507</v>
          </cell>
        </row>
        <row r="743">
          <cell r="H743">
            <v>12.475452890204819</v>
          </cell>
        </row>
        <row r="744">
          <cell r="H744">
            <v>12.660660655190123</v>
          </cell>
        </row>
        <row r="745">
          <cell r="H745">
            <v>12.134141260404508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FFFF00"/>
  </sheetPr>
  <dimension ref="A1:N245"/>
  <sheetViews>
    <sheetView workbookViewId="0">
      <selection activeCell="F16" sqref="F16"/>
    </sheetView>
  </sheetViews>
  <sheetFormatPr defaultRowHeight="16.5" x14ac:dyDescent="0.25"/>
  <cols>
    <col min="1" max="1" width="10" bestFit="1" customWidth="1"/>
    <col min="2" max="2" width="10.5" bestFit="1" customWidth="1"/>
    <col min="3" max="4" width="10.875" bestFit="1" customWidth="1"/>
  </cols>
  <sheetData>
    <row r="1" spans="1:14" s="10" customFormat="1" ht="17.25" thickBot="1" x14ac:dyDescent="0.3">
      <c r="A1" s="1" t="s">
        <v>0</v>
      </c>
      <c r="B1" s="2" t="s">
        <v>1</v>
      </c>
      <c r="C1" s="1" t="s">
        <v>2</v>
      </c>
      <c r="D1" s="1" t="s">
        <v>3</v>
      </c>
      <c r="E1" s="10" t="s">
        <v>4</v>
      </c>
    </row>
    <row r="2" spans="1:14" x14ac:dyDescent="0.25">
      <c r="A2" s="4" t="s">
        <v>5</v>
      </c>
      <c r="B2" s="5">
        <v>42734</v>
      </c>
      <c r="C2" s="6">
        <v>37.9</v>
      </c>
      <c r="D2" s="6">
        <v>38.200000000000003</v>
      </c>
      <c r="E2" t="s">
        <v>6</v>
      </c>
      <c r="H2" s="55" t="s">
        <v>9</v>
      </c>
      <c r="I2" s="56"/>
      <c r="J2" s="56"/>
      <c r="K2" s="56"/>
      <c r="L2" s="56"/>
      <c r="M2" s="56"/>
      <c r="N2" s="57"/>
    </row>
    <row r="3" spans="1:14" x14ac:dyDescent="0.25">
      <c r="A3" s="4" t="s">
        <v>5</v>
      </c>
      <c r="B3" s="5">
        <v>42733</v>
      </c>
      <c r="C3" s="6">
        <v>37.5</v>
      </c>
      <c r="D3" s="6">
        <v>37.9</v>
      </c>
      <c r="E3" t="s">
        <v>6</v>
      </c>
      <c r="H3" s="58"/>
      <c r="I3" s="59"/>
      <c r="J3" s="59"/>
      <c r="K3" s="59"/>
      <c r="L3" s="59"/>
      <c r="M3" s="59"/>
      <c r="N3" s="60"/>
    </row>
    <row r="4" spans="1:14" x14ac:dyDescent="0.25">
      <c r="A4" s="4" t="s">
        <v>5</v>
      </c>
      <c r="B4" s="5">
        <v>42732</v>
      </c>
      <c r="C4" s="6">
        <v>37.299999999999997</v>
      </c>
      <c r="D4" s="6">
        <v>37.6</v>
      </c>
      <c r="E4" t="s">
        <v>6</v>
      </c>
      <c r="H4" s="58"/>
      <c r="I4" s="59"/>
      <c r="J4" s="59"/>
      <c r="K4" s="59"/>
      <c r="L4" s="59"/>
      <c r="M4" s="59"/>
      <c r="N4" s="60"/>
    </row>
    <row r="5" spans="1:14" x14ac:dyDescent="0.25">
      <c r="A5" s="4" t="s">
        <v>5</v>
      </c>
      <c r="B5" s="5">
        <v>42731</v>
      </c>
      <c r="C5" s="6">
        <v>37.5</v>
      </c>
      <c r="D5" s="6">
        <v>37.299999999999997</v>
      </c>
      <c r="E5" t="s">
        <v>7</v>
      </c>
      <c r="H5" s="58"/>
      <c r="I5" s="59"/>
      <c r="J5" s="59"/>
      <c r="K5" s="59"/>
      <c r="L5" s="59"/>
      <c r="M5" s="59"/>
      <c r="N5" s="60"/>
    </row>
    <row r="6" spans="1:14" x14ac:dyDescent="0.25">
      <c r="A6" s="4" t="s">
        <v>5</v>
      </c>
      <c r="B6" s="5">
        <v>42730</v>
      </c>
      <c r="C6" s="6">
        <v>38</v>
      </c>
      <c r="D6" s="6">
        <v>37.549999999999997</v>
      </c>
      <c r="E6" t="s">
        <v>7</v>
      </c>
      <c r="H6" s="58"/>
      <c r="I6" s="59"/>
      <c r="J6" s="59"/>
      <c r="K6" s="59"/>
      <c r="L6" s="59"/>
      <c r="M6" s="59"/>
      <c r="N6" s="60"/>
    </row>
    <row r="7" spans="1:14" x14ac:dyDescent="0.25">
      <c r="A7" s="4" t="s">
        <v>5</v>
      </c>
      <c r="B7" s="5">
        <v>42727</v>
      </c>
      <c r="C7" s="6">
        <v>38.049999999999997</v>
      </c>
      <c r="D7" s="6">
        <v>38</v>
      </c>
      <c r="E7" t="s">
        <v>7</v>
      </c>
      <c r="H7" s="58"/>
      <c r="I7" s="59"/>
      <c r="J7" s="59"/>
      <c r="K7" s="59"/>
      <c r="L7" s="59"/>
      <c r="M7" s="59"/>
      <c r="N7" s="60"/>
    </row>
    <row r="8" spans="1:14" x14ac:dyDescent="0.25">
      <c r="A8" s="4" t="s">
        <v>5</v>
      </c>
      <c r="B8" s="5">
        <v>42726</v>
      </c>
      <c r="C8" s="6">
        <v>38.700000000000003</v>
      </c>
      <c r="D8" s="6">
        <v>38.200000000000003</v>
      </c>
      <c r="E8" t="s">
        <v>7</v>
      </c>
      <c r="H8" s="58"/>
      <c r="I8" s="59"/>
      <c r="J8" s="59"/>
      <c r="K8" s="59"/>
      <c r="L8" s="59"/>
      <c r="M8" s="59"/>
      <c r="N8" s="60"/>
    </row>
    <row r="9" spans="1:14" x14ac:dyDescent="0.25">
      <c r="A9" s="4" t="s">
        <v>5</v>
      </c>
      <c r="B9" s="5">
        <v>42725</v>
      </c>
      <c r="C9" s="6">
        <v>39</v>
      </c>
      <c r="D9" s="6">
        <v>38.85</v>
      </c>
      <c r="E9" t="s">
        <v>7</v>
      </c>
      <c r="H9" s="58"/>
      <c r="I9" s="59"/>
      <c r="J9" s="59"/>
      <c r="K9" s="59"/>
      <c r="L9" s="59"/>
      <c r="M9" s="59"/>
      <c r="N9" s="60"/>
    </row>
    <row r="10" spans="1:14" x14ac:dyDescent="0.25">
      <c r="A10" s="4" t="s">
        <v>5</v>
      </c>
      <c r="B10" s="5">
        <v>42724</v>
      </c>
      <c r="C10" s="6">
        <v>38.35</v>
      </c>
      <c r="D10" s="6">
        <v>39</v>
      </c>
      <c r="E10" t="s">
        <v>6</v>
      </c>
      <c r="H10" s="58"/>
      <c r="I10" s="59"/>
      <c r="J10" s="59"/>
      <c r="K10" s="59"/>
      <c r="L10" s="59"/>
      <c r="M10" s="59"/>
      <c r="N10" s="60"/>
    </row>
    <row r="11" spans="1:14" x14ac:dyDescent="0.25">
      <c r="A11" s="4" t="s">
        <v>5</v>
      </c>
      <c r="B11" s="5">
        <v>42723</v>
      </c>
      <c r="C11" s="6">
        <v>38.950000000000003</v>
      </c>
      <c r="D11" s="6">
        <v>38.299999999999997</v>
      </c>
      <c r="E11" t="s">
        <v>7</v>
      </c>
      <c r="H11" s="58"/>
      <c r="I11" s="59"/>
      <c r="J11" s="59"/>
      <c r="K11" s="59"/>
      <c r="L11" s="59"/>
      <c r="M11" s="59"/>
      <c r="N11" s="60"/>
    </row>
    <row r="12" spans="1:14" x14ac:dyDescent="0.25">
      <c r="A12" s="4" t="s">
        <v>5</v>
      </c>
      <c r="B12" s="5">
        <v>42720</v>
      </c>
      <c r="C12" s="6">
        <v>38</v>
      </c>
      <c r="D12" s="6">
        <v>38.799999999999997</v>
      </c>
      <c r="E12" t="s">
        <v>6</v>
      </c>
      <c r="H12" s="58"/>
      <c r="I12" s="59"/>
      <c r="J12" s="59"/>
      <c r="K12" s="59"/>
      <c r="L12" s="59"/>
      <c r="M12" s="59"/>
      <c r="N12" s="60"/>
    </row>
    <row r="13" spans="1:14" x14ac:dyDescent="0.25">
      <c r="A13" s="4" t="s">
        <v>5</v>
      </c>
      <c r="B13" s="5">
        <v>42719</v>
      </c>
      <c r="C13" s="6">
        <v>37.75</v>
      </c>
      <c r="D13" s="6">
        <v>37.700000000000003</v>
      </c>
      <c r="E13" t="s">
        <v>7</v>
      </c>
      <c r="H13" s="58"/>
      <c r="I13" s="59"/>
      <c r="J13" s="59"/>
      <c r="K13" s="59"/>
      <c r="L13" s="59"/>
      <c r="M13" s="59"/>
      <c r="N13" s="60"/>
    </row>
    <row r="14" spans="1:14" x14ac:dyDescent="0.25">
      <c r="A14" s="4" t="s">
        <v>5</v>
      </c>
      <c r="B14" s="5">
        <v>42718</v>
      </c>
      <c r="C14" s="6">
        <v>38.1</v>
      </c>
      <c r="D14" s="6">
        <v>37.950000000000003</v>
      </c>
      <c r="E14" t="s">
        <v>7</v>
      </c>
      <c r="H14" s="58"/>
      <c r="I14" s="59"/>
      <c r="J14" s="59"/>
      <c r="K14" s="59"/>
      <c r="L14" s="59"/>
      <c r="M14" s="59"/>
      <c r="N14" s="60"/>
    </row>
    <row r="15" spans="1:14" x14ac:dyDescent="0.25">
      <c r="A15" s="4" t="s">
        <v>5</v>
      </c>
      <c r="B15" s="5">
        <v>42717</v>
      </c>
      <c r="C15" s="6">
        <v>38.5</v>
      </c>
      <c r="D15" s="6">
        <v>38.15</v>
      </c>
      <c r="E15" t="s">
        <v>7</v>
      </c>
      <c r="H15" s="58"/>
      <c r="I15" s="59"/>
      <c r="J15" s="59"/>
      <c r="K15" s="59"/>
      <c r="L15" s="59"/>
      <c r="M15" s="59"/>
      <c r="N15" s="60"/>
    </row>
    <row r="16" spans="1:14" x14ac:dyDescent="0.25">
      <c r="A16" s="4" t="s">
        <v>5</v>
      </c>
      <c r="B16" s="5">
        <v>42716</v>
      </c>
      <c r="C16" s="6">
        <v>38.6</v>
      </c>
      <c r="D16" s="6">
        <v>38.549999999999997</v>
      </c>
      <c r="E16" t="s">
        <v>7</v>
      </c>
      <c r="H16" s="58"/>
      <c r="I16" s="59"/>
      <c r="J16" s="59"/>
      <c r="K16" s="59"/>
      <c r="L16" s="59"/>
      <c r="M16" s="59"/>
      <c r="N16" s="60"/>
    </row>
    <row r="17" spans="1:14" x14ac:dyDescent="0.25">
      <c r="A17" s="4" t="s">
        <v>5</v>
      </c>
      <c r="B17" s="5">
        <v>42713</v>
      </c>
      <c r="C17" s="6">
        <v>39</v>
      </c>
      <c r="D17" s="6">
        <v>39</v>
      </c>
      <c r="E17" t="s">
        <v>8</v>
      </c>
      <c r="H17" s="58"/>
      <c r="I17" s="59"/>
      <c r="J17" s="59"/>
      <c r="K17" s="59"/>
      <c r="L17" s="59"/>
      <c r="M17" s="59"/>
      <c r="N17" s="60"/>
    </row>
    <row r="18" spans="1:14" x14ac:dyDescent="0.25">
      <c r="A18" s="4" t="s">
        <v>5</v>
      </c>
      <c r="B18" s="5">
        <v>42712</v>
      </c>
      <c r="C18" s="6">
        <v>39.299999999999997</v>
      </c>
      <c r="D18" s="6">
        <v>39.15</v>
      </c>
      <c r="E18" t="s">
        <v>7</v>
      </c>
      <c r="H18" s="58"/>
      <c r="I18" s="59"/>
      <c r="J18" s="59"/>
      <c r="K18" s="59"/>
      <c r="L18" s="59"/>
      <c r="M18" s="59"/>
      <c r="N18" s="60"/>
    </row>
    <row r="19" spans="1:14" x14ac:dyDescent="0.25">
      <c r="A19" s="4" t="s">
        <v>5</v>
      </c>
      <c r="B19" s="5">
        <v>42711</v>
      </c>
      <c r="C19" s="6">
        <v>39.6</v>
      </c>
      <c r="D19" s="6">
        <v>39.299999999999997</v>
      </c>
      <c r="E19" t="s">
        <v>7</v>
      </c>
      <c r="H19" s="58"/>
      <c r="I19" s="59"/>
      <c r="J19" s="59"/>
      <c r="K19" s="59"/>
      <c r="L19" s="59"/>
      <c r="M19" s="59"/>
      <c r="N19" s="60"/>
    </row>
    <row r="20" spans="1:14" x14ac:dyDescent="0.25">
      <c r="A20" s="4" t="s">
        <v>5</v>
      </c>
      <c r="B20" s="5">
        <v>42710</v>
      </c>
      <c r="C20" s="6">
        <v>39.299999999999997</v>
      </c>
      <c r="D20" s="6">
        <v>39.6</v>
      </c>
      <c r="E20" t="s">
        <v>6</v>
      </c>
      <c r="H20" s="58"/>
      <c r="I20" s="59"/>
      <c r="J20" s="59"/>
      <c r="K20" s="59"/>
      <c r="L20" s="59"/>
      <c r="M20" s="59"/>
      <c r="N20" s="60"/>
    </row>
    <row r="21" spans="1:14" x14ac:dyDescent="0.25">
      <c r="A21" s="4" t="s">
        <v>5</v>
      </c>
      <c r="B21" s="5">
        <v>42709</v>
      </c>
      <c r="C21" s="6">
        <v>40.299999999999997</v>
      </c>
      <c r="D21" s="6">
        <v>39.299999999999997</v>
      </c>
      <c r="E21" t="s">
        <v>7</v>
      </c>
      <c r="H21" s="58"/>
      <c r="I21" s="59"/>
      <c r="J21" s="59"/>
      <c r="K21" s="59"/>
      <c r="L21" s="59"/>
      <c r="M21" s="59"/>
      <c r="N21" s="60"/>
    </row>
    <row r="22" spans="1:14" ht="17.25" thickBot="1" x14ac:dyDescent="0.3">
      <c r="A22" s="4" t="s">
        <v>5</v>
      </c>
      <c r="B22" s="5">
        <v>42706</v>
      </c>
      <c r="C22" s="6">
        <v>41.05</v>
      </c>
      <c r="D22" s="6">
        <v>40.5</v>
      </c>
      <c r="E22" t="s">
        <v>7</v>
      </c>
      <c r="H22" s="61"/>
      <c r="I22" s="62"/>
      <c r="J22" s="62"/>
      <c r="K22" s="62"/>
      <c r="L22" s="62"/>
      <c r="M22" s="62"/>
      <c r="N22" s="63"/>
    </row>
    <row r="23" spans="1:14" x14ac:dyDescent="0.25">
      <c r="A23" s="4" t="s">
        <v>5</v>
      </c>
      <c r="B23" s="5">
        <v>42705</v>
      </c>
      <c r="C23" s="6">
        <v>41</v>
      </c>
      <c r="D23" s="6">
        <v>41.15</v>
      </c>
      <c r="E23" t="s">
        <v>6</v>
      </c>
    </row>
    <row r="24" spans="1:14" x14ac:dyDescent="0.25">
      <c r="A24" s="4" t="s">
        <v>5</v>
      </c>
      <c r="B24" s="5">
        <v>42704</v>
      </c>
      <c r="C24" s="6">
        <v>41.2</v>
      </c>
      <c r="D24" s="6">
        <v>41.05</v>
      </c>
      <c r="E24" t="s">
        <v>7</v>
      </c>
    </row>
    <row r="25" spans="1:14" x14ac:dyDescent="0.25">
      <c r="A25" s="4" t="s">
        <v>5</v>
      </c>
      <c r="B25" s="5">
        <v>42703</v>
      </c>
      <c r="C25" s="6">
        <v>41.4</v>
      </c>
      <c r="D25" s="6">
        <v>41</v>
      </c>
      <c r="E25" t="s">
        <v>7</v>
      </c>
    </row>
    <row r="26" spans="1:14" x14ac:dyDescent="0.25">
      <c r="A26" s="4" t="s">
        <v>5</v>
      </c>
      <c r="B26" s="5">
        <v>42702</v>
      </c>
      <c r="C26" s="6">
        <v>40.799999999999997</v>
      </c>
      <c r="D26" s="6">
        <v>41.2</v>
      </c>
      <c r="E26" t="s">
        <v>6</v>
      </c>
    </row>
    <row r="27" spans="1:14" x14ac:dyDescent="0.25">
      <c r="A27" s="4" t="s">
        <v>5</v>
      </c>
      <c r="B27" s="5">
        <v>42699</v>
      </c>
      <c r="C27" s="6">
        <v>40.6</v>
      </c>
      <c r="D27" s="6">
        <v>40.700000000000003</v>
      </c>
      <c r="E27" t="s">
        <v>6</v>
      </c>
    </row>
    <row r="28" spans="1:14" x14ac:dyDescent="0.25">
      <c r="A28" s="4" t="s">
        <v>5</v>
      </c>
      <c r="B28" s="5">
        <v>42698</v>
      </c>
      <c r="C28" s="6">
        <v>40.65</v>
      </c>
      <c r="D28" s="6">
        <v>40.549999999999997</v>
      </c>
      <c r="E28" t="s">
        <v>7</v>
      </c>
    </row>
    <row r="29" spans="1:14" x14ac:dyDescent="0.25">
      <c r="A29" s="4" t="s">
        <v>5</v>
      </c>
      <c r="B29" s="5">
        <v>42697</v>
      </c>
      <c r="C29" s="6">
        <v>40.700000000000003</v>
      </c>
      <c r="D29" s="6">
        <v>40.75</v>
      </c>
      <c r="E29" t="s">
        <v>6</v>
      </c>
    </row>
    <row r="30" spans="1:14" x14ac:dyDescent="0.25">
      <c r="A30" s="4" t="s">
        <v>5</v>
      </c>
      <c r="B30" s="5">
        <v>42696</v>
      </c>
      <c r="C30" s="6">
        <v>40.25</v>
      </c>
      <c r="D30" s="6">
        <v>40.6</v>
      </c>
      <c r="E30" t="s">
        <v>6</v>
      </c>
    </row>
    <row r="31" spans="1:14" x14ac:dyDescent="0.25">
      <c r="A31" s="4" t="s">
        <v>5</v>
      </c>
      <c r="B31" s="5">
        <v>42695</v>
      </c>
      <c r="C31" s="6">
        <v>39.799999999999997</v>
      </c>
      <c r="D31" s="6">
        <v>40.25</v>
      </c>
      <c r="E31" t="s">
        <v>6</v>
      </c>
    </row>
    <row r="32" spans="1:14" x14ac:dyDescent="0.25">
      <c r="A32" s="4" t="s">
        <v>5</v>
      </c>
      <c r="B32" s="5">
        <v>42692</v>
      </c>
      <c r="C32" s="6">
        <v>39</v>
      </c>
      <c r="D32" s="6">
        <v>39.950000000000003</v>
      </c>
      <c r="E32" t="s">
        <v>6</v>
      </c>
    </row>
    <row r="33" spans="1:5" x14ac:dyDescent="0.25">
      <c r="A33" s="4" t="s">
        <v>5</v>
      </c>
      <c r="B33" s="5">
        <v>42691</v>
      </c>
      <c r="C33" s="6">
        <v>39.450000000000003</v>
      </c>
      <c r="D33" s="6">
        <v>39.049999999999997</v>
      </c>
      <c r="E33" t="s">
        <v>7</v>
      </c>
    </row>
    <row r="34" spans="1:5" x14ac:dyDescent="0.25">
      <c r="A34" s="4" t="s">
        <v>5</v>
      </c>
      <c r="B34" s="5">
        <v>42690</v>
      </c>
      <c r="C34" s="6">
        <v>38.75</v>
      </c>
      <c r="D34" s="6">
        <v>38.9</v>
      </c>
      <c r="E34" t="s">
        <v>6</v>
      </c>
    </row>
    <row r="35" spans="1:5" x14ac:dyDescent="0.25">
      <c r="A35" s="4" t="s">
        <v>5</v>
      </c>
      <c r="B35" s="5">
        <v>42689</v>
      </c>
      <c r="C35" s="6">
        <v>38.65</v>
      </c>
      <c r="D35" s="6">
        <v>38.75</v>
      </c>
      <c r="E35" t="s">
        <v>6</v>
      </c>
    </row>
    <row r="36" spans="1:5" x14ac:dyDescent="0.25">
      <c r="A36" s="4" t="s">
        <v>5</v>
      </c>
      <c r="B36" s="5">
        <v>42688</v>
      </c>
      <c r="C36" s="6">
        <v>38.85</v>
      </c>
      <c r="D36" s="6">
        <v>38.65</v>
      </c>
      <c r="E36" t="s">
        <v>7</v>
      </c>
    </row>
    <row r="37" spans="1:5" x14ac:dyDescent="0.25">
      <c r="A37" s="4" t="s">
        <v>5</v>
      </c>
      <c r="B37" s="5">
        <v>42685</v>
      </c>
      <c r="C37" s="6">
        <v>39.75</v>
      </c>
      <c r="D37" s="6">
        <v>38.85</v>
      </c>
      <c r="E37" t="s">
        <v>7</v>
      </c>
    </row>
    <row r="38" spans="1:5" x14ac:dyDescent="0.25">
      <c r="A38" s="4" t="s">
        <v>5</v>
      </c>
      <c r="B38" s="5">
        <v>42684</v>
      </c>
      <c r="C38" s="6">
        <v>39.549999999999997</v>
      </c>
      <c r="D38" s="6">
        <v>39.700000000000003</v>
      </c>
      <c r="E38" t="s">
        <v>6</v>
      </c>
    </row>
    <row r="39" spans="1:5" x14ac:dyDescent="0.25">
      <c r="A39" s="4" t="s">
        <v>5</v>
      </c>
      <c r="B39" s="5">
        <v>42683</v>
      </c>
      <c r="C39" s="6">
        <v>40.049999999999997</v>
      </c>
      <c r="D39" s="6">
        <v>39.5</v>
      </c>
      <c r="E39" t="s">
        <v>7</v>
      </c>
    </row>
    <row r="40" spans="1:5" x14ac:dyDescent="0.25">
      <c r="A40" s="4" t="s">
        <v>5</v>
      </c>
      <c r="B40" s="5">
        <v>42682</v>
      </c>
      <c r="C40" s="6">
        <v>39.75</v>
      </c>
      <c r="D40" s="6">
        <v>40.049999999999997</v>
      </c>
      <c r="E40" t="s">
        <v>6</v>
      </c>
    </row>
    <row r="41" spans="1:5" x14ac:dyDescent="0.25">
      <c r="A41" s="4" t="s">
        <v>5</v>
      </c>
      <c r="B41" s="5">
        <v>42681</v>
      </c>
      <c r="C41" s="6">
        <v>39.700000000000003</v>
      </c>
      <c r="D41" s="6">
        <v>39.75</v>
      </c>
      <c r="E41" t="s">
        <v>6</v>
      </c>
    </row>
    <row r="42" spans="1:5" x14ac:dyDescent="0.25">
      <c r="A42" s="4" t="s">
        <v>5</v>
      </c>
      <c r="B42" s="5">
        <v>42678</v>
      </c>
      <c r="C42" s="6">
        <v>39.75</v>
      </c>
      <c r="D42" s="6">
        <v>39.65</v>
      </c>
      <c r="E42" t="s">
        <v>7</v>
      </c>
    </row>
    <row r="43" spans="1:5" x14ac:dyDescent="0.25">
      <c r="A43" s="4" t="s">
        <v>5</v>
      </c>
      <c r="B43" s="5">
        <v>42677</v>
      </c>
      <c r="C43" s="6">
        <v>40.049999999999997</v>
      </c>
      <c r="D43" s="6">
        <v>39.75</v>
      </c>
      <c r="E43" t="s">
        <v>7</v>
      </c>
    </row>
    <row r="44" spans="1:5" x14ac:dyDescent="0.25">
      <c r="A44" s="4" t="s">
        <v>5</v>
      </c>
      <c r="B44" s="5">
        <v>42676</v>
      </c>
      <c r="C44" s="6">
        <v>39.5</v>
      </c>
      <c r="D44" s="6">
        <v>40.200000000000003</v>
      </c>
      <c r="E44" t="s">
        <v>6</v>
      </c>
    </row>
    <row r="45" spans="1:5" x14ac:dyDescent="0.25">
      <c r="A45" s="4" t="s">
        <v>5</v>
      </c>
      <c r="B45" s="5">
        <v>42675</v>
      </c>
      <c r="C45" s="6">
        <v>40</v>
      </c>
      <c r="D45" s="6">
        <v>40</v>
      </c>
      <c r="E45" t="s">
        <v>8</v>
      </c>
    </row>
    <row r="46" spans="1:5" x14ac:dyDescent="0.25">
      <c r="A46" s="4" t="s">
        <v>5</v>
      </c>
      <c r="B46" s="5">
        <v>42674</v>
      </c>
      <c r="C46" s="6">
        <v>38.5</v>
      </c>
      <c r="D46" s="6">
        <v>40</v>
      </c>
      <c r="E46" t="s">
        <v>6</v>
      </c>
    </row>
    <row r="47" spans="1:5" x14ac:dyDescent="0.25">
      <c r="A47" s="4" t="s">
        <v>5</v>
      </c>
      <c r="B47" s="5">
        <v>42671</v>
      </c>
      <c r="C47" s="6">
        <v>39.15</v>
      </c>
      <c r="D47" s="6">
        <v>38.9</v>
      </c>
      <c r="E47" t="s">
        <v>7</v>
      </c>
    </row>
    <row r="48" spans="1:5" x14ac:dyDescent="0.25">
      <c r="A48" s="4" t="s">
        <v>5</v>
      </c>
      <c r="B48" s="5">
        <v>42670</v>
      </c>
      <c r="C48" s="6">
        <v>40</v>
      </c>
      <c r="D48" s="6">
        <v>40.1</v>
      </c>
      <c r="E48" t="s">
        <v>6</v>
      </c>
    </row>
    <row r="49" spans="1:5" x14ac:dyDescent="0.25">
      <c r="A49" s="4" t="s">
        <v>5</v>
      </c>
      <c r="B49" s="5">
        <v>42669</v>
      </c>
      <c r="C49" s="6">
        <v>41.4</v>
      </c>
      <c r="D49" s="6">
        <v>41.6</v>
      </c>
      <c r="E49" t="s">
        <v>6</v>
      </c>
    </row>
    <row r="50" spans="1:5" x14ac:dyDescent="0.25">
      <c r="A50" s="4" t="s">
        <v>5</v>
      </c>
      <c r="B50" s="5">
        <v>42668</v>
      </c>
      <c r="C50" s="6">
        <v>41.4</v>
      </c>
      <c r="D50" s="6">
        <v>41.4</v>
      </c>
      <c r="E50" t="s">
        <v>8</v>
      </c>
    </row>
    <row r="51" spans="1:5" x14ac:dyDescent="0.25">
      <c r="A51" s="4" t="s">
        <v>5</v>
      </c>
      <c r="B51" s="5">
        <v>42667</v>
      </c>
      <c r="C51" s="6">
        <v>42.1</v>
      </c>
      <c r="D51" s="6">
        <v>41.4</v>
      </c>
      <c r="E51" t="s">
        <v>7</v>
      </c>
    </row>
    <row r="52" spans="1:5" x14ac:dyDescent="0.25">
      <c r="A52" s="4" t="s">
        <v>5</v>
      </c>
      <c r="B52" s="5">
        <v>42664</v>
      </c>
      <c r="C52" s="6">
        <v>39.700000000000003</v>
      </c>
      <c r="D52" s="6">
        <v>42.7</v>
      </c>
      <c r="E52" t="s">
        <v>6</v>
      </c>
    </row>
    <row r="53" spans="1:5" x14ac:dyDescent="0.25">
      <c r="A53" s="4" t="s">
        <v>5</v>
      </c>
      <c r="B53" s="5">
        <v>42663</v>
      </c>
      <c r="C53" s="6">
        <v>39.75</v>
      </c>
      <c r="D53" s="6">
        <v>39.700000000000003</v>
      </c>
      <c r="E53" t="s">
        <v>7</v>
      </c>
    </row>
    <row r="54" spans="1:5" x14ac:dyDescent="0.25">
      <c r="A54" s="4" t="s">
        <v>5</v>
      </c>
      <c r="B54" s="5">
        <v>42662</v>
      </c>
      <c r="C54" s="6">
        <v>39.85</v>
      </c>
      <c r="D54" s="6">
        <v>39.75</v>
      </c>
      <c r="E54" t="s">
        <v>7</v>
      </c>
    </row>
    <row r="55" spans="1:5" x14ac:dyDescent="0.25">
      <c r="A55" s="4" t="s">
        <v>5</v>
      </c>
      <c r="B55" s="5">
        <v>42661</v>
      </c>
      <c r="C55" s="6">
        <v>39.5</v>
      </c>
      <c r="D55" s="6">
        <v>39.950000000000003</v>
      </c>
      <c r="E55" t="s">
        <v>6</v>
      </c>
    </row>
    <row r="56" spans="1:5" x14ac:dyDescent="0.25">
      <c r="A56" s="4" t="s">
        <v>5</v>
      </c>
      <c r="B56" s="5">
        <v>42660</v>
      </c>
      <c r="C56" s="6">
        <v>39.299999999999997</v>
      </c>
      <c r="D56" s="6">
        <v>39.5</v>
      </c>
      <c r="E56" t="s">
        <v>6</v>
      </c>
    </row>
    <row r="57" spans="1:5" x14ac:dyDescent="0.25">
      <c r="A57" s="4" t="s">
        <v>5</v>
      </c>
      <c r="B57" s="5">
        <v>42657</v>
      </c>
      <c r="C57" s="6">
        <v>39.35</v>
      </c>
      <c r="D57" s="6">
        <v>39.299999999999997</v>
      </c>
      <c r="E57" t="s">
        <v>7</v>
      </c>
    </row>
    <row r="58" spans="1:5" x14ac:dyDescent="0.25">
      <c r="A58" s="4" t="s">
        <v>5</v>
      </c>
      <c r="B58" s="5">
        <v>42656</v>
      </c>
      <c r="C58" s="6">
        <v>39.700000000000003</v>
      </c>
      <c r="D58" s="6">
        <v>39.6</v>
      </c>
      <c r="E58" t="s">
        <v>7</v>
      </c>
    </row>
    <row r="59" spans="1:5" x14ac:dyDescent="0.25">
      <c r="A59" s="4" t="s">
        <v>5</v>
      </c>
      <c r="B59" s="5">
        <v>42655</v>
      </c>
      <c r="C59" s="6">
        <v>39.6</v>
      </c>
      <c r="D59" s="6">
        <v>39.700000000000003</v>
      </c>
      <c r="E59" t="s">
        <v>6</v>
      </c>
    </row>
    <row r="60" spans="1:5" x14ac:dyDescent="0.25">
      <c r="A60" s="4" t="s">
        <v>5</v>
      </c>
      <c r="B60" s="5">
        <v>42654</v>
      </c>
      <c r="C60" s="6">
        <v>40.65</v>
      </c>
      <c r="D60" s="6">
        <v>39.65</v>
      </c>
      <c r="E60" t="s">
        <v>7</v>
      </c>
    </row>
    <row r="61" spans="1:5" x14ac:dyDescent="0.25">
      <c r="A61" s="4" t="s">
        <v>5</v>
      </c>
      <c r="B61" s="5">
        <v>42650</v>
      </c>
      <c r="C61" s="6">
        <v>40.549999999999997</v>
      </c>
      <c r="D61" s="6">
        <v>40.65</v>
      </c>
      <c r="E61" t="s">
        <v>6</v>
      </c>
    </row>
    <row r="62" spans="1:5" x14ac:dyDescent="0.25">
      <c r="A62" s="4" t="s">
        <v>5</v>
      </c>
      <c r="B62" s="5">
        <v>42649</v>
      </c>
      <c r="C62" s="6">
        <v>41.1</v>
      </c>
      <c r="D62" s="6">
        <v>40.549999999999997</v>
      </c>
      <c r="E62" t="s">
        <v>7</v>
      </c>
    </row>
    <row r="63" spans="1:5" x14ac:dyDescent="0.25">
      <c r="A63" s="4" t="s">
        <v>5</v>
      </c>
      <c r="B63" s="5">
        <v>42648</v>
      </c>
      <c r="C63" s="6">
        <v>40.9</v>
      </c>
      <c r="D63" s="6">
        <v>40.799999999999997</v>
      </c>
      <c r="E63" t="s">
        <v>7</v>
      </c>
    </row>
    <row r="64" spans="1:5" x14ac:dyDescent="0.25">
      <c r="A64" s="4" t="s">
        <v>5</v>
      </c>
      <c r="B64" s="5">
        <v>42647</v>
      </c>
      <c r="C64" s="6">
        <v>41.2</v>
      </c>
      <c r="D64" s="6">
        <v>41.45</v>
      </c>
      <c r="E64" t="s">
        <v>6</v>
      </c>
    </row>
    <row r="65" spans="1:5" x14ac:dyDescent="0.25">
      <c r="A65" s="4" t="s">
        <v>5</v>
      </c>
      <c r="B65" s="5">
        <v>42646</v>
      </c>
      <c r="C65" s="6">
        <v>41.45</v>
      </c>
      <c r="D65" s="6">
        <v>41.2</v>
      </c>
      <c r="E65" t="s">
        <v>7</v>
      </c>
    </row>
    <row r="66" spans="1:5" x14ac:dyDescent="0.25">
      <c r="A66" s="4" t="s">
        <v>5</v>
      </c>
      <c r="B66" s="5">
        <v>42643</v>
      </c>
      <c r="C66" s="6">
        <v>41.2</v>
      </c>
      <c r="D66" s="6">
        <v>41</v>
      </c>
      <c r="E66" t="s">
        <v>7</v>
      </c>
    </row>
    <row r="67" spans="1:5" x14ac:dyDescent="0.25">
      <c r="A67" s="4" t="s">
        <v>5</v>
      </c>
      <c r="B67" s="5">
        <v>42642</v>
      </c>
      <c r="C67" s="6">
        <v>41.75</v>
      </c>
      <c r="D67" s="6">
        <v>41.2</v>
      </c>
      <c r="E67" t="s">
        <v>7</v>
      </c>
    </row>
    <row r="68" spans="1:5" x14ac:dyDescent="0.25">
      <c r="A68" s="4" t="s">
        <v>5</v>
      </c>
      <c r="B68" s="5">
        <v>42639</v>
      </c>
      <c r="C68" s="6">
        <v>41.45</v>
      </c>
      <c r="D68" s="6">
        <v>41.35</v>
      </c>
      <c r="E68" t="s">
        <v>7</v>
      </c>
    </row>
    <row r="69" spans="1:5" x14ac:dyDescent="0.25">
      <c r="A69" s="4" t="s">
        <v>5</v>
      </c>
      <c r="B69" s="5">
        <v>42636</v>
      </c>
      <c r="C69" s="6">
        <v>41.75</v>
      </c>
      <c r="D69" s="6">
        <v>41.45</v>
      </c>
      <c r="E69" t="s">
        <v>7</v>
      </c>
    </row>
    <row r="70" spans="1:5" x14ac:dyDescent="0.25">
      <c r="A70" s="4" t="s">
        <v>5</v>
      </c>
      <c r="B70" s="5">
        <v>42635</v>
      </c>
      <c r="C70" s="6">
        <v>41</v>
      </c>
      <c r="D70" s="6">
        <v>41.65</v>
      </c>
      <c r="E70" t="s">
        <v>6</v>
      </c>
    </row>
    <row r="71" spans="1:5" x14ac:dyDescent="0.25">
      <c r="A71" s="4" t="s">
        <v>5</v>
      </c>
      <c r="B71" s="5">
        <v>42634</v>
      </c>
      <c r="C71" s="6">
        <v>40</v>
      </c>
      <c r="D71" s="6">
        <v>40.85</v>
      </c>
      <c r="E71" t="s">
        <v>6</v>
      </c>
    </row>
    <row r="72" spans="1:5" x14ac:dyDescent="0.25">
      <c r="A72" s="4" t="s">
        <v>5</v>
      </c>
      <c r="B72" s="5">
        <v>42633</v>
      </c>
      <c r="C72" s="6">
        <v>39.6</v>
      </c>
      <c r="D72" s="6">
        <v>39.799999999999997</v>
      </c>
      <c r="E72" t="s">
        <v>6</v>
      </c>
    </row>
    <row r="73" spans="1:5" x14ac:dyDescent="0.25">
      <c r="A73" s="4" t="s">
        <v>5</v>
      </c>
      <c r="B73" s="5">
        <v>42632</v>
      </c>
      <c r="C73" s="6">
        <v>39.950000000000003</v>
      </c>
      <c r="D73" s="6">
        <v>39.549999999999997</v>
      </c>
      <c r="E73" t="s">
        <v>7</v>
      </c>
    </row>
    <row r="74" spans="1:5" x14ac:dyDescent="0.25">
      <c r="A74" s="4" t="s">
        <v>5</v>
      </c>
      <c r="B74" s="5">
        <v>42627</v>
      </c>
      <c r="C74" s="6">
        <v>39.299999999999997</v>
      </c>
      <c r="D74" s="6">
        <v>39.950000000000003</v>
      </c>
      <c r="E74" t="s">
        <v>6</v>
      </c>
    </row>
    <row r="75" spans="1:5" x14ac:dyDescent="0.25">
      <c r="A75" s="4" t="s">
        <v>5</v>
      </c>
      <c r="B75" s="5">
        <v>42626</v>
      </c>
      <c r="C75" s="6">
        <v>39.6</v>
      </c>
      <c r="D75" s="6">
        <v>39.299999999999997</v>
      </c>
      <c r="E75" t="s">
        <v>7</v>
      </c>
    </row>
    <row r="76" spans="1:5" x14ac:dyDescent="0.25">
      <c r="A76" s="4" t="s">
        <v>5</v>
      </c>
      <c r="B76" s="5">
        <v>42625</v>
      </c>
      <c r="C76" s="6">
        <v>39.799999999999997</v>
      </c>
      <c r="D76" s="6">
        <v>39.6</v>
      </c>
      <c r="E76" t="s">
        <v>7</v>
      </c>
    </row>
    <row r="77" spans="1:5" x14ac:dyDescent="0.25">
      <c r="A77" s="4" t="s">
        <v>5</v>
      </c>
      <c r="B77" s="5">
        <v>42623</v>
      </c>
      <c r="C77" s="6">
        <v>40.15</v>
      </c>
      <c r="D77" s="6">
        <v>39.799999999999997</v>
      </c>
      <c r="E77" t="s">
        <v>7</v>
      </c>
    </row>
    <row r="78" spans="1:5" x14ac:dyDescent="0.25">
      <c r="A78" s="4" t="s">
        <v>5</v>
      </c>
      <c r="B78" s="5">
        <v>42622</v>
      </c>
      <c r="C78" s="6">
        <v>40.299999999999997</v>
      </c>
      <c r="D78" s="6">
        <v>40.299999999999997</v>
      </c>
      <c r="E78" t="s">
        <v>8</v>
      </c>
    </row>
    <row r="79" spans="1:5" x14ac:dyDescent="0.25">
      <c r="A79" s="4" t="s">
        <v>5</v>
      </c>
      <c r="B79" s="5">
        <v>42621</v>
      </c>
      <c r="C79" s="6">
        <v>40.1</v>
      </c>
      <c r="D79" s="6">
        <v>40.299999999999997</v>
      </c>
      <c r="E79" t="s">
        <v>6</v>
      </c>
    </row>
    <row r="80" spans="1:5" x14ac:dyDescent="0.25">
      <c r="A80" s="4" t="s">
        <v>5</v>
      </c>
      <c r="B80" s="5">
        <v>42620</v>
      </c>
      <c r="C80" s="6">
        <v>39.950000000000003</v>
      </c>
      <c r="D80" s="6">
        <v>40.1</v>
      </c>
      <c r="E80" t="s">
        <v>6</v>
      </c>
    </row>
    <row r="81" spans="1:5" x14ac:dyDescent="0.25">
      <c r="A81" s="4" t="s">
        <v>5</v>
      </c>
      <c r="B81" s="5">
        <v>42619</v>
      </c>
      <c r="C81" s="6">
        <v>39.299999999999997</v>
      </c>
      <c r="D81" s="6">
        <v>39.700000000000003</v>
      </c>
      <c r="E81" t="s">
        <v>6</v>
      </c>
    </row>
    <row r="82" spans="1:5" x14ac:dyDescent="0.25">
      <c r="A82" s="4" t="s">
        <v>5</v>
      </c>
      <c r="B82" s="5">
        <v>42618</v>
      </c>
      <c r="C82" s="6">
        <v>39.200000000000003</v>
      </c>
      <c r="D82" s="6">
        <v>39.299999999999997</v>
      </c>
      <c r="E82" t="s">
        <v>6</v>
      </c>
    </row>
    <row r="83" spans="1:5" x14ac:dyDescent="0.25">
      <c r="A83" s="4" t="s">
        <v>5</v>
      </c>
      <c r="B83" s="5">
        <v>42615</v>
      </c>
      <c r="C83" s="6">
        <v>39.6</v>
      </c>
      <c r="D83" s="6">
        <v>39.200000000000003</v>
      </c>
      <c r="E83" t="s">
        <v>7</v>
      </c>
    </row>
    <row r="84" spans="1:5" x14ac:dyDescent="0.25">
      <c r="A84" s="4" t="s">
        <v>5</v>
      </c>
      <c r="B84" s="5">
        <v>42614</v>
      </c>
      <c r="C84" s="6">
        <v>39.4</v>
      </c>
      <c r="D84" s="6">
        <v>39.65</v>
      </c>
      <c r="E84" t="s">
        <v>6</v>
      </c>
    </row>
    <row r="85" spans="1:5" x14ac:dyDescent="0.25">
      <c r="A85" s="4" t="s">
        <v>5</v>
      </c>
      <c r="B85" s="5">
        <v>42613</v>
      </c>
      <c r="C85" s="6">
        <v>40.200000000000003</v>
      </c>
      <c r="D85" s="6">
        <v>39.1</v>
      </c>
      <c r="E85" t="s">
        <v>7</v>
      </c>
    </row>
    <row r="86" spans="1:5" x14ac:dyDescent="0.25">
      <c r="A86" s="4" t="s">
        <v>5</v>
      </c>
      <c r="B86" s="5">
        <v>42612</v>
      </c>
      <c r="C86" s="6">
        <v>40.25</v>
      </c>
      <c r="D86" s="6">
        <v>40.200000000000003</v>
      </c>
      <c r="E86" t="s">
        <v>7</v>
      </c>
    </row>
    <row r="87" spans="1:5" x14ac:dyDescent="0.25">
      <c r="A87" s="4" t="s">
        <v>5</v>
      </c>
      <c r="B87" s="5">
        <v>42611</v>
      </c>
      <c r="C87" s="6">
        <v>40</v>
      </c>
      <c r="D87" s="6">
        <v>40.25</v>
      </c>
      <c r="E87" t="s">
        <v>6</v>
      </c>
    </row>
    <row r="88" spans="1:5" x14ac:dyDescent="0.25">
      <c r="A88" s="4" t="s">
        <v>5</v>
      </c>
      <c r="B88" s="5">
        <v>42608</v>
      </c>
      <c r="C88" s="6">
        <v>39.950000000000003</v>
      </c>
      <c r="D88" s="6">
        <v>40</v>
      </c>
      <c r="E88" t="s">
        <v>6</v>
      </c>
    </row>
    <row r="89" spans="1:5" x14ac:dyDescent="0.25">
      <c r="A89" s="4" t="s">
        <v>5</v>
      </c>
      <c r="B89" s="5">
        <v>42607</v>
      </c>
      <c r="C89" s="6">
        <v>40</v>
      </c>
      <c r="D89" s="6">
        <v>39.950000000000003</v>
      </c>
      <c r="E89" t="s">
        <v>7</v>
      </c>
    </row>
    <row r="90" spans="1:5" x14ac:dyDescent="0.25">
      <c r="A90" s="4" t="s">
        <v>5</v>
      </c>
      <c r="B90" s="5">
        <v>42606</v>
      </c>
      <c r="C90" s="6">
        <v>40</v>
      </c>
      <c r="D90" s="6">
        <v>39.950000000000003</v>
      </c>
      <c r="E90" t="s">
        <v>7</v>
      </c>
    </row>
    <row r="91" spans="1:5" x14ac:dyDescent="0.25">
      <c r="A91" s="4" t="s">
        <v>5</v>
      </c>
      <c r="B91" s="5">
        <v>42605</v>
      </c>
      <c r="C91" s="6">
        <v>40</v>
      </c>
      <c r="D91" s="6">
        <v>40</v>
      </c>
      <c r="E91" t="s">
        <v>8</v>
      </c>
    </row>
    <row r="92" spans="1:5" x14ac:dyDescent="0.25">
      <c r="A92" s="4" t="s">
        <v>5</v>
      </c>
      <c r="B92" s="5">
        <v>42604</v>
      </c>
      <c r="C92" s="6">
        <v>40.15</v>
      </c>
      <c r="D92" s="6">
        <v>40</v>
      </c>
      <c r="E92" t="s">
        <v>7</v>
      </c>
    </row>
    <row r="93" spans="1:5" x14ac:dyDescent="0.25">
      <c r="A93" s="4" t="s">
        <v>5</v>
      </c>
      <c r="B93" s="5">
        <v>42601</v>
      </c>
      <c r="C93" s="6">
        <v>40</v>
      </c>
      <c r="D93" s="6">
        <v>40.15</v>
      </c>
      <c r="E93" t="s">
        <v>6</v>
      </c>
    </row>
    <row r="94" spans="1:5" x14ac:dyDescent="0.25">
      <c r="A94" s="4" t="s">
        <v>5</v>
      </c>
      <c r="B94" s="5">
        <v>42600</v>
      </c>
      <c r="C94" s="6">
        <v>40</v>
      </c>
      <c r="D94" s="6">
        <v>39.9</v>
      </c>
      <c r="E94" t="s">
        <v>7</v>
      </c>
    </row>
    <row r="95" spans="1:5" x14ac:dyDescent="0.25">
      <c r="A95" s="4" t="s">
        <v>5</v>
      </c>
      <c r="B95" s="5">
        <v>42599</v>
      </c>
      <c r="C95" s="6">
        <v>39.5</v>
      </c>
      <c r="D95" s="6">
        <v>39.9</v>
      </c>
      <c r="E95" t="s">
        <v>6</v>
      </c>
    </row>
    <row r="96" spans="1:5" x14ac:dyDescent="0.25">
      <c r="A96" s="4" t="s">
        <v>5</v>
      </c>
      <c r="B96" s="5">
        <v>42598</v>
      </c>
      <c r="C96" s="6">
        <v>39.1</v>
      </c>
      <c r="D96" s="6">
        <v>39.25</v>
      </c>
      <c r="E96" t="s">
        <v>6</v>
      </c>
    </row>
    <row r="97" spans="1:5" x14ac:dyDescent="0.25">
      <c r="A97" s="4" t="s">
        <v>5</v>
      </c>
      <c r="B97" s="5">
        <v>42597</v>
      </c>
      <c r="C97" s="6">
        <v>39.5</v>
      </c>
      <c r="D97" s="6">
        <v>39.1</v>
      </c>
      <c r="E97" t="s">
        <v>7</v>
      </c>
    </row>
    <row r="98" spans="1:5" x14ac:dyDescent="0.25">
      <c r="A98" s="4" t="s">
        <v>5</v>
      </c>
      <c r="B98" s="5">
        <v>42594</v>
      </c>
      <c r="C98" s="6">
        <v>39.35</v>
      </c>
      <c r="D98" s="6">
        <v>39.450000000000003</v>
      </c>
      <c r="E98" t="s">
        <v>6</v>
      </c>
    </row>
    <row r="99" spans="1:5" x14ac:dyDescent="0.25">
      <c r="A99" s="4" t="s">
        <v>5</v>
      </c>
      <c r="B99" s="5">
        <v>42593</v>
      </c>
      <c r="C99" s="6">
        <v>39.299999999999997</v>
      </c>
      <c r="D99" s="6">
        <v>39.6</v>
      </c>
      <c r="E99" t="s">
        <v>6</v>
      </c>
    </row>
    <row r="100" spans="1:5" x14ac:dyDescent="0.25">
      <c r="A100" s="4" t="s">
        <v>5</v>
      </c>
      <c r="B100" s="5">
        <v>42592</v>
      </c>
      <c r="C100" s="6">
        <v>39.65</v>
      </c>
      <c r="D100" s="6">
        <v>39.700000000000003</v>
      </c>
      <c r="E100" t="s">
        <v>6</v>
      </c>
    </row>
    <row r="101" spans="1:5" x14ac:dyDescent="0.25">
      <c r="A101" s="4" t="s">
        <v>5</v>
      </c>
      <c r="B101" s="5">
        <v>42591</v>
      </c>
      <c r="C101" s="6">
        <v>40.15</v>
      </c>
      <c r="D101" s="6">
        <v>39.65</v>
      </c>
      <c r="E101" t="s">
        <v>7</v>
      </c>
    </row>
    <row r="102" spans="1:5" x14ac:dyDescent="0.25">
      <c r="A102" s="4" t="s">
        <v>5</v>
      </c>
      <c r="B102" s="5">
        <v>42590</v>
      </c>
      <c r="C102" s="6">
        <v>39.799999999999997</v>
      </c>
      <c r="D102" s="6">
        <v>40.15</v>
      </c>
      <c r="E102" t="s">
        <v>6</v>
      </c>
    </row>
    <row r="103" spans="1:5" x14ac:dyDescent="0.25">
      <c r="A103" s="4" t="s">
        <v>5</v>
      </c>
      <c r="B103" s="5">
        <v>42587</v>
      </c>
      <c r="C103" s="6">
        <v>39.5</v>
      </c>
      <c r="D103" s="6">
        <v>39.799999999999997</v>
      </c>
      <c r="E103" t="s">
        <v>6</v>
      </c>
    </row>
    <row r="104" spans="1:5" x14ac:dyDescent="0.25">
      <c r="A104" s="4" t="s">
        <v>5</v>
      </c>
      <c r="B104" s="5">
        <v>42586</v>
      </c>
      <c r="C104" s="6">
        <v>40.299999999999997</v>
      </c>
      <c r="D104" s="6">
        <v>39.65</v>
      </c>
      <c r="E104" t="s">
        <v>7</v>
      </c>
    </row>
    <row r="105" spans="1:5" x14ac:dyDescent="0.25">
      <c r="A105" s="4" t="s">
        <v>5</v>
      </c>
      <c r="B105" s="5">
        <v>42585</v>
      </c>
      <c r="C105" s="6">
        <v>41.5</v>
      </c>
      <c r="D105" s="6">
        <v>40.299999999999997</v>
      </c>
      <c r="E105" t="s">
        <v>7</v>
      </c>
    </row>
    <row r="106" spans="1:5" x14ac:dyDescent="0.25">
      <c r="A106" s="4" t="s">
        <v>5</v>
      </c>
      <c r="B106" s="5">
        <v>42584</v>
      </c>
      <c r="C106" s="6">
        <v>42.1</v>
      </c>
      <c r="D106" s="6">
        <v>42.05</v>
      </c>
      <c r="E106" t="s">
        <v>7</v>
      </c>
    </row>
    <row r="107" spans="1:5" x14ac:dyDescent="0.25">
      <c r="A107" s="4" t="s">
        <v>5</v>
      </c>
      <c r="B107" s="5">
        <v>42583</v>
      </c>
      <c r="C107" s="6">
        <v>42.2</v>
      </c>
      <c r="D107" s="6">
        <v>42.2</v>
      </c>
      <c r="E107" t="s">
        <v>8</v>
      </c>
    </row>
    <row r="108" spans="1:5" x14ac:dyDescent="0.25">
      <c r="A108" s="4" t="s">
        <v>5</v>
      </c>
      <c r="B108" s="5">
        <v>42580</v>
      </c>
      <c r="C108" s="6">
        <v>42.1</v>
      </c>
      <c r="D108" s="6">
        <v>42.2</v>
      </c>
      <c r="E108" t="s">
        <v>6</v>
      </c>
    </row>
    <row r="109" spans="1:5" x14ac:dyDescent="0.25">
      <c r="A109" s="4" t="s">
        <v>5</v>
      </c>
      <c r="B109" s="5">
        <v>42579</v>
      </c>
      <c r="C109" s="6">
        <v>42.35</v>
      </c>
      <c r="D109" s="6">
        <v>42.4</v>
      </c>
      <c r="E109" t="s">
        <v>6</v>
      </c>
    </row>
    <row r="110" spans="1:5" x14ac:dyDescent="0.25">
      <c r="A110" s="4" t="s">
        <v>5</v>
      </c>
      <c r="B110" s="5">
        <v>42578</v>
      </c>
      <c r="C110" s="6">
        <v>41.9</v>
      </c>
      <c r="D110" s="6">
        <v>42.35</v>
      </c>
      <c r="E110" t="s">
        <v>6</v>
      </c>
    </row>
    <row r="111" spans="1:5" x14ac:dyDescent="0.25">
      <c r="A111" s="4" t="s">
        <v>5</v>
      </c>
      <c r="B111" s="5">
        <v>42577</v>
      </c>
      <c r="C111" s="6">
        <v>41.95</v>
      </c>
      <c r="D111" s="6">
        <v>41.9</v>
      </c>
      <c r="E111" t="s">
        <v>7</v>
      </c>
    </row>
    <row r="112" spans="1:5" x14ac:dyDescent="0.25">
      <c r="A112" s="4" t="s">
        <v>5</v>
      </c>
      <c r="B112" s="5">
        <v>42576</v>
      </c>
      <c r="C112" s="6">
        <v>42.75</v>
      </c>
      <c r="D112" s="6">
        <v>42</v>
      </c>
      <c r="E112" t="s">
        <v>7</v>
      </c>
    </row>
    <row r="113" spans="1:5" x14ac:dyDescent="0.25">
      <c r="A113" s="4" t="s">
        <v>5</v>
      </c>
      <c r="B113" s="5">
        <v>42573</v>
      </c>
      <c r="C113" s="6">
        <v>42.5</v>
      </c>
      <c r="D113" s="6">
        <v>42.75</v>
      </c>
      <c r="E113" t="s">
        <v>6</v>
      </c>
    </row>
    <row r="114" spans="1:5" x14ac:dyDescent="0.25">
      <c r="A114" s="4" t="s">
        <v>5</v>
      </c>
      <c r="B114" s="5">
        <v>42572</v>
      </c>
      <c r="C114" s="6">
        <v>42.2</v>
      </c>
      <c r="D114" s="6">
        <v>42.75</v>
      </c>
      <c r="E114" t="s">
        <v>6</v>
      </c>
    </row>
    <row r="115" spans="1:5" x14ac:dyDescent="0.25">
      <c r="A115" s="4" t="s">
        <v>5</v>
      </c>
      <c r="B115" s="5">
        <v>42571</v>
      </c>
      <c r="C115" s="6">
        <v>42</v>
      </c>
      <c r="D115" s="6">
        <v>42.1</v>
      </c>
      <c r="E115" t="s">
        <v>6</v>
      </c>
    </row>
    <row r="116" spans="1:5" x14ac:dyDescent="0.25">
      <c r="A116" s="4" t="s">
        <v>5</v>
      </c>
      <c r="B116" s="5">
        <v>42570</v>
      </c>
      <c r="C116" s="6">
        <v>41.9</v>
      </c>
      <c r="D116" s="6">
        <v>41.9</v>
      </c>
      <c r="E116" t="s">
        <v>8</v>
      </c>
    </row>
    <row r="117" spans="1:5" x14ac:dyDescent="0.25">
      <c r="A117" s="4" t="s">
        <v>5</v>
      </c>
      <c r="B117" s="5">
        <v>42569</v>
      </c>
      <c r="C117" s="6">
        <v>42.35</v>
      </c>
      <c r="D117" s="6">
        <v>41.85</v>
      </c>
      <c r="E117" t="s">
        <v>7</v>
      </c>
    </row>
    <row r="118" spans="1:5" x14ac:dyDescent="0.25">
      <c r="A118" s="4" t="s">
        <v>5</v>
      </c>
      <c r="B118" s="5">
        <v>42566</v>
      </c>
      <c r="C118" s="6">
        <v>43</v>
      </c>
      <c r="D118" s="6">
        <v>42.35</v>
      </c>
      <c r="E118" t="s">
        <v>7</v>
      </c>
    </row>
    <row r="119" spans="1:5" x14ac:dyDescent="0.25">
      <c r="A119" s="4" t="s">
        <v>5</v>
      </c>
      <c r="B119" s="5">
        <v>42565</v>
      </c>
      <c r="C119" s="6">
        <v>43.15</v>
      </c>
      <c r="D119" s="6">
        <v>43</v>
      </c>
      <c r="E119" t="s">
        <v>7</v>
      </c>
    </row>
    <row r="120" spans="1:5" x14ac:dyDescent="0.25">
      <c r="A120" s="4" t="s">
        <v>5</v>
      </c>
      <c r="B120" s="5">
        <v>42564</v>
      </c>
      <c r="C120" s="6">
        <v>43</v>
      </c>
      <c r="D120" s="6">
        <v>43.15</v>
      </c>
      <c r="E120" t="s">
        <v>6</v>
      </c>
    </row>
    <row r="121" spans="1:5" x14ac:dyDescent="0.25">
      <c r="A121" s="4" t="s">
        <v>5</v>
      </c>
      <c r="B121" s="5">
        <v>42563</v>
      </c>
      <c r="C121" s="6">
        <v>42.8</v>
      </c>
      <c r="D121" s="6">
        <v>42.9</v>
      </c>
      <c r="E121" t="s">
        <v>6</v>
      </c>
    </row>
    <row r="122" spans="1:5" x14ac:dyDescent="0.25">
      <c r="A122" s="4" t="s">
        <v>5</v>
      </c>
      <c r="B122" s="5">
        <v>42562</v>
      </c>
      <c r="C122" s="6">
        <v>42.95</v>
      </c>
      <c r="D122" s="6">
        <v>42.8</v>
      </c>
      <c r="E122" t="s">
        <v>7</v>
      </c>
    </row>
    <row r="123" spans="1:5" x14ac:dyDescent="0.25">
      <c r="A123" s="4" t="s">
        <v>5</v>
      </c>
      <c r="B123" s="5">
        <v>42558</v>
      </c>
      <c r="C123" s="6">
        <v>43.05</v>
      </c>
      <c r="D123" s="6">
        <v>42.95</v>
      </c>
      <c r="E123" t="s">
        <v>7</v>
      </c>
    </row>
    <row r="124" spans="1:5" x14ac:dyDescent="0.25">
      <c r="A124" s="4" t="s">
        <v>5</v>
      </c>
      <c r="B124" s="5">
        <v>42557</v>
      </c>
      <c r="C124" s="6">
        <v>42.85</v>
      </c>
      <c r="D124" s="6">
        <v>43.05</v>
      </c>
      <c r="E124" t="s">
        <v>6</v>
      </c>
    </row>
    <row r="125" spans="1:5" x14ac:dyDescent="0.25">
      <c r="A125" s="4" t="s">
        <v>5</v>
      </c>
      <c r="B125" s="5">
        <v>42556</v>
      </c>
      <c r="C125" s="6">
        <v>43</v>
      </c>
      <c r="D125" s="6">
        <v>43</v>
      </c>
      <c r="E125" t="s">
        <v>8</v>
      </c>
    </row>
    <row r="126" spans="1:5" x14ac:dyDescent="0.25">
      <c r="A126" s="4" t="s">
        <v>5</v>
      </c>
      <c r="B126" s="5">
        <v>42555</v>
      </c>
      <c r="C126" s="6">
        <v>43</v>
      </c>
      <c r="D126" s="6">
        <v>43.25</v>
      </c>
      <c r="E126" t="s">
        <v>6</v>
      </c>
    </row>
    <row r="127" spans="1:5" x14ac:dyDescent="0.25">
      <c r="A127" s="4" t="s">
        <v>5</v>
      </c>
      <c r="B127" s="5">
        <v>42552</v>
      </c>
      <c r="C127" s="6">
        <v>43</v>
      </c>
      <c r="D127" s="6">
        <v>42.95</v>
      </c>
      <c r="E127" t="s">
        <v>7</v>
      </c>
    </row>
    <row r="128" spans="1:5" x14ac:dyDescent="0.25">
      <c r="A128" s="4" t="s">
        <v>5</v>
      </c>
      <c r="B128" s="5">
        <v>42551</v>
      </c>
      <c r="C128" s="6">
        <v>43.25</v>
      </c>
      <c r="D128" s="6">
        <v>42.9</v>
      </c>
      <c r="E128" t="s">
        <v>7</v>
      </c>
    </row>
    <row r="129" spans="1:5" x14ac:dyDescent="0.25">
      <c r="A129" s="4" t="s">
        <v>5</v>
      </c>
      <c r="B129" s="5">
        <v>42550</v>
      </c>
      <c r="C129" s="6">
        <v>42.3</v>
      </c>
      <c r="D129" s="6">
        <v>42.75</v>
      </c>
      <c r="E129" t="s">
        <v>6</v>
      </c>
    </row>
    <row r="130" spans="1:5" x14ac:dyDescent="0.25">
      <c r="A130" s="4" t="s">
        <v>5</v>
      </c>
      <c r="B130" s="5">
        <v>42549</v>
      </c>
      <c r="C130" s="6">
        <v>41.7</v>
      </c>
      <c r="D130" s="6">
        <v>42.1</v>
      </c>
      <c r="E130" t="s">
        <v>6</v>
      </c>
    </row>
    <row r="131" spans="1:5" x14ac:dyDescent="0.25">
      <c r="A131" s="4" t="s">
        <v>5</v>
      </c>
      <c r="B131" s="5">
        <v>42548</v>
      </c>
      <c r="C131" s="6">
        <v>42.2</v>
      </c>
      <c r="D131" s="6">
        <v>41.8</v>
      </c>
      <c r="E131" t="s">
        <v>7</v>
      </c>
    </row>
    <row r="132" spans="1:5" x14ac:dyDescent="0.25">
      <c r="A132" s="4" t="s">
        <v>5</v>
      </c>
      <c r="B132" s="5">
        <v>42545</v>
      </c>
      <c r="C132" s="6">
        <v>43.3</v>
      </c>
      <c r="D132" s="6">
        <v>42.25</v>
      </c>
      <c r="E132" t="s">
        <v>7</v>
      </c>
    </row>
    <row r="133" spans="1:5" x14ac:dyDescent="0.25">
      <c r="A133" s="4" t="s">
        <v>5</v>
      </c>
      <c r="B133" s="5">
        <v>42544</v>
      </c>
      <c r="C133" s="6">
        <v>43.55</v>
      </c>
      <c r="D133" s="6">
        <v>43.3</v>
      </c>
      <c r="E133" t="s">
        <v>7</v>
      </c>
    </row>
    <row r="134" spans="1:5" x14ac:dyDescent="0.25">
      <c r="A134" s="4" t="s">
        <v>5</v>
      </c>
      <c r="B134" s="5">
        <v>42543</v>
      </c>
      <c r="C134" s="6">
        <v>44</v>
      </c>
      <c r="D134" s="6">
        <v>43.55</v>
      </c>
      <c r="E134" t="s">
        <v>7</v>
      </c>
    </row>
    <row r="135" spans="1:5" x14ac:dyDescent="0.25">
      <c r="A135" s="4" t="s">
        <v>5</v>
      </c>
      <c r="B135" s="5">
        <v>42542</v>
      </c>
      <c r="C135" s="6">
        <v>43.6</v>
      </c>
      <c r="D135" s="6">
        <v>43.85</v>
      </c>
      <c r="E135" t="s">
        <v>6</v>
      </c>
    </row>
    <row r="136" spans="1:5" x14ac:dyDescent="0.25">
      <c r="A136" s="4" t="s">
        <v>5</v>
      </c>
      <c r="B136" s="5">
        <v>42541</v>
      </c>
      <c r="C136" s="6">
        <v>42.84</v>
      </c>
      <c r="D136" s="6">
        <v>43.3</v>
      </c>
      <c r="E136" t="s">
        <v>6</v>
      </c>
    </row>
    <row r="137" spans="1:5" x14ac:dyDescent="0.25">
      <c r="A137" s="4" t="s">
        <v>5</v>
      </c>
      <c r="B137" s="5">
        <v>42538</v>
      </c>
      <c r="C137" s="6">
        <v>42.66</v>
      </c>
      <c r="D137" s="6">
        <v>42.75</v>
      </c>
      <c r="E137" t="s">
        <v>6</v>
      </c>
    </row>
    <row r="138" spans="1:5" x14ac:dyDescent="0.25">
      <c r="A138" s="4" t="s">
        <v>5</v>
      </c>
      <c r="B138" s="5">
        <v>42537</v>
      </c>
      <c r="C138" s="6">
        <v>43.07</v>
      </c>
      <c r="D138" s="6">
        <v>42.29</v>
      </c>
      <c r="E138" t="s">
        <v>7</v>
      </c>
    </row>
    <row r="139" spans="1:5" x14ac:dyDescent="0.25">
      <c r="A139" s="4" t="s">
        <v>5</v>
      </c>
      <c r="B139" s="5">
        <v>42536</v>
      </c>
      <c r="C139" s="6">
        <v>42.93</v>
      </c>
      <c r="D139" s="6">
        <v>43.07</v>
      </c>
      <c r="E139" t="s">
        <v>6</v>
      </c>
    </row>
    <row r="140" spans="1:5" x14ac:dyDescent="0.25">
      <c r="A140" s="4" t="s">
        <v>5</v>
      </c>
      <c r="B140" s="5">
        <v>42535</v>
      </c>
      <c r="C140" s="6">
        <v>42.66</v>
      </c>
      <c r="D140" s="6">
        <v>42.8</v>
      </c>
      <c r="E140" t="s">
        <v>6</v>
      </c>
    </row>
    <row r="141" spans="1:5" x14ac:dyDescent="0.25">
      <c r="A141" s="4" t="s">
        <v>5</v>
      </c>
      <c r="B141" s="5">
        <v>42534</v>
      </c>
      <c r="C141" s="6">
        <v>43.12</v>
      </c>
      <c r="D141" s="6">
        <v>42.66</v>
      </c>
      <c r="E141" t="s">
        <v>7</v>
      </c>
    </row>
    <row r="142" spans="1:5" x14ac:dyDescent="0.25">
      <c r="A142" s="4" t="s">
        <v>5</v>
      </c>
      <c r="B142" s="5">
        <v>42529</v>
      </c>
      <c r="C142" s="6">
        <v>43.03</v>
      </c>
      <c r="D142" s="6">
        <v>43.3</v>
      </c>
      <c r="E142" t="s">
        <v>6</v>
      </c>
    </row>
    <row r="143" spans="1:5" x14ac:dyDescent="0.25">
      <c r="A143" s="4" t="s">
        <v>5</v>
      </c>
      <c r="B143" s="5">
        <v>42528</v>
      </c>
      <c r="C143" s="6">
        <v>42.75</v>
      </c>
      <c r="D143" s="6">
        <v>42.84</v>
      </c>
      <c r="E143" t="s">
        <v>6</v>
      </c>
    </row>
    <row r="144" spans="1:5" x14ac:dyDescent="0.25">
      <c r="A144" s="4" t="s">
        <v>5</v>
      </c>
      <c r="B144" s="5">
        <v>42527</v>
      </c>
      <c r="C144" s="6">
        <v>41.65</v>
      </c>
      <c r="D144" s="6">
        <v>42.34</v>
      </c>
      <c r="E144" t="s">
        <v>6</v>
      </c>
    </row>
    <row r="145" spans="1:5" x14ac:dyDescent="0.25">
      <c r="A145" s="4" t="s">
        <v>5</v>
      </c>
      <c r="B145" s="5">
        <v>42525</v>
      </c>
      <c r="C145" s="6">
        <v>41.47</v>
      </c>
      <c r="D145" s="6">
        <v>41.65</v>
      </c>
      <c r="E145" t="s">
        <v>6</v>
      </c>
    </row>
    <row r="146" spans="1:5" x14ac:dyDescent="0.25">
      <c r="A146" s="4" t="s">
        <v>5</v>
      </c>
      <c r="B146" s="5">
        <v>42524</v>
      </c>
      <c r="C146" s="6">
        <v>41.74</v>
      </c>
      <c r="D146" s="6">
        <v>41.29</v>
      </c>
      <c r="E146" t="s">
        <v>7</v>
      </c>
    </row>
    <row r="147" spans="1:5" x14ac:dyDescent="0.25">
      <c r="A147" s="4" t="s">
        <v>5</v>
      </c>
      <c r="B147" s="5">
        <v>42523</v>
      </c>
      <c r="C147" s="6">
        <v>41.19</v>
      </c>
      <c r="D147" s="6">
        <v>42.02</v>
      </c>
      <c r="E147" t="s">
        <v>6</v>
      </c>
    </row>
    <row r="148" spans="1:5" x14ac:dyDescent="0.25">
      <c r="A148" s="4" t="s">
        <v>5</v>
      </c>
      <c r="B148" s="5">
        <v>42522</v>
      </c>
      <c r="C148" s="6">
        <v>41.65</v>
      </c>
      <c r="D148" s="6">
        <v>41.47</v>
      </c>
      <c r="E148" t="s">
        <v>7</v>
      </c>
    </row>
    <row r="149" spans="1:5" x14ac:dyDescent="0.25">
      <c r="A149" s="4" t="s">
        <v>5</v>
      </c>
      <c r="B149" s="5">
        <v>42521</v>
      </c>
      <c r="C149" s="6">
        <v>42.11</v>
      </c>
      <c r="D149" s="6">
        <v>41.65</v>
      </c>
      <c r="E149" t="s">
        <v>7</v>
      </c>
    </row>
    <row r="150" spans="1:5" x14ac:dyDescent="0.25">
      <c r="A150" s="4" t="s">
        <v>5</v>
      </c>
      <c r="B150" s="5">
        <v>42520</v>
      </c>
      <c r="C150" s="6">
        <v>41.84</v>
      </c>
      <c r="D150" s="6">
        <v>42.11</v>
      </c>
      <c r="E150" t="s">
        <v>6</v>
      </c>
    </row>
    <row r="151" spans="1:5" x14ac:dyDescent="0.25">
      <c r="A151" s="4" t="s">
        <v>5</v>
      </c>
      <c r="B151" s="5">
        <v>42517</v>
      </c>
      <c r="C151" s="6">
        <v>41.97</v>
      </c>
      <c r="D151" s="6">
        <v>41.84</v>
      </c>
      <c r="E151" t="s">
        <v>7</v>
      </c>
    </row>
    <row r="152" spans="1:5" x14ac:dyDescent="0.25">
      <c r="A152" s="4" t="s">
        <v>5</v>
      </c>
      <c r="B152" s="5">
        <v>42516</v>
      </c>
      <c r="C152" s="6">
        <v>41.56</v>
      </c>
      <c r="D152" s="6">
        <v>41.93</v>
      </c>
      <c r="E152" t="s">
        <v>6</v>
      </c>
    </row>
    <row r="153" spans="1:5" x14ac:dyDescent="0.25">
      <c r="A153" s="4" t="s">
        <v>5</v>
      </c>
      <c r="B153" s="5">
        <v>42515</v>
      </c>
      <c r="C153" s="6">
        <v>41.38</v>
      </c>
      <c r="D153" s="6">
        <v>41.51</v>
      </c>
      <c r="E153" t="s">
        <v>6</v>
      </c>
    </row>
    <row r="154" spans="1:5" x14ac:dyDescent="0.25">
      <c r="A154" s="4" t="s">
        <v>5</v>
      </c>
      <c r="B154" s="5">
        <v>42514</v>
      </c>
      <c r="C154" s="6">
        <v>41.19</v>
      </c>
      <c r="D154" s="6">
        <v>41.29</v>
      </c>
      <c r="E154" t="s">
        <v>6</v>
      </c>
    </row>
    <row r="155" spans="1:5" x14ac:dyDescent="0.25">
      <c r="A155" s="4" t="s">
        <v>5</v>
      </c>
      <c r="B155" s="5">
        <v>42513</v>
      </c>
      <c r="C155" s="6">
        <v>40.19</v>
      </c>
      <c r="D155" s="6">
        <v>41.19</v>
      </c>
      <c r="E155" t="s">
        <v>6</v>
      </c>
    </row>
    <row r="156" spans="1:5" x14ac:dyDescent="0.25">
      <c r="A156" s="4" t="s">
        <v>5</v>
      </c>
      <c r="B156" s="5">
        <v>42510</v>
      </c>
      <c r="C156" s="6">
        <v>40.65</v>
      </c>
      <c r="D156" s="6">
        <v>40.19</v>
      </c>
      <c r="E156" t="s">
        <v>7</v>
      </c>
    </row>
    <row r="157" spans="1:5" x14ac:dyDescent="0.25">
      <c r="A157" s="4" t="s">
        <v>5</v>
      </c>
      <c r="B157" s="5">
        <v>42509</v>
      </c>
      <c r="C157" s="6">
        <v>40.74</v>
      </c>
      <c r="D157" s="6">
        <v>40.6</v>
      </c>
      <c r="E157" t="s">
        <v>7</v>
      </c>
    </row>
    <row r="158" spans="1:5" x14ac:dyDescent="0.25">
      <c r="A158" s="4" t="s">
        <v>5</v>
      </c>
      <c r="B158" s="5">
        <v>42508</v>
      </c>
      <c r="C158" s="6">
        <v>40.65</v>
      </c>
      <c r="D158" s="6">
        <v>40.549999999999997</v>
      </c>
      <c r="E158" t="s">
        <v>7</v>
      </c>
    </row>
    <row r="159" spans="1:5" x14ac:dyDescent="0.25">
      <c r="A159" s="4" t="s">
        <v>5</v>
      </c>
      <c r="B159" s="5">
        <v>42507</v>
      </c>
      <c r="C159" s="6">
        <v>40.78</v>
      </c>
      <c r="D159" s="6">
        <v>40.65</v>
      </c>
      <c r="E159" t="s">
        <v>7</v>
      </c>
    </row>
    <row r="160" spans="1:5" x14ac:dyDescent="0.25">
      <c r="A160" s="4" t="s">
        <v>5</v>
      </c>
      <c r="B160" s="5">
        <v>42506</v>
      </c>
      <c r="C160" s="6">
        <v>41.01</v>
      </c>
      <c r="D160" s="6">
        <v>40.92</v>
      </c>
      <c r="E160" t="s">
        <v>7</v>
      </c>
    </row>
    <row r="161" spans="1:5" x14ac:dyDescent="0.25">
      <c r="A161" s="4" t="s">
        <v>5</v>
      </c>
      <c r="B161" s="5">
        <v>42503</v>
      </c>
      <c r="C161" s="6">
        <v>41.38</v>
      </c>
      <c r="D161" s="6">
        <v>40.92</v>
      </c>
      <c r="E161" t="s">
        <v>7</v>
      </c>
    </row>
    <row r="162" spans="1:5" x14ac:dyDescent="0.25">
      <c r="A162" s="4" t="s">
        <v>5</v>
      </c>
      <c r="B162" s="5">
        <v>42502</v>
      </c>
      <c r="C162" s="6">
        <v>42.38</v>
      </c>
      <c r="D162" s="6">
        <v>41.56</v>
      </c>
      <c r="E162" t="s">
        <v>7</v>
      </c>
    </row>
    <row r="163" spans="1:5" x14ac:dyDescent="0.25">
      <c r="A163" s="4" t="s">
        <v>5</v>
      </c>
      <c r="B163" s="5">
        <v>42501</v>
      </c>
      <c r="C163" s="6">
        <v>42.02</v>
      </c>
      <c r="D163" s="6">
        <v>42.16</v>
      </c>
      <c r="E163" t="s">
        <v>6</v>
      </c>
    </row>
    <row r="164" spans="1:5" x14ac:dyDescent="0.25">
      <c r="A164" s="4" t="s">
        <v>5</v>
      </c>
      <c r="B164" s="5">
        <v>42500</v>
      </c>
      <c r="C164" s="6">
        <v>41.33</v>
      </c>
      <c r="D164" s="6">
        <v>42.02</v>
      </c>
      <c r="E164" t="s">
        <v>6</v>
      </c>
    </row>
    <row r="165" spans="1:5" x14ac:dyDescent="0.25">
      <c r="A165" s="4" t="s">
        <v>5</v>
      </c>
      <c r="B165" s="5">
        <v>42499</v>
      </c>
      <c r="C165" s="6">
        <v>41.33</v>
      </c>
      <c r="D165" s="6">
        <v>41.33</v>
      </c>
      <c r="E165" t="s">
        <v>8</v>
      </c>
    </row>
    <row r="166" spans="1:5" x14ac:dyDescent="0.25">
      <c r="A166" s="4" t="s">
        <v>5</v>
      </c>
      <c r="B166" s="5">
        <v>42496</v>
      </c>
      <c r="C166" s="6">
        <v>41.24</v>
      </c>
      <c r="D166" s="6">
        <v>41.29</v>
      </c>
      <c r="E166" t="s">
        <v>6</v>
      </c>
    </row>
    <row r="167" spans="1:5" x14ac:dyDescent="0.25">
      <c r="A167" s="4" t="s">
        <v>5</v>
      </c>
      <c r="B167" s="5">
        <v>42495</v>
      </c>
      <c r="C167" s="6">
        <v>40.83</v>
      </c>
      <c r="D167" s="6">
        <v>41.42</v>
      </c>
      <c r="E167" t="s">
        <v>6</v>
      </c>
    </row>
    <row r="168" spans="1:5" x14ac:dyDescent="0.25">
      <c r="A168" s="4" t="s">
        <v>5</v>
      </c>
      <c r="B168" s="5">
        <v>42494</v>
      </c>
      <c r="C168" s="6">
        <v>41.38</v>
      </c>
      <c r="D168" s="6">
        <v>41.06</v>
      </c>
      <c r="E168" t="s">
        <v>7</v>
      </c>
    </row>
    <row r="169" spans="1:5" x14ac:dyDescent="0.25">
      <c r="A169" s="4" t="s">
        <v>5</v>
      </c>
      <c r="B169" s="5">
        <v>42493</v>
      </c>
      <c r="C169" s="6">
        <v>41.65</v>
      </c>
      <c r="D169" s="6">
        <v>41.38</v>
      </c>
      <c r="E169" t="s">
        <v>7</v>
      </c>
    </row>
    <row r="170" spans="1:5" x14ac:dyDescent="0.25">
      <c r="A170" s="4" t="s">
        <v>5</v>
      </c>
      <c r="B170" s="5">
        <v>42489</v>
      </c>
      <c r="C170" s="6">
        <v>41.7</v>
      </c>
      <c r="D170" s="6">
        <v>41.74</v>
      </c>
      <c r="E170" t="s">
        <v>6</v>
      </c>
    </row>
    <row r="171" spans="1:5" x14ac:dyDescent="0.25">
      <c r="A171" s="4" t="s">
        <v>5</v>
      </c>
      <c r="B171" s="5">
        <v>42488</v>
      </c>
      <c r="C171" s="6">
        <v>42.02</v>
      </c>
      <c r="D171" s="6">
        <v>41.7</v>
      </c>
      <c r="E171" t="s">
        <v>7</v>
      </c>
    </row>
    <row r="172" spans="1:5" x14ac:dyDescent="0.25">
      <c r="A172" s="4" t="s">
        <v>5</v>
      </c>
      <c r="B172" s="5">
        <v>42487</v>
      </c>
      <c r="C172" s="6">
        <v>42.38</v>
      </c>
      <c r="D172" s="6">
        <v>41.88</v>
      </c>
      <c r="E172" t="s">
        <v>7</v>
      </c>
    </row>
    <row r="173" spans="1:5" x14ac:dyDescent="0.25">
      <c r="A173" s="4" t="s">
        <v>5</v>
      </c>
      <c r="B173" s="5">
        <v>42486</v>
      </c>
      <c r="C173" s="6">
        <v>42.38</v>
      </c>
      <c r="D173" s="6">
        <v>42.29</v>
      </c>
      <c r="E173" t="s">
        <v>7</v>
      </c>
    </row>
    <row r="174" spans="1:5" x14ac:dyDescent="0.25">
      <c r="A174" s="4" t="s">
        <v>5</v>
      </c>
      <c r="B174" s="5">
        <v>42485</v>
      </c>
      <c r="C174" s="6">
        <v>42.2</v>
      </c>
      <c r="D174" s="6">
        <v>42.38</v>
      </c>
      <c r="E174" t="s">
        <v>6</v>
      </c>
    </row>
    <row r="175" spans="1:5" x14ac:dyDescent="0.25">
      <c r="A175" s="4" t="s">
        <v>5</v>
      </c>
      <c r="B175" s="5">
        <v>42482</v>
      </c>
      <c r="C175" s="6">
        <v>42.34</v>
      </c>
      <c r="D175" s="6">
        <v>42.2</v>
      </c>
      <c r="E175" t="s">
        <v>7</v>
      </c>
    </row>
    <row r="176" spans="1:5" x14ac:dyDescent="0.25">
      <c r="A176" s="4" t="s">
        <v>5</v>
      </c>
      <c r="B176" s="5">
        <v>42481</v>
      </c>
      <c r="C176" s="6">
        <v>42.38</v>
      </c>
      <c r="D176" s="6">
        <v>42.34</v>
      </c>
      <c r="E176" t="s">
        <v>7</v>
      </c>
    </row>
    <row r="177" spans="1:5" x14ac:dyDescent="0.25">
      <c r="A177" s="4" t="s">
        <v>5</v>
      </c>
      <c r="B177" s="5">
        <v>42480</v>
      </c>
      <c r="C177" s="6">
        <v>42.93</v>
      </c>
      <c r="D177" s="6">
        <v>42.38</v>
      </c>
      <c r="E177" t="s">
        <v>7</v>
      </c>
    </row>
    <row r="178" spans="1:5" x14ac:dyDescent="0.25">
      <c r="A178" s="4" t="s">
        <v>5</v>
      </c>
      <c r="B178" s="5">
        <v>42479</v>
      </c>
      <c r="C178" s="6">
        <v>43.3</v>
      </c>
      <c r="D178" s="6">
        <v>42.84</v>
      </c>
      <c r="E178" t="s">
        <v>7</v>
      </c>
    </row>
    <row r="179" spans="1:5" x14ac:dyDescent="0.25">
      <c r="A179" s="4" t="s">
        <v>5</v>
      </c>
      <c r="B179" s="5">
        <v>42478</v>
      </c>
      <c r="C179" s="6">
        <v>43.21</v>
      </c>
      <c r="D179" s="6">
        <v>43.3</v>
      </c>
      <c r="E179" t="s">
        <v>6</v>
      </c>
    </row>
    <row r="180" spans="1:5" x14ac:dyDescent="0.25">
      <c r="A180" s="4" t="s">
        <v>5</v>
      </c>
      <c r="B180" s="5">
        <v>42475</v>
      </c>
      <c r="C180" s="6">
        <v>43.48</v>
      </c>
      <c r="D180" s="6">
        <v>43.12</v>
      </c>
      <c r="E180" t="s">
        <v>7</v>
      </c>
    </row>
    <row r="181" spans="1:5" x14ac:dyDescent="0.25">
      <c r="A181" s="4" t="s">
        <v>5</v>
      </c>
      <c r="B181" s="5">
        <v>42474</v>
      </c>
      <c r="C181" s="6">
        <v>42.93</v>
      </c>
      <c r="D181" s="6">
        <v>43.3</v>
      </c>
      <c r="E181" t="s">
        <v>6</v>
      </c>
    </row>
    <row r="182" spans="1:5" x14ac:dyDescent="0.25">
      <c r="A182" s="4" t="s">
        <v>5</v>
      </c>
      <c r="B182" s="5">
        <v>42473</v>
      </c>
      <c r="C182" s="6">
        <v>42.61</v>
      </c>
      <c r="D182" s="6">
        <v>42.75</v>
      </c>
      <c r="E182" t="s">
        <v>6</v>
      </c>
    </row>
    <row r="183" spans="1:5" x14ac:dyDescent="0.25">
      <c r="A183" s="4" t="s">
        <v>5</v>
      </c>
      <c r="B183" s="5">
        <v>42472</v>
      </c>
      <c r="C183" s="6">
        <v>43.03</v>
      </c>
      <c r="D183" s="6">
        <v>42.61</v>
      </c>
      <c r="E183" t="s">
        <v>7</v>
      </c>
    </row>
    <row r="184" spans="1:5" x14ac:dyDescent="0.25">
      <c r="A184" s="4" t="s">
        <v>5</v>
      </c>
      <c r="B184" s="5">
        <v>42471</v>
      </c>
      <c r="C184" s="6">
        <v>43.3</v>
      </c>
      <c r="D184" s="6">
        <v>43.03</v>
      </c>
      <c r="E184" t="s">
        <v>7</v>
      </c>
    </row>
    <row r="185" spans="1:5" x14ac:dyDescent="0.25">
      <c r="A185" s="4" t="s">
        <v>5</v>
      </c>
      <c r="B185" s="5">
        <v>42468</v>
      </c>
      <c r="C185" s="6">
        <v>42.75</v>
      </c>
      <c r="D185" s="6">
        <v>43.35</v>
      </c>
      <c r="E185" t="s">
        <v>6</v>
      </c>
    </row>
    <row r="186" spans="1:5" x14ac:dyDescent="0.25">
      <c r="A186" s="4" t="s">
        <v>5</v>
      </c>
      <c r="B186" s="5">
        <v>42467</v>
      </c>
      <c r="C186" s="6">
        <v>43.76</v>
      </c>
      <c r="D186" s="6">
        <v>42.75</v>
      </c>
      <c r="E186" t="s">
        <v>7</v>
      </c>
    </row>
    <row r="187" spans="1:5" x14ac:dyDescent="0.25">
      <c r="A187" s="4" t="s">
        <v>5</v>
      </c>
      <c r="B187" s="5">
        <v>42466</v>
      </c>
      <c r="C187" s="6">
        <v>44.86</v>
      </c>
      <c r="D187" s="6">
        <v>44.12</v>
      </c>
      <c r="E187" t="s">
        <v>7</v>
      </c>
    </row>
    <row r="188" spans="1:5" x14ac:dyDescent="0.25">
      <c r="A188" s="4" t="s">
        <v>5</v>
      </c>
      <c r="B188" s="5">
        <v>42461</v>
      </c>
      <c r="C188" s="6">
        <v>45.13</v>
      </c>
      <c r="D188" s="6">
        <v>45.22</v>
      </c>
      <c r="E188" t="s">
        <v>6</v>
      </c>
    </row>
    <row r="189" spans="1:5" x14ac:dyDescent="0.25">
      <c r="A189" s="4" t="s">
        <v>5</v>
      </c>
      <c r="B189" s="5">
        <v>42460</v>
      </c>
      <c r="C189" s="6">
        <v>44.76</v>
      </c>
      <c r="D189" s="6">
        <v>45.13</v>
      </c>
      <c r="E189" t="s">
        <v>6</v>
      </c>
    </row>
    <row r="190" spans="1:5" x14ac:dyDescent="0.25">
      <c r="A190" s="4" t="s">
        <v>5</v>
      </c>
      <c r="B190" s="5">
        <v>42459</v>
      </c>
      <c r="C190" s="6">
        <v>44.67</v>
      </c>
      <c r="D190" s="6">
        <v>44.67</v>
      </c>
      <c r="E190" t="s">
        <v>8</v>
      </c>
    </row>
    <row r="191" spans="1:5" x14ac:dyDescent="0.25">
      <c r="A191" s="4" t="s">
        <v>5</v>
      </c>
      <c r="B191" s="5">
        <v>42458</v>
      </c>
      <c r="C191" s="6">
        <v>44.95</v>
      </c>
      <c r="D191" s="6">
        <v>44.67</v>
      </c>
      <c r="E191" t="s">
        <v>7</v>
      </c>
    </row>
    <row r="192" spans="1:5" x14ac:dyDescent="0.25">
      <c r="A192" s="4" t="s">
        <v>5</v>
      </c>
      <c r="B192" s="5">
        <v>42457</v>
      </c>
      <c r="C192" s="6">
        <v>44.9</v>
      </c>
      <c r="D192" s="6">
        <v>44.95</v>
      </c>
      <c r="E192" t="s">
        <v>6</v>
      </c>
    </row>
    <row r="193" spans="1:5" x14ac:dyDescent="0.25">
      <c r="A193" s="4" t="s">
        <v>5</v>
      </c>
      <c r="B193" s="5">
        <v>42454</v>
      </c>
      <c r="C193" s="6">
        <v>45.09</v>
      </c>
      <c r="D193" s="6">
        <v>44.9</v>
      </c>
      <c r="E193" t="s">
        <v>7</v>
      </c>
    </row>
    <row r="194" spans="1:5" x14ac:dyDescent="0.25">
      <c r="A194" s="4" t="s">
        <v>5</v>
      </c>
      <c r="B194" s="5">
        <v>42453</v>
      </c>
      <c r="C194" s="6">
        <v>45.31</v>
      </c>
      <c r="D194" s="6">
        <v>45.04</v>
      </c>
      <c r="E194" t="s">
        <v>7</v>
      </c>
    </row>
    <row r="195" spans="1:5" x14ac:dyDescent="0.25">
      <c r="A195" s="4" t="s">
        <v>5</v>
      </c>
      <c r="B195" s="5">
        <v>42452</v>
      </c>
      <c r="C195" s="6">
        <v>44.95</v>
      </c>
      <c r="D195" s="6">
        <v>45.27</v>
      </c>
      <c r="E195" t="s">
        <v>6</v>
      </c>
    </row>
    <row r="196" spans="1:5" x14ac:dyDescent="0.25">
      <c r="A196" s="4" t="s">
        <v>5</v>
      </c>
      <c r="B196" s="5">
        <v>42451</v>
      </c>
      <c r="C196" s="6">
        <v>45.13</v>
      </c>
      <c r="D196" s="6">
        <v>44.95</v>
      </c>
      <c r="E196" t="s">
        <v>7</v>
      </c>
    </row>
    <row r="197" spans="1:5" x14ac:dyDescent="0.25">
      <c r="A197" s="4" t="s">
        <v>5</v>
      </c>
      <c r="B197" s="5">
        <v>42450</v>
      </c>
      <c r="C197" s="6">
        <v>44.86</v>
      </c>
      <c r="D197" s="6">
        <v>44.95</v>
      </c>
      <c r="E197" t="s">
        <v>6</v>
      </c>
    </row>
    <row r="198" spans="1:5" x14ac:dyDescent="0.25">
      <c r="A198" s="4" t="s">
        <v>5</v>
      </c>
      <c r="B198" s="5">
        <v>42447</v>
      </c>
      <c r="C198" s="6">
        <v>44.17</v>
      </c>
      <c r="D198" s="6">
        <v>44.58</v>
      </c>
      <c r="E198" t="s">
        <v>6</v>
      </c>
    </row>
    <row r="199" spans="1:5" x14ac:dyDescent="0.25">
      <c r="A199" s="4" t="s">
        <v>5</v>
      </c>
      <c r="B199" s="5">
        <v>42446</v>
      </c>
      <c r="C199" s="6">
        <v>44.76</v>
      </c>
      <c r="D199" s="6">
        <v>44.08</v>
      </c>
      <c r="E199" t="s">
        <v>7</v>
      </c>
    </row>
    <row r="200" spans="1:5" x14ac:dyDescent="0.25">
      <c r="A200" s="4" t="s">
        <v>5</v>
      </c>
      <c r="B200" s="5">
        <v>42445</v>
      </c>
      <c r="C200" s="6">
        <v>44.67</v>
      </c>
      <c r="D200" s="6">
        <v>44.67</v>
      </c>
      <c r="E200" t="s">
        <v>8</v>
      </c>
    </row>
    <row r="201" spans="1:5" x14ac:dyDescent="0.25">
      <c r="A201" s="4" t="s">
        <v>5</v>
      </c>
      <c r="B201" s="5">
        <v>42444</v>
      </c>
      <c r="C201" s="6">
        <v>45.68</v>
      </c>
      <c r="D201" s="6">
        <v>44.63</v>
      </c>
      <c r="E201" t="s">
        <v>7</v>
      </c>
    </row>
    <row r="202" spans="1:5" x14ac:dyDescent="0.25">
      <c r="A202" s="4" t="s">
        <v>5</v>
      </c>
      <c r="B202" s="5">
        <v>42443</v>
      </c>
      <c r="C202" s="6">
        <v>46.05</v>
      </c>
      <c r="D202" s="6">
        <v>45.59</v>
      </c>
      <c r="E202" t="s">
        <v>7</v>
      </c>
    </row>
    <row r="203" spans="1:5" x14ac:dyDescent="0.25">
      <c r="A203" s="4" t="s">
        <v>5</v>
      </c>
      <c r="B203" s="5">
        <v>42440</v>
      </c>
      <c r="C203" s="6">
        <v>44.67</v>
      </c>
      <c r="D203" s="6">
        <v>45.68</v>
      </c>
      <c r="E203" t="s">
        <v>6</v>
      </c>
    </row>
    <row r="204" spans="1:5" x14ac:dyDescent="0.25">
      <c r="A204" s="4" t="s">
        <v>5</v>
      </c>
      <c r="B204" s="5">
        <v>42439</v>
      </c>
      <c r="C204" s="6">
        <v>44.58</v>
      </c>
      <c r="D204" s="6">
        <v>44.67</v>
      </c>
      <c r="E204" t="s">
        <v>6</v>
      </c>
    </row>
    <row r="205" spans="1:5" x14ac:dyDescent="0.25">
      <c r="A205" s="4" t="s">
        <v>5</v>
      </c>
      <c r="B205" s="5">
        <v>42438</v>
      </c>
      <c r="C205" s="6">
        <v>45.04</v>
      </c>
      <c r="D205" s="6">
        <v>44.58</v>
      </c>
      <c r="E205" t="s">
        <v>7</v>
      </c>
    </row>
    <row r="206" spans="1:5" x14ac:dyDescent="0.25">
      <c r="A206" s="4" t="s">
        <v>5</v>
      </c>
      <c r="B206" s="5">
        <v>42437</v>
      </c>
      <c r="C206" s="6">
        <v>45.95</v>
      </c>
      <c r="D206" s="6">
        <v>45.31</v>
      </c>
      <c r="E206" t="s">
        <v>7</v>
      </c>
    </row>
    <row r="207" spans="1:5" x14ac:dyDescent="0.25">
      <c r="A207" s="4" t="s">
        <v>5</v>
      </c>
      <c r="B207" s="5">
        <v>42436</v>
      </c>
      <c r="C207" s="6">
        <v>45.73</v>
      </c>
      <c r="D207" s="6">
        <v>45.95</v>
      </c>
      <c r="E207" t="s">
        <v>6</v>
      </c>
    </row>
    <row r="208" spans="1:5" x14ac:dyDescent="0.25">
      <c r="A208" s="4" t="s">
        <v>5</v>
      </c>
      <c r="B208" s="5">
        <v>42433</v>
      </c>
      <c r="C208" s="6">
        <v>45.41</v>
      </c>
      <c r="D208" s="6">
        <v>45.5</v>
      </c>
      <c r="E208" t="s">
        <v>6</v>
      </c>
    </row>
    <row r="209" spans="1:5" x14ac:dyDescent="0.25">
      <c r="A209" s="4" t="s">
        <v>5</v>
      </c>
      <c r="B209" s="5">
        <v>42432</v>
      </c>
      <c r="C209" s="6">
        <v>44.03</v>
      </c>
      <c r="D209" s="6">
        <v>45.36</v>
      </c>
      <c r="E209" t="s">
        <v>6</v>
      </c>
    </row>
    <row r="210" spans="1:5" x14ac:dyDescent="0.25">
      <c r="A210" s="4" t="s">
        <v>5</v>
      </c>
      <c r="B210" s="5">
        <v>42431</v>
      </c>
      <c r="C210" s="6">
        <v>42.66</v>
      </c>
      <c r="D210" s="6">
        <v>42.84</v>
      </c>
      <c r="E210" t="s">
        <v>6</v>
      </c>
    </row>
    <row r="211" spans="1:5" x14ac:dyDescent="0.25">
      <c r="A211" s="4" t="s">
        <v>5</v>
      </c>
      <c r="B211" s="5">
        <v>42430</v>
      </c>
      <c r="C211" s="6">
        <v>42.11</v>
      </c>
      <c r="D211" s="6">
        <v>42.61</v>
      </c>
      <c r="E211" t="s">
        <v>6</v>
      </c>
    </row>
    <row r="212" spans="1:5" x14ac:dyDescent="0.25">
      <c r="A212" s="4" t="s">
        <v>5</v>
      </c>
      <c r="B212" s="5">
        <v>42426</v>
      </c>
      <c r="C212" s="6">
        <v>42.29</v>
      </c>
      <c r="D212" s="6">
        <v>42.02</v>
      </c>
      <c r="E212" t="s">
        <v>7</v>
      </c>
    </row>
    <row r="213" spans="1:5" x14ac:dyDescent="0.25">
      <c r="A213" s="4" t="s">
        <v>5</v>
      </c>
      <c r="B213" s="5">
        <v>42425</v>
      </c>
      <c r="C213" s="6">
        <v>41.65</v>
      </c>
      <c r="D213" s="6">
        <v>42.2</v>
      </c>
      <c r="E213" t="s">
        <v>6</v>
      </c>
    </row>
    <row r="214" spans="1:5" x14ac:dyDescent="0.25">
      <c r="A214" s="4" t="s">
        <v>5</v>
      </c>
      <c r="B214" s="5">
        <v>42424</v>
      </c>
      <c r="C214" s="6">
        <v>41.65</v>
      </c>
      <c r="D214" s="6">
        <v>41.56</v>
      </c>
      <c r="E214" t="s">
        <v>7</v>
      </c>
    </row>
    <row r="215" spans="1:5" x14ac:dyDescent="0.25">
      <c r="A215" s="4" t="s">
        <v>5</v>
      </c>
      <c r="B215" s="5">
        <v>42423</v>
      </c>
      <c r="C215" s="6">
        <v>42.61</v>
      </c>
      <c r="D215" s="6">
        <v>41.97</v>
      </c>
      <c r="E215" t="s">
        <v>7</v>
      </c>
    </row>
    <row r="216" spans="1:5" x14ac:dyDescent="0.25">
      <c r="A216" s="4" t="s">
        <v>5</v>
      </c>
      <c r="B216" s="5">
        <v>42422</v>
      </c>
      <c r="C216" s="6">
        <v>40.42</v>
      </c>
      <c r="D216" s="6">
        <v>42.66</v>
      </c>
      <c r="E216" t="s">
        <v>6</v>
      </c>
    </row>
    <row r="217" spans="1:5" x14ac:dyDescent="0.25">
      <c r="A217" s="4" t="s">
        <v>5</v>
      </c>
      <c r="B217" s="5">
        <v>42419</v>
      </c>
      <c r="C217" s="6">
        <v>40.6</v>
      </c>
      <c r="D217" s="6">
        <v>40.28</v>
      </c>
      <c r="E217" t="s">
        <v>7</v>
      </c>
    </row>
    <row r="218" spans="1:5" x14ac:dyDescent="0.25">
      <c r="A218" s="4" t="s">
        <v>5</v>
      </c>
      <c r="B218" s="5">
        <v>42418</v>
      </c>
      <c r="C218" s="6">
        <v>40.65</v>
      </c>
      <c r="D218" s="6">
        <v>40.6</v>
      </c>
      <c r="E218" t="s">
        <v>7</v>
      </c>
    </row>
    <row r="219" spans="1:5" x14ac:dyDescent="0.25">
      <c r="A219" s="4" t="s">
        <v>5</v>
      </c>
      <c r="B219" s="5">
        <v>42417</v>
      </c>
      <c r="C219" s="6">
        <v>40.69</v>
      </c>
      <c r="D219" s="6">
        <v>40.549999999999997</v>
      </c>
      <c r="E219" t="s">
        <v>7</v>
      </c>
    </row>
    <row r="220" spans="1:5" x14ac:dyDescent="0.25">
      <c r="A220" s="4" t="s">
        <v>5</v>
      </c>
      <c r="B220" s="5">
        <v>42416</v>
      </c>
      <c r="C220" s="6">
        <v>40.28</v>
      </c>
      <c r="D220" s="6">
        <v>40.28</v>
      </c>
      <c r="E220" t="s">
        <v>8</v>
      </c>
    </row>
    <row r="221" spans="1:5" x14ac:dyDescent="0.25">
      <c r="A221" s="4" t="s">
        <v>5</v>
      </c>
      <c r="B221" s="5">
        <v>42415</v>
      </c>
      <c r="C221" s="6">
        <v>39.549999999999997</v>
      </c>
      <c r="D221" s="6">
        <v>39.78</v>
      </c>
      <c r="E221" t="s">
        <v>6</v>
      </c>
    </row>
    <row r="222" spans="1:5" x14ac:dyDescent="0.25">
      <c r="A222" s="4" t="s">
        <v>5</v>
      </c>
      <c r="B222" s="5">
        <v>42403</v>
      </c>
      <c r="C222" s="6">
        <v>40.46</v>
      </c>
      <c r="D222" s="6">
        <v>40.28</v>
      </c>
      <c r="E222" t="s">
        <v>7</v>
      </c>
    </row>
    <row r="223" spans="1:5" x14ac:dyDescent="0.25">
      <c r="A223" s="4" t="s">
        <v>5</v>
      </c>
      <c r="B223" s="5">
        <v>42402</v>
      </c>
      <c r="C223" s="6">
        <v>41.19</v>
      </c>
      <c r="D223" s="6">
        <v>40.74</v>
      </c>
      <c r="E223" t="s">
        <v>7</v>
      </c>
    </row>
    <row r="224" spans="1:5" x14ac:dyDescent="0.25">
      <c r="A224" s="4" t="s">
        <v>5</v>
      </c>
      <c r="B224" s="5">
        <v>42401</v>
      </c>
      <c r="C224" s="6">
        <v>42.11</v>
      </c>
      <c r="D224" s="6">
        <v>41.84</v>
      </c>
      <c r="E224" t="s">
        <v>7</v>
      </c>
    </row>
    <row r="225" spans="1:5" x14ac:dyDescent="0.25">
      <c r="A225" s="4" t="s">
        <v>5</v>
      </c>
      <c r="B225" s="5">
        <v>42399</v>
      </c>
      <c r="C225" s="6">
        <v>42.11</v>
      </c>
      <c r="D225" s="6">
        <v>42.48</v>
      </c>
      <c r="E225" t="s">
        <v>6</v>
      </c>
    </row>
    <row r="226" spans="1:5" x14ac:dyDescent="0.25">
      <c r="A226" s="4" t="s">
        <v>5</v>
      </c>
      <c r="B226" s="5">
        <v>42398</v>
      </c>
      <c r="C226" s="6">
        <v>39.549999999999997</v>
      </c>
      <c r="D226" s="6">
        <v>41.65</v>
      </c>
      <c r="E226" t="s">
        <v>6</v>
      </c>
    </row>
    <row r="227" spans="1:5" x14ac:dyDescent="0.25">
      <c r="A227" s="4" t="s">
        <v>5</v>
      </c>
      <c r="B227" s="5">
        <v>42397</v>
      </c>
      <c r="C227" s="6">
        <v>40</v>
      </c>
      <c r="D227" s="6">
        <v>39.78</v>
      </c>
      <c r="E227" t="s">
        <v>7</v>
      </c>
    </row>
    <row r="228" spans="1:5" x14ac:dyDescent="0.25">
      <c r="A228" s="4" t="s">
        <v>5</v>
      </c>
      <c r="B228" s="5">
        <v>42396</v>
      </c>
      <c r="C228" s="6">
        <v>40.74</v>
      </c>
      <c r="D228" s="6">
        <v>40.14</v>
      </c>
      <c r="E228" t="s">
        <v>7</v>
      </c>
    </row>
    <row r="229" spans="1:5" x14ac:dyDescent="0.25">
      <c r="A229" s="4" t="s">
        <v>5</v>
      </c>
      <c r="B229" s="5">
        <v>42395</v>
      </c>
      <c r="C229" s="6">
        <v>40.369999999999997</v>
      </c>
      <c r="D229" s="6">
        <v>40.46</v>
      </c>
      <c r="E229" t="s">
        <v>6</v>
      </c>
    </row>
    <row r="230" spans="1:5" x14ac:dyDescent="0.25">
      <c r="A230" s="4" t="s">
        <v>5</v>
      </c>
      <c r="B230" s="5">
        <v>42394</v>
      </c>
      <c r="C230" s="6">
        <v>40.46</v>
      </c>
      <c r="D230" s="6">
        <v>40.92</v>
      </c>
      <c r="E230" t="s">
        <v>6</v>
      </c>
    </row>
    <row r="231" spans="1:5" x14ac:dyDescent="0.25">
      <c r="A231" s="4" t="s">
        <v>5</v>
      </c>
      <c r="B231" s="5">
        <v>42391</v>
      </c>
      <c r="C231" s="6">
        <v>40.869999999999997</v>
      </c>
      <c r="D231" s="6">
        <v>40.42</v>
      </c>
      <c r="E231" t="s">
        <v>7</v>
      </c>
    </row>
    <row r="232" spans="1:5" x14ac:dyDescent="0.25">
      <c r="A232" s="4" t="s">
        <v>5</v>
      </c>
      <c r="B232" s="5">
        <v>42390</v>
      </c>
      <c r="C232" s="6">
        <v>41.19</v>
      </c>
      <c r="D232" s="6">
        <v>40.28</v>
      </c>
      <c r="E232" t="s">
        <v>7</v>
      </c>
    </row>
    <row r="233" spans="1:5" x14ac:dyDescent="0.25">
      <c r="A233" s="4" t="s">
        <v>5</v>
      </c>
      <c r="B233" s="5">
        <v>42389</v>
      </c>
      <c r="C233" s="6">
        <v>41.88</v>
      </c>
      <c r="D233" s="6">
        <v>40.869999999999997</v>
      </c>
      <c r="E233" t="s">
        <v>7</v>
      </c>
    </row>
    <row r="234" spans="1:5" x14ac:dyDescent="0.25">
      <c r="A234" s="4" t="s">
        <v>5</v>
      </c>
      <c r="B234" s="5">
        <v>42388</v>
      </c>
      <c r="C234" s="6">
        <v>42.25</v>
      </c>
      <c r="D234" s="6">
        <v>41.47</v>
      </c>
      <c r="E234" t="s">
        <v>7</v>
      </c>
    </row>
    <row r="235" spans="1:5" x14ac:dyDescent="0.25">
      <c r="A235" s="4" t="s">
        <v>5</v>
      </c>
      <c r="B235" s="5">
        <v>42387</v>
      </c>
      <c r="C235" s="6">
        <v>39.549999999999997</v>
      </c>
      <c r="D235" s="6">
        <v>42.16</v>
      </c>
      <c r="E235" t="s">
        <v>6</v>
      </c>
    </row>
    <row r="236" spans="1:5" x14ac:dyDescent="0.25">
      <c r="A236" s="4" t="s">
        <v>5</v>
      </c>
      <c r="B236" s="5">
        <v>42384</v>
      </c>
      <c r="C236" s="6">
        <v>40.19</v>
      </c>
      <c r="D236" s="6">
        <v>40.19</v>
      </c>
      <c r="E236" t="s">
        <v>8</v>
      </c>
    </row>
    <row r="237" spans="1:5" x14ac:dyDescent="0.25">
      <c r="A237" s="4" t="s">
        <v>5</v>
      </c>
      <c r="B237" s="5">
        <v>42383</v>
      </c>
      <c r="C237" s="6">
        <v>40.74</v>
      </c>
      <c r="D237" s="6">
        <v>39.96</v>
      </c>
      <c r="E237" t="s">
        <v>7</v>
      </c>
    </row>
    <row r="238" spans="1:5" x14ac:dyDescent="0.25">
      <c r="A238" s="4" t="s">
        <v>5</v>
      </c>
      <c r="B238" s="5">
        <v>42382</v>
      </c>
      <c r="C238" s="6">
        <v>41.15</v>
      </c>
      <c r="D238" s="6">
        <v>40.83</v>
      </c>
      <c r="E238" t="s">
        <v>7</v>
      </c>
    </row>
    <row r="239" spans="1:5" x14ac:dyDescent="0.25">
      <c r="A239" s="4" t="s">
        <v>5</v>
      </c>
      <c r="B239" s="5">
        <v>42381</v>
      </c>
      <c r="C239" s="6">
        <v>41.47</v>
      </c>
      <c r="D239" s="6">
        <v>41.1</v>
      </c>
      <c r="E239" t="s">
        <v>7</v>
      </c>
    </row>
    <row r="240" spans="1:5" x14ac:dyDescent="0.25">
      <c r="A240" s="4" t="s">
        <v>5</v>
      </c>
      <c r="B240" s="5">
        <v>42380</v>
      </c>
      <c r="C240" s="6">
        <v>42.25</v>
      </c>
      <c r="D240" s="6">
        <v>41.47</v>
      </c>
      <c r="E240" t="s">
        <v>7</v>
      </c>
    </row>
    <row r="241" spans="1:5" x14ac:dyDescent="0.25">
      <c r="A241" s="4" t="s">
        <v>5</v>
      </c>
      <c r="B241" s="5">
        <v>42377</v>
      </c>
      <c r="C241" s="6">
        <v>41.19</v>
      </c>
      <c r="D241" s="6">
        <v>42.25</v>
      </c>
      <c r="E241" t="s">
        <v>6</v>
      </c>
    </row>
    <row r="242" spans="1:5" x14ac:dyDescent="0.25">
      <c r="A242" s="4" t="s">
        <v>5</v>
      </c>
      <c r="B242" s="5">
        <v>42376</v>
      </c>
      <c r="C242" s="6">
        <v>43.21</v>
      </c>
      <c r="D242" s="6">
        <v>41.29</v>
      </c>
      <c r="E242" t="s">
        <v>7</v>
      </c>
    </row>
    <row r="243" spans="1:5" x14ac:dyDescent="0.25">
      <c r="A243" s="4" t="s">
        <v>5</v>
      </c>
      <c r="B243" s="5">
        <v>42375</v>
      </c>
      <c r="C243" s="6">
        <v>43.85</v>
      </c>
      <c r="D243" s="6">
        <v>43.48</v>
      </c>
      <c r="E243" t="s">
        <v>7</v>
      </c>
    </row>
    <row r="244" spans="1:5" x14ac:dyDescent="0.25">
      <c r="A244" s="4" t="s">
        <v>5</v>
      </c>
      <c r="B244" s="5">
        <v>42374</v>
      </c>
      <c r="C244" s="6">
        <v>44.12</v>
      </c>
      <c r="D244" s="6">
        <v>43.76</v>
      </c>
      <c r="E244" t="s">
        <v>7</v>
      </c>
    </row>
    <row r="245" spans="1:5" ht="17.25" thickBot="1" x14ac:dyDescent="0.3">
      <c r="A245" s="7" t="s">
        <v>5</v>
      </c>
      <c r="B245" s="8">
        <v>42373</v>
      </c>
      <c r="C245" s="9">
        <v>44.86</v>
      </c>
      <c r="D245" s="9">
        <v>44.12</v>
      </c>
      <c r="E245" t="s">
        <v>7</v>
      </c>
    </row>
  </sheetData>
  <mergeCells count="1">
    <mergeCell ref="H2:N2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D_Button_Click">
                <anchor moveWithCells="1" sizeWithCells="1">
                  <from>
                    <xdr:col>5</xdr:col>
                    <xdr:colOff>9525</xdr:colOff>
                    <xdr:row>2</xdr:row>
                    <xdr:rowOff>200025</xdr:rowOff>
                  </from>
                  <to>
                    <xdr:col>7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ID_Button_Clean">
                <anchor moveWithCells="1" sizeWithCells="1">
                  <from>
                    <xdr:col>4</xdr:col>
                    <xdr:colOff>676275</xdr:colOff>
                    <xdr:row>7</xdr:row>
                    <xdr:rowOff>171450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>
    <tabColor rgb="FFFFFF00"/>
  </sheetPr>
  <dimension ref="A1:L320"/>
  <sheetViews>
    <sheetView workbookViewId="0">
      <selection activeCell="M5" sqref="M5"/>
    </sheetView>
  </sheetViews>
  <sheetFormatPr defaultRowHeight="16.5" x14ac:dyDescent="0.25"/>
  <cols>
    <col min="13" max="13" width="4.125" customWidth="1"/>
  </cols>
  <sheetData>
    <row r="1" spans="1:12" x14ac:dyDescent="0.25">
      <c r="A1" s="18" t="s">
        <v>0</v>
      </c>
      <c r="B1" s="2" t="s">
        <v>1</v>
      </c>
      <c r="C1" s="18" t="s">
        <v>2</v>
      </c>
      <c r="D1" s="18" t="s">
        <v>117</v>
      </c>
      <c r="E1" s="18" t="s">
        <v>118</v>
      </c>
      <c r="F1" s="18" t="s">
        <v>3</v>
      </c>
      <c r="G1" s="41" t="s">
        <v>119</v>
      </c>
      <c r="H1" s="41" t="s">
        <v>120</v>
      </c>
      <c r="I1" s="42" t="s">
        <v>121</v>
      </c>
      <c r="J1" s="42" t="s">
        <v>122</v>
      </c>
      <c r="K1" s="42" t="s">
        <v>123</v>
      </c>
      <c r="L1" s="3" t="s">
        <v>124</v>
      </c>
    </row>
    <row r="2" spans="1:12" x14ac:dyDescent="0.25">
      <c r="A2" s="15" t="s">
        <v>27</v>
      </c>
      <c r="B2" s="16">
        <v>42853</v>
      </c>
      <c r="C2" s="17">
        <v>193.5</v>
      </c>
      <c r="D2" s="17">
        <v>194.5</v>
      </c>
      <c r="E2" s="17">
        <v>193</v>
      </c>
      <c r="F2" s="17">
        <v>194.5</v>
      </c>
      <c r="G2" s="43">
        <f t="shared" ref="G2:G65" si="0">MAX(D2:D10)</f>
        <v>194.5</v>
      </c>
      <c r="H2" s="43">
        <f t="shared" ref="H2:H65" si="1">MIN(E2:E10)</f>
        <v>186.5</v>
      </c>
      <c r="I2" s="44">
        <f>RSV(F2,G2,H2)</f>
        <v>100</v>
      </c>
      <c r="J2" s="44">
        <f>K(I2,J3)</f>
        <v>85.592542302688457</v>
      </c>
      <c r="K2" s="44">
        <f>D(J2,K3)</f>
        <v>67.729652986655154</v>
      </c>
      <c r="L2" s="13" t="s">
        <v>125</v>
      </c>
    </row>
    <row r="3" spans="1:12" x14ac:dyDescent="0.25">
      <c r="A3" s="15" t="s">
        <v>27</v>
      </c>
      <c r="B3" s="16">
        <v>42852</v>
      </c>
      <c r="C3" s="17">
        <v>192</v>
      </c>
      <c r="D3" s="17">
        <v>193</v>
      </c>
      <c r="E3" s="17">
        <v>190.5</v>
      </c>
      <c r="F3" s="17">
        <v>193</v>
      </c>
      <c r="G3" s="43">
        <f t="shared" si="0"/>
        <v>193</v>
      </c>
      <c r="H3" s="43">
        <f t="shared" si="1"/>
        <v>186.5</v>
      </c>
      <c r="I3" s="44">
        <f t="shared" ref="I3:I66" si="2">RSV(F3,G3,H3)</f>
        <v>100</v>
      </c>
      <c r="J3" s="44">
        <f t="shared" ref="J3:J66" si="3">K(I3,J4)</f>
        <v>78.388813454032686</v>
      </c>
      <c r="K3" s="44">
        <f t="shared" ref="K3:K66" si="4">D(J3,K4)</f>
        <v>58.798208328638509</v>
      </c>
      <c r="L3" s="13" t="s">
        <v>125</v>
      </c>
    </row>
    <row r="4" spans="1:12" x14ac:dyDescent="0.25">
      <c r="A4" s="15" t="s">
        <v>27</v>
      </c>
      <c r="B4" s="16">
        <v>42851</v>
      </c>
      <c r="C4" s="17">
        <v>192</v>
      </c>
      <c r="D4" s="17">
        <v>192</v>
      </c>
      <c r="E4" s="17">
        <v>190.5</v>
      </c>
      <c r="F4" s="17">
        <v>191</v>
      </c>
      <c r="G4" s="43">
        <f t="shared" si="0"/>
        <v>192</v>
      </c>
      <c r="H4" s="43">
        <f t="shared" si="1"/>
        <v>186.5</v>
      </c>
      <c r="I4" s="44">
        <f t="shared" si="2"/>
        <v>81.818181818181827</v>
      </c>
      <c r="J4" s="44">
        <f t="shared" si="3"/>
        <v>67.583220181049029</v>
      </c>
      <c r="K4" s="44">
        <f t="shared" si="4"/>
        <v>49.002905765941421</v>
      </c>
      <c r="L4" s="13" t="s">
        <v>125</v>
      </c>
    </row>
    <row r="5" spans="1:12" x14ac:dyDescent="0.25">
      <c r="A5" s="15" t="s">
        <v>27</v>
      </c>
      <c r="B5" s="16">
        <v>42850</v>
      </c>
      <c r="C5" s="17">
        <v>190.5</v>
      </c>
      <c r="D5" s="17">
        <v>192</v>
      </c>
      <c r="E5" s="17">
        <v>189.5</v>
      </c>
      <c r="F5" s="17">
        <v>192</v>
      </c>
      <c r="G5" s="43">
        <f t="shared" si="0"/>
        <v>192</v>
      </c>
      <c r="H5" s="43">
        <f t="shared" si="1"/>
        <v>186.5</v>
      </c>
      <c r="I5" s="44">
        <f t="shared" si="2"/>
        <v>100</v>
      </c>
      <c r="J5" s="44">
        <f t="shared" si="3"/>
        <v>60.465739362482644</v>
      </c>
      <c r="K5" s="44">
        <f t="shared" si="4"/>
        <v>39.712748558387617</v>
      </c>
      <c r="L5" s="13" t="s">
        <v>125</v>
      </c>
    </row>
    <row r="6" spans="1:12" x14ac:dyDescent="0.25">
      <c r="A6" s="15" t="s">
        <v>27</v>
      </c>
      <c r="B6" s="16">
        <v>42849</v>
      </c>
      <c r="C6" s="17">
        <v>191</v>
      </c>
      <c r="D6" s="17">
        <v>191.5</v>
      </c>
      <c r="E6" s="17">
        <v>188.5</v>
      </c>
      <c r="F6" s="17">
        <v>190</v>
      </c>
      <c r="G6" s="43">
        <f t="shared" si="0"/>
        <v>192</v>
      </c>
      <c r="H6" s="43">
        <f t="shared" si="1"/>
        <v>186.5</v>
      </c>
      <c r="I6" s="44">
        <f t="shared" si="2"/>
        <v>63.636363636363633</v>
      </c>
      <c r="J6" s="44">
        <f t="shared" si="3"/>
        <v>40.698609043723977</v>
      </c>
      <c r="K6" s="44">
        <f t="shared" si="4"/>
        <v>29.336253156340099</v>
      </c>
      <c r="L6" s="13" t="s">
        <v>125</v>
      </c>
    </row>
    <row r="7" spans="1:12" x14ac:dyDescent="0.25">
      <c r="A7" s="15" t="s">
        <v>27</v>
      </c>
      <c r="B7" s="16">
        <v>42846</v>
      </c>
      <c r="C7" s="17">
        <v>187.5</v>
      </c>
      <c r="D7" s="17">
        <v>190</v>
      </c>
      <c r="E7" s="17">
        <v>187.5</v>
      </c>
      <c r="F7" s="17">
        <v>190</v>
      </c>
      <c r="G7" s="43">
        <f t="shared" si="0"/>
        <v>192</v>
      </c>
      <c r="H7" s="43">
        <f t="shared" si="1"/>
        <v>186.5</v>
      </c>
      <c r="I7" s="44">
        <f t="shared" si="2"/>
        <v>63.636363636363633</v>
      </c>
      <c r="J7" s="44">
        <f t="shared" si="3"/>
        <v>29.229731747404145</v>
      </c>
      <c r="K7" s="44">
        <f t="shared" si="4"/>
        <v>23.655075212648164</v>
      </c>
      <c r="L7" s="13" t="s">
        <v>125</v>
      </c>
    </row>
    <row r="8" spans="1:12" x14ac:dyDescent="0.25">
      <c r="A8" s="15" t="s">
        <v>27</v>
      </c>
      <c r="B8" s="16">
        <v>42845</v>
      </c>
      <c r="C8" s="17">
        <v>186.5</v>
      </c>
      <c r="D8" s="17">
        <v>188</v>
      </c>
      <c r="E8" s="17">
        <v>186.5</v>
      </c>
      <c r="F8" s="17">
        <v>187</v>
      </c>
      <c r="G8" s="43">
        <f t="shared" si="0"/>
        <v>192</v>
      </c>
      <c r="H8" s="43">
        <f t="shared" si="1"/>
        <v>186.5</v>
      </c>
      <c r="I8" s="44">
        <f t="shared" si="2"/>
        <v>9.0909090909090917</v>
      </c>
      <c r="J8" s="44">
        <f t="shared" si="3"/>
        <v>12.026415802924404</v>
      </c>
      <c r="K8" s="44">
        <f t="shared" si="4"/>
        <v>20.867746945270177</v>
      </c>
      <c r="L8" s="13" t="s">
        <v>126</v>
      </c>
    </row>
    <row r="9" spans="1:12" x14ac:dyDescent="0.25">
      <c r="A9" s="15" t="s">
        <v>27</v>
      </c>
      <c r="B9" s="16">
        <v>42844</v>
      </c>
      <c r="C9" s="17">
        <v>187.5</v>
      </c>
      <c r="D9" s="17">
        <v>187.5</v>
      </c>
      <c r="E9" s="17">
        <v>186.5</v>
      </c>
      <c r="F9" s="17">
        <v>186.5</v>
      </c>
      <c r="G9" s="43">
        <f t="shared" si="0"/>
        <v>192</v>
      </c>
      <c r="H9" s="43">
        <f t="shared" si="1"/>
        <v>186.5</v>
      </c>
      <c r="I9" s="44">
        <f t="shared" si="2"/>
        <v>0</v>
      </c>
      <c r="J9" s="44">
        <f t="shared" si="3"/>
        <v>13.494169158932063</v>
      </c>
      <c r="K9" s="44">
        <f t="shared" si="4"/>
        <v>25.288412516443067</v>
      </c>
      <c r="L9" s="13" t="s">
        <v>126</v>
      </c>
    </row>
    <row r="10" spans="1:12" x14ac:dyDescent="0.25">
      <c r="A10" s="15" t="s">
        <v>27</v>
      </c>
      <c r="B10" s="16">
        <v>42843</v>
      </c>
      <c r="C10" s="17">
        <v>188</v>
      </c>
      <c r="D10" s="17">
        <v>189.5</v>
      </c>
      <c r="E10" s="17">
        <v>187.5</v>
      </c>
      <c r="F10" s="17">
        <v>188</v>
      </c>
      <c r="G10" s="43">
        <f t="shared" si="0"/>
        <v>193</v>
      </c>
      <c r="H10" s="43">
        <f t="shared" si="1"/>
        <v>187.5</v>
      </c>
      <c r="I10" s="44">
        <f t="shared" si="2"/>
        <v>9.0909090909090917</v>
      </c>
      <c r="J10" s="44">
        <f t="shared" si="3"/>
        <v>20.241253738398097</v>
      </c>
      <c r="K10" s="44">
        <f t="shared" si="4"/>
        <v>31.185534195198571</v>
      </c>
      <c r="L10" s="13" t="s">
        <v>126</v>
      </c>
    </row>
    <row r="11" spans="1:12" x14ac:dyDescent="0.25">
      <c r="A11" s="15" t="s">
        <v>27</v>
      </c>
      <c r="B11" s="16">
        <v>42842</v>
      </c>
      <c r="C11" s="17">
        <v>189</v>
      </c>
      <c r="D11" s="17">
        <v>189</v>
      </c>
      <c r="E11" s="17">
        <v>187.5</v>
      </c>
      <c r="F11" s="17">
        <v>187.5</v>
      </c>
      <c r="G11" s="43">
        <f t="shared" si="0"/>
        <v>193</v>
      </c>
      <c r="H11" s="43">
        <f t="shared" si="1"/>
        <v>187.5</v>
      </c>
      <c r="I11" s="44">
        <f t="shared" si="2"/>
        <v>0</v>
      </c>
      <c r="J11" s="44">
        <f t="shared" si="3"/>
        <v>25.8164260621426</v>
      </c>
      <c r="K11" s="44">
        <f t="shared" si="4"/>
        <v>36.657674423598813</v>
      </c>
      <c r="L11" s="13" t="s">
        <v>126</v>
      </c>
    </row>
    <row r="12" spans="1:12" x14ac:dyDescent="0.25">
      <c r="A12" s="15" t="s">
        <v>27</v>
      </c>
      <c r="B12" s="16">
        <v>42839</v>
      </c>
      <c r="C12" s="17">
        <v>189.5</v>
      </c>
      <c r="D12" s="17">
        <v>189.5</v>
      </c>
      <c r="E12" s="17">
        <v>188</v>
      </c>
      <c r="F12" s="17">
        <v>189</v>
      </c>
      <c r="G12" s="43">
        <f t="shared" si="0"/>
        <v>193</v>
      </c>
      <c r="H12" s="43">
        <f t="shared" si="1"/>
        <v>188</v>
      </c>
      <c r="I12" s="44">
        <f t="shared" si="2"/>
        <v>20</v>
      </c>
      <c r="J12" s="44">
        <f t="shared" si="3"/>
        <v>38.724639093213902</v>
      </c>
      <c r="K12" s="44">
        <f t="shared" si="4"/>
        <v>42.078298604326925</v>
      </c>
      <c r="L12" s="13" t="s">
        <v>126</v>
      </c>
    </row>
    <row r="13" spans="1:12" x14ac:dyDescent="0.25">
      <c r="A13" s="15" t="s">
        <v>27</v>
      </c>
      <c r="B13" s="16">
        <v>42838</v>
      </c>
      <c r="C13" s="17">
        <v>189.5</v>
      </c>
      <c r="D13" s="17">
        <v>192</v>
      </c>
      <c r="E13" s="17">
        <v>189.5</v>
      </c>
      <c r="F13" s="17">
        <v>191.5</v>
      </c>
      <c r="G13" s="43">
        <f t="shared" si="0"/>
        <v>193</v>
      </c>
      <c r="H13" s="43">
        <f t="shared" si="1"/>
        <v>188.5</v>
      </c>
      <c r="I13" s="44">
        <f t="shared" si="2"/>
        <v>66.666666666666657</v>
      </c>
      <c r="J13" s="44">
        <f t="shared" si="3"/>
        <v>48.086958639820864</v>
      </c>
      <c r="K13" s="44">
        <f t="shared" si="4"/>
        <v>43.755128359883443</v>
      </c>
      <c r="L13" s="13" t="s">
        <v>125</v>
      </c>
    </row>
    <row r="14" spans="1:12" x14ac:dyDescent="0.25">
      <c r="A14" s="15" t="s">
        <v>27</v>
      </c>
      <c r="B14" s="16">
        <v>42837</v>
      </c>
      <c r="C14" s="17">
        <v>190.5</v>
      </c>
      <c r="D14" s="17">
        <v>191.5</v>
      </c>
      <c r="E14" s="17">
        <v>190</v>
      </c>
      <c r="F14" s="17">
        <v>191</v>
      </c>
      <c r="G14" s="43">
        <f t="shared" si="0"/>
        <v>194.5</v>
      </c>
      <c r="H14" s="43">
        <f t="shared" si="1"/>
        <v>188.5</v>
      </c>
      <c r="I14" s="44">
        <f t="shared" si="2"/>
        <v>41.666666666666671</v>
      </c>
      <c r="J14" s="44">
        <f t="shared" si="3"/>
        <v>38.797104626397974</v>
      </c>
      <c r="K14" s="44">
        <f t="shared" si="4"/>
        <v>41.58921321991474</v>
      </c>
      <c r="L14" s="13" t="s">
        <v>126</v>
      </c>
    </row>
    <row r="15" spans="1:12" x14ac:dyDescent="0.25">
      <c r="A15" s="15" t="s">
        <v>27</v>
      </c>
      <c r="B15" s="16">
        <v>42836</v>
      </c>
      <c r="C15" s="17">
        <v>190</v>
      </c>
      <c r="D15" s="17">
        <v>191</v>
      </c>
      <c r="E15" s="17">
        <v>189</v>
      </c>
      <c r="F15" s="17">
        <v>191</v>
      </c>
      <c r="G15" s="43">
        <f t="shared" si="0"/>
        <v>195</v>
      </c>
      <c r="H15" s="43">
        <f t="shared" si="1"/>
        <v>188.5</v>
      </c>
      <c r="I15" s="44">
        <f t="shared" si="2"/>
        <v>38.461538461538467</v>
      </c>
      <c r="J15" s="44">
        <f t="shared" si="3"/>
        <v>37.362323606263629</v>
      </c>
      <c r="K15" s="44">
        <f t="shared" si="4"/>
        <v>42.985267516673119</v>
      </c>
      <c r="L15" s="13" t="s">
        <v>126</v>
      </c>
    </row>
    <row r="16" spans="1:12" x14ac:dyDescent="0.25">
      <c r="A16" s="15" t="s">
        <v>27</v>
      </c>
      <c r="B16" s="16">
        <v>42835</v>
      </c>
      <c r="C16" s="17">
        <v>191</v>
      </c>
      <c r="D16" s="17">
        <v>191.5</v>
      </c>
      <c r="E16" s="17">
        <v>189.5</v>
      </c>
      <c r="F16" s="17">
        <v>190</v>
      </c>
      <c r="G16" s="43">
        <f t="shared" si="0"/>
        <v>195</v>
      </c>
      <c r="H16" s="43">
        <f t="shared" si="1"/>
        <v>188.5</v>
      </c>
      <c r="I16" s="44">
        <f t="shared" si="2"/>
        <v>23.076923076923077</v>
      </c>
      <c r="J16" s="44">
        <f t="shared" si="3"/>
        <v>36.812716178626218</v>
      </c>
      <c r="K16" s="44">
        <f t="shared" si="4"/>
        <v>45.796739471877864</v>
      </c>
      <c r="L16" s="13" t="s">
        <v>126</v>
      </c>
    </row>
    <row r="17" spans="1:12" x14ac:dyDescent="0.25">
      <c r="A17" s="15" t="s">
        <v>27</v>
      </c>
      <c r="B17" s="16">
        <v>42832</v>
      </c>
      <c r="C17" s="17">
        <v>192</v>
      </c>
      <c r="D17" s="17">
        <v>192</v>
      </c>
      <c r="E17" s="17">
        <v>188.5</v>
      </c>
      <c r="F17" s="17">
        <v>191</v>
      </c>
      <c r="G17" s="43">
        <f t="shared" si="0"/>
        <v>195</v>
      </c>
      <c r="H17" s="43">
        <f t="shared" si="1"/>
        <v>188.5</v>
      </c>
      <c r="I17" s="44">
        <f t="shared" si="2"/>
        <v>38.461538461538467</v>
      </c>
      <c r="J17" s="44">
        <f t="shared" si="3"/>
        <v>43.680612729477787</v>
      </c>
      <c r="K17" s="44">
        <f t="shared" si="4"/>
        <v>50.28875111850369</v>
      </c>
      <c r="L17" s="13" t="s">
        <v>126</v>
      </c>
    </row>
    <row r="18" spans="1:12" x14ac:dyDescent="0.25">
      <c r="A18" s="15" t="s">
        <v>27</v>
      </c>
      <c r="B18" s="16">
        <v>42831</v>
      </c>
      <c r="C18" s="17">
        <v>193</v>
      </c>
      <c r="D18" s="17">
        <v>193</v>
      </c>
      <c r="E18" s="17">
        <v>191</v>
      </c>
      <c r="F18" s="17">
        <v>191.5</v>
      </c>
      <c r="G18" s="43">
        <f t="shared" si="0"/>
        <v>195</v>
      </c>
      <c r="H18" s="43">
        <f t="shared" si="1"/>
        <v>189</v>
      </c>
      <c r="I18" s="44">
        <f t="shared" si="2"/>
        <v>41.666666666666671</v>
      </c>
      <c r="J18" s="44">
        <f t="shared" si="3"/>
        <v>46.290149863447454</v>
      </c>
      <c r="K18" s="44">
        <f t="shared" si="4"/>
        <v>53.592820313016645</v>
      </c>
      <c r="L18" s="13" t="s">
        <v>126</v>
      </c>
    </row>
    <row r="19" spans="1:12" x14ac:dyDescent="0.25">
      <c r="A19" s="15" t="s">
        <v>27</v>
      </c>
      <c r="B19" s="16">
        <v>42830</v>
      </c>
      <c r="C19" s="17">
        <v>189.5</v>
      </c>
      <c r="D19" s="17">
        <v>193</v>
      </c>
      <c r="E19" s="17">
        <v>189.5</v>
      </c>
      <c r="F19" s="17">
        <v>193</v>
      </c>
      <c r="G19" s="43">
        <f t="shared" si="0"/>
        <v>195</v>
      </c>
      <c r="H19" s="43">
        <f t="shared" si="1"/>
        <v>189</v>
      </c>
      <c r="I19" s="44">
        <f t="shared" si="2"/>
        <v>66.666666666666657</v>
      </c>
      <c r="J19" s="44">
        <f t="shared" si="3"/>
        <v>48.601891461837859</v>
      </c>
      <c r="K19" s="44">
        <f t="shared" si="4"/>
        <v>57.244155537801241</v>
      </c>
      <c r="L19" s="13" t="s">
        <v>126</v>
      </c>
    </row>
    <row r="20" spans="1:12" x14ac:dyDescent="0.25">
      <c r="A20" s="15" t="s">
        <v>27</v>
      </c>
      <c r="B20" s="16">
        <v>42825</v>
      </c>
      <c r="C20" s="17">
        <v>191</v>
      </c>
      <c r="D20" s="17">
        <v>192</v>
      </c>
      <c r="E20" s="17">
        <v>189</v>
      </c>
      <c r="F20" s="17">
        <v>189</v>
      </c>
      <c r="G20" s="43">
        <f t="shared" si="0"/>
        <v>195</v>
      </c>
      <c r="H20" s="43">
        <f t="shared" si="1"/>
        <v>189</v>
      </c>
      <c r="I20" s="44">
        <f t="shared" si="2"/>
        <v>0</v>
      </c>
      <c r="J20" s="44">
        <f t="shared" si="3"/>
        <v>39.569503859423463</v>
      </c>
      <c r="K20" s="44">
        <f t="shared" si="4"/>
        <v>61.565287575782939</v>
      </c>
      <c r="L20" s="13" t="s">
        <v>126</v>
      </c>
    </row>
    <row r="21" spans="1:12" x14ac:dyDescent="0.25">
      <c r="A21" s="15" t="s">
        <v>27</v>
      </c>
      <c r="B21" s="16">
        <v>42824</v>
      </c>
      <c r="C21" s="17">
        <v>192.5</v>
      </c>
      <c r="D21" s="17">
        <v>193</v>
      </c>
      <c r="E21" s="17">
        <v>190.5</v>
      </c>
      <c r="F21" s="17">
        <v>191.5</v>
      </c>
      <c r="G21" s="43">
        <f t="shared" si="0"/>
        <v>195</v>
      </c>
      <c r="H21" s="43">
        <f t="shared" si="1"/>
        <v>189.5</v>
      </c>
      <c r="I21" s="44">
        <f t="shared" si="2"/>
        <v>36.363636363636367</v>
      </c>
      <c r="J21" s="44">
        <f t="shared" si="3"/>
        <v>59.354255789135195</v>
      </c>
      <c r="K21" s="44">
        <f t="shared" si="4"/>
        <v>72.563179433962688</v>
      </c>
      <c r="L21" s="13" t="s">
        <v>126</v>
      </c>
    </row>
    <row r="22" spans="1:12" x14ac:dyDescent="0.25">
      <c r="A22" s="15" t="s">
        <v>27</v>
      </c>
      <c r="B22" s="16">
        <v>42823</v>
      </c>
      <c r="C22" s="17">
        <v>194.5</v>
      </c>
      <c r="D22" s="17">
        <v>194.5</v>
      </c>
      <c r="E22" s="17">
        <v>191</v>
      </c>
      <c r="F22" s="17">
        <v>191.5</v>
      </c>
      <c r="G22" s="43">
        <f t="shared" si="0"/>
        <v>195</v>
      </c>
      <c r="H22" s="43">
        <f t="shared" si="1"/>
        <v>189</v>
      </c>
      <c r="I22" s="44">
        <f t="shared" si="2"/>
        <v>41.666666666666671</v>
      </c>
      <c r="J22" s="44">
        <f t="shared" si="3"/>
        <v>70.849565501884612</v>
      </c>
      <c r="K22" s="44">
        <f t="shared" si="4"/>
        <v>79.167641256376442</v>
      </c>
      <c r="L22" s="13" t="s">
        <v>126</v>
      </c>
    </row>
    <row r="23" spans="1:12" x14ac:dyDescent="0.25">
      <c r="A23" s="15" t="s">
        <v>27</v>
      </c>
      <c r="B23" s="16">
        <v>42822</v>
      </c>
      <c r="C23" s="17">
        <v>195</v>
      </c>
      <c r="D23" s="17">
        <v>195</v>
      </c>
      <c r="E23" s="17">
        <v>192.5</v>
      </c>
      <c r="F23" s="17">
        <v>194.5</v>
      </c>
      <c r="G23" s="43">
        <f t="shared" si="0"/>
        <v>195</v>
      </c>
      <c r="H23" s="43">
        <f t="shared" si="1"/>
        <v>188</v>
      </c>
      <c r="I23" s="44">
        <f t="shared" si="2"/>
        <v>92.857142857142861</v>
      </c>
      <c r="J23" s="44">
        <f t="shared" si="3"/>
        <v>85.441014919493583</v>
      </c>
      <c r="K23" s="44">
        <f t="shared" si="4"/>
        <v>83.326679133622378</v>
      </c>
      <c r="L23" s="13" t="s">
        <v>125</v>
      </c>
    </row>
    <row r="24" spans="1:12" x14ac:dyDescent="0.25">
      <c r="A24" s="15" t="s">
        <v>27</v>
      </c>
      <c r="B24" s="16">
        <v>42821</v>
      </c>
      <c r="C24" s="17">
        <v>194.5</v>
      </c>
      <c r="D24" s="17">
        <v>194.5</v>
      </c>
      <c r="E24" s="17">
        <v>192</v>
      </c>
      <c r="F24" s="17">
        <v>193</v>
      </c>
      <c r="G24" s="43">
        <f t="shared" si="0"/>
        <v>195</v>
      </c>
      <c r="H24" s="43">
        <f t="shared" si="1"/>
        <v>185.5</v>
      </c>
      <c r="I24" s="44">
        <f t="shared" si="2"/>
        <v>78.94736842105263</v>
      </c>
      <c r="J24" s="44">
        <f t="shared" si="3"/>
        <v>81.73295095066895</v>
      </c>
      <c r="K24" s="44">
        <f t="shared" si="4"/>
        <v>82.269511240686782</v>
      </c>
      <c r="L24" s="13" t="s">
        <v>126</v>
      </c>
    </row>
    <row r="25" spans="1:12" x14ac:dyDescent="0.25">
      <c r="A25" s="15" t="s">
        <v>27</v>
      </c>
      <c r="B25" s="16">
        <v>42818</v>
      </c>
      <c r="C25" s="17">
        <v>192</v>
      </c>
      <c r="D25" s="17">
        <v>193</v>
      </c>
      <c r="E25" s="17">
        <v>192</v>
      </c>
      <c r="F25" s="17">
        <v>192.5</v>
      </c>
      <c r="G25" s="43">
        <f t="shared" si="0"/>
        <v>195</v>
      </c>
      <c r="H25" s="43">
        <f t="shared" si="1"/>
        <v>185.5</v>
      </c>
      <c r="I25" s="44">
        <f t="shared" si="2"/>
        <v>73.68421052631578</v>
      </c>
      <c r="J25" s="44">
        <f t="shared" si="3"/>
        <v>83.125742215477118</v>
      </c>
      <c r="K25" s="44">
        <f t="shared" si="4"/>
        <v>82.537791385695698</v>
      </c>
      <c r="L25" s="13" t="s">
        <v>125</v>
      </c>
    </row>
    <row r="26" spans="1:12" x14ac:dyDescent="0.25">
      <c r="A26" s="15" t="s">
        <v>27</v>
      </c>
      <c r="B26" s="16">
        <v>42817</v>
      </c>
      <c r="C26" s="17">
        <v>192</v>
      </c>
      <c r="D26" s="17">
        <v>193.5</v>
      </c>
      <c r="E26" s="17">
        <v>192</v>
      </c>
      <c r="F26" s="17">
        <v>193.5</v>
      </c>
      <c r="G26" s="43">
        <f t="shared" si="0"/>
        <v>195</v>
      </c>
      <c r="H26" s="43">
        <f t="shared" si="1"/>
        <v>185</v>
      </c>
      <c r="I26" s="44">
        <f t="shared" si="2"/>
        <v>85</v>
      </c>
      <c r="J26" s="44">
        <f t="shared" si="3"/>
        <v>87.846508060057801</v>
      </c>
      <c r="K26" s="44">
        <f t="shared" si="4"/>
        <v>82.243815970805002</v>
      </c>
      <c r="L26" s="13" t="s">
        <v>125</v>
      </c>
    </row>
    <row r="27" spans="1:12" x14ac:dyDescent="0.25">
      <c r="A27" s="15" t="s">
        <v>27</v>
      </c>
      <c r="B27" s="16">
        <v>42816</v>
      </c>
      <c r="C27" s="17">
        <v>192.5</v>
      </c>
      <c r="D27" s="17">
        <v>193.5</v>
      </c>
      <c r="E27" s="17">
        <v>191.5</v>
      </c>
      <c r="F27" s="17">
        <v>193.5</v>
      </c>
      <c r="G27" s="43">
        <f t="shared" si="0"/>
        <v>195</v>
      </c>
      <c r="H27" s="43">
        <f t="shared" si="1"/>
        <v>183</v>
      </c>
      <c r="I27" s="44">
        <f t="shared" si="2"/>
        <v>87.5</v>
      </c>
      <c r="J27" s="44">
        <f t="shared" si="3"/>
        <v>89.269762090086715</v>
      </c>
      <c r="K27" s="44">
        <f t="shared" si="4"/>
        <v>79.442469926178603</v>
      </c>
      <c r="L27" s="13" t="s">
        <v>125</v>
      </c>
    </row>
    <row r="28" spans="1:12" x14ac:dyDescent="0.25">
      <c r="A28" s="15" t="s">
        <v>27</v>
      </c>
      <c r="B28" s="16">
        <v>42815</v>
      </c>
      <c r="C28" s="17">
        <v>192</v>
      </c>
      <c r="D28" s="17">
        <v>195</v>
      </c>
      <c r="E28" s="17">
        <v>191.5</v>
      </c>
      <c r="F28" s="17">
        <v>195</v>
      </c>
      <c r="G28" s="43">
        <f t="shared" si="0"/>
        <v>195</v>
      </c>
      <c r="H28" s="43">
        <f t="shared" si="1"/>
        <v>183</v>
      </c>
      <c r="I28" s="44">
        <f t="shared" si="2"/>
        <v>100</v>
      </c>
      <c r="J28" s="44">
        <f t="shared" si="3"/>
        <v>90.154643135130087</v>
      </c>
      <c r="K28" s="44">
        <f t="shared" si="4"/>
        <v>74.528823844224547</v>
      </c>
      <c r="L28" s="13" t="s">
        <v>125</v>
      </c>
    </row>
    <row r="29" spans="1:12" x14ac:dyDescent="0.25">
      <c r="A29" s="15" t="s">
        <v>27</v>
      </c>
      <c r="B29" s="16">
        <v>42814</v>
      </c>
      <c r="C29" s="17">
        <v>191.5</v>
      </c>
      <c r="D29" s="17">
        <v>191.5</v>
      </c>
      <c r="E29" s="17">
        <v>189.5</v>
      </c>
      <c r="F29" s="17">
        <v>191.5</v>
      </c>
      <c r="G29" s="43">
        <f t="shared" si="0"/>
        <v>191.5</v>
      </c>
      <c r="H29" s="43">
        <f t="shared" si="1"/>
        <v>183</v>
      </c>
      <c r="I29" s="44">
        <f t="shared" si="2"/>
        <v>100</v>
      </c>
      <c r="J29" s="44">
        <f t="shared" si="3"/>
        <v>85.231964702695137</v>
      </c>
      <c r="K29" s="44">
        <f t="shared" si="4"/>
        <v>66.71591419877177</v>
      </c>
      <c r="L29" s="13" t="s">
        <v>125</v>
      </c>
    </row>
    <row r="30" spans="1:12" x14ac:dyDescent="0.25">
      <c r="A30" s="15" t="s">
        <v>27</v>
      </c>
      <c r="B30" s="16">
        <v>42811</v>
      </c>
      <c r="C30" s="17">
        <v>189.5</v>
      </c>
      <c r="D30" s="17">
        <v>191.5</v>
      </c>
      <c r="E30" s="17">
        <v>189</v>
      </c>
      <c r="F30" s="17">
        <v>191.5</v>
      </c>
      <c r="G30" s="43">
        <f t="shared" si="0"/>
        <v>191.5</v>
      </c>
      <c r="H30" s="43">
        <f t="shared" si="1"/>
        <v>183</v>
      </c>
      <c r="I30" s="44">
        <f t="shared" si="2"/>
        <v>100</v>
      </c>
      <c r="J30" s="44">
        <f t="shared" si="3"/>
        <v>77.84794705404272</v>
      </c>
      <c r="K30" s="44">
        <f t="shared" si="4"/>
        <v>57.457888946810101</v>
      </c>
      <c r="L30" s="13" t="s">
        <v>125</v>
      </c>
    </row>
    <row r="31" spans="1:12" x14ac:dyDescent="0.25">
      <c r="A31" s="15" t="s">
        <v>27</v>
      </c>
      <c r="B31" s="16">
        <v>42810</v>
      </c>
      <c r="C31" s="17">
        <v>188</v>
      </c>
      <c r="D31" s="17">
        <v>190</v>
      </c>
      <c r="E31" s="17">
        <v>188</v>
      </c>
      <c r="F31" s="17">
        <v>190</v>
      </c>
      <c r="G31" s="43">
        <f t="shared" si="0"/>
        <v>190</v>
      </c>
      <c r="H31" s="43">
        <f t="shared" si="1"/>
        <v>183</v>
      </c>
      <c r="I31" s="44">
        <f t="shared" si="2"/>
        <v>100</v>
      </c>
      <c r="J31" s="44">
        <f t="shared" si="3"/>
        <v>66.77192058106408</v>
      </c>
      <c r="K31" s="44">
        <f t="shared" si="4"/>
        <v>47.262859893193792</v>
      </c>
      <c r="L31" s="13" t="s">
        <v>125</v>
      </c>
    </row>
    <row r="32" spans="1:12" x14ac:dyDescent="0.25">
      <c r="A32" s="15" t="s">
        <v>27</v>
      </c>
      <c r="B32" s="16">
        <v>42809</v>
      </c>
      <c r="C32" s="17">
        <v>185.5</v>
      </c>
      <c r="D32" s="17">
        <v>187</v>
      </c>
      <c r="E32" s="17">
        <v>185.5</v>
      </c>
      <c r="F32" s="17">
        <v>186.5</v>
      </c>
      <c r="G32" s="43">
        <f t="shared" si="0"/>
        <v>188</v>
      </c>
      <c r="H32" s="43">
        <f t="shared" si="1"/>
        <v>183</v>
      </c>
      <c r="I32" s="44">
        <f t="shared" si="2"/>
        <v>70</v>
      </c>
      <c r="J32" s="44">
        <f t="shared" si="3"/>
        <v>50.15788087159612</v>
      </c>
      <c r="K32" s="44">
        <f t="shared" si="4"/>
        <v>37.508329549258647</v>
      </c>
      <c r="L32" s="13" t="s">
        <v>125</v>
      </c>
    </row>
    <row r="33" spans="1:12" x14ac:dyDescent="0.25">
      <c r="A33" s="15" t="s">
        <v>27</v>
      </c>
      <c r="B33" s="16">
        <v>42808</v>
      </c>
      <c r="C33" s="17">
        <v>188</v>
      </c>
      <c r="D33" s="17">
        <v>188</v>
      </c>
      <c r="E33" s="17">
        <v>186</v>
      </c>
      <c r="F33" s="17">
        <v>186</v>
      </c>
      <c r="G33" s="43">
        <f t="shared" si="0"/>
        <v>188.5</v>
      </c>
      <c r="H33" s="43">
        <f t="shared" si="1"/>
        <v>183</v>
      </c>
      <c r="I33" s="44">
        <f t="shared" si="2"/>
        <v>54.54545454545454</v>
      </c>
      <c r="J33" s="44">
        <f t="shared" si="3"/>
        <v>40.23682130739418</v>
      </c>
      <c r="K33" s="44">
        <f t="shared" si="4"/>
        <v>31.183553888089921</v>
      </c>
      <c r="L33" s="13" t="s">
        <v>125</v>
      </c>
    </row>
    <row r="34" spans="1:12" x14ac:dyDescent="0.25">
      <c r="A34" s="15" t="s">
        <v>27</v>
      </c>
      <c r="B34" s="16">
        <v>42807</v>
      </c>
      <c r="C34" s="17">
        <v>185</v>
      </c>
      <c r="D34" s="17">
        <v>186.5</v>
      </c>
      <c r="E34" s="17">
        <v>185</v>
      </c>
      <c r="F34" s="17">
        <v>186.5</v>
      </c>
      <c r="G34" s="43">
        <f t="shared" si="0"/>
        <v>188.5</v>
      </c>
      <c r="H34" s="43">
        <f t="shared" si="1"/>
        <v>183</v>
      </c>
      <c r="I34" s="44">
        <f t="shared" si="2"/>
        <v>63.636363636363633</v>
      </c>
      <c r="J34" s="44">
        <f t="shared" si="3"/>
        <v>33.082504688364004</v>
      </c>
      <c r="K34" s="44">
        <f t="shared" si="4"/>
        <v>26.656920178437794</v>
      </c>
      <c r="L34" s="13" t="s">
        <v>125</v>
      </c>
    </row>
    <row r="35" spans="1:12" x14ac:dyDescent="0.25">
      <c r="A35" s="15" t="s">
        <v>27</v>
      </c>
      <c r="B35" s="16">
        <v>42804</v>
      </c>
      <c r="C35" s="17">
        <v>184</v>
      </c>
      <c r="D35" s="17">
        <v>184.5</v>
      </c>
      <c r="E35" s="17">
        <v>183</v>
      </c>
      <c r="F35" s="17">
        <v>183.5</v>
      </c>
      <c r="G35" s="43">
        <f t="shared" si="0"/>
        <v>190.5</v>
      </c>
      <c r="H35" s="43">
        <f t="shared" si="1"/>
        <v>183</v>
      </c>
      <c r="I35" s="44">
        <f t="shared" si="2"/>
        <v>6.666666666666667</v>
      </c>
      <c r="J35" s="44">
        <f t="shared" si="3"/>
        <v>17.80557521436419</v>
      </c>
      <c r="K35" s="44">
        <f t="shared" si="4"/>
        <v>23.444127923474692</v>
      </c>
      <c r="L35" s="13" t="s">
        <v>126</v>
      </c>
    </row>
    <row r="36" spans="1:12" x14ac:dyDescent="0.25">
      <c r="A36" s="15" t="s">
        <v>27</v>
      </c>
      <c r="B36" s="16">
        <v>42803</v>
      </c>
      <c r="C36" s="17">
        <v>185.5</v>
      </c>
      <c r="D36" s="17">
        <v>186</v>
      </c>
      <c r="E36" s="17">
        <v>184</v>
      </c>
      <c r="F36" s="17">
        <v>184.5</v>
      </c>
      <c r="G36" s="43">
        <f t="shared" si="0"/>
        <v>190.5</v>
      </c>
      <c r="H36" s="43">
        <f t="shared" si="1"/>
        <v>183.5</v>
      </c>
      <c r="I36" s="44">
        <f t="shared" si="2"/>
        <v>14.285714285714285</v>
      </c>
      <c r="J36" s="44">
        <f t="shared" si="3"/>
        <v>23.375029488212952</v>
      </c>
      <c r="K36" s="44">
        <f t="shared" si="4"/>
        <v>26.263404278029945</v>
      </c>
      <c r="L36" s="13" t="s">
        <v>126</v>
      </c>
    </row>
    <row r="37" spans="1:12" x14ac:dyDescent="0.25">
      <c r="A37" s="15" t="s">
        <v>27</v>
      </c>
      <c r="B37" s="16">
        <v>42802</v>
      </c>
      <c r="C37" s="17">
        <v>186</v>
      </c>
      <c r="D37" s="17">
        <v>188</v>
      </c>
      <c r="E37" s="17">
        <v>185.5</v>
      </c>
      <c r="F37" s="17">
        <v>187</v>
      </c>
      <c r="G37" s="43">
        <f t="shared" si="0"/>
        <v>191</v>
      </c>
      <c r="H37" s="43">
        <f t="shared" si="1"/>
        <v>183.5</v>
      </c>
      <c r="I37" s="44">
        <f t="shared" si="2"/>
        <v>46.666666666666664</v>
      </c>
      <c r="J37" s="44">
        <f t="shared" si="3"/>
        <v>27.91968708946229</v>
      </c>
      <c r="K37" s="44">
        <f t="shared" si="4"/>
        <v>27.707591672938445</v>
      </c>
      <c r="L37" s="13" t="s">
        <v>125</v>
      </c>
    </row>
    <row r="38" spans="1:12" x14ac:dyDescent="0.25">
      <c r="A38" s="15" t="s">
        <v>27</v>
      </c>
      <c r="B38" s="16">
        <v>42801</v>
      </c>
      <c r="C38" s="17">
        <v>184</v>
      </c>
      <c r="D38" s="17">
        <v>185.5</v>
      </c>
      <c r="E38" s="17">
        <v>184</v>
      </c>
      <c r="F38" s="17">
        <v>185.5</v>
      </c>
      <c r="G38" s="43">
        <f t="shared" si="0"/>
        <v>191</v>
      </c>
      <c r="H38" s="43">
        <f t="shared" si="1"/>
        <v>183.5</v>
      </c>
      <c r="I38" s="44">
        <f t="shared" si="2"/>
        <v>26.666666666666668</v>
      </c>
      <c r="J38" s="44">
        <f t="shared" si="3"/>
        <v>18.546197300860104</v>
      </c>
      <c r="K38" s="44">
        <f t="shared" si="4"/>
        <v>27.601543964676527</v>
      </c>
      <c r="L38" s="13" t="s">
        <v>126</v>
      </c>
    </row>
    <row r="39" spans="1:12" x14ac:dyDescent="0.25">
      <c r="A39" s="15" t="s">
        <v>27</v>
      </c>
      <c r="B39" s="16">
        <v>42800</v>
      </c>
      <c r="C39" s="17">
        <v>184</v>
      </c>
      <c r="D39" s="17">
        <v>184.5</v>
      </c>
      <c r="E39" s="17">
        <v>183.5</v>
      </c>
      <c r="F39" s="17">
        <v>183.5</v>
      </c>
      <c r="G39" s="43">
        <f t="shared" si="0"/>
        <v>191</v>
      </c>
      <c r="H39" s="43">
        <f t="shared" si="1"/>
        <v>183.5</v>
      </c>
      <c r="I39" s="44">
        <f t="shared" si="2"/>
        <v>0</v>
      </c>
      <c r="J39" s="44">
        <f t="shared" si="3"/>
        <v>14.485962617956822</v>
      </c>
      <c r="K39" s="44">
        <f t="shared" si="4"/>
        <v>32.129217296584741</v>
      </c>
      <c r="L39" s="13" t="s">
        <v>126</v>
      </c>
    </row>
    <row r="40" spans="1:12" x14ac:dyDescent="0.25">
      <c r="A40" s="15" t="s">
        <v>27</v>
      </c>
      <c r="B40" s="16">
        <v>42797</v>
      </c>
      <c r="C40" s="17">
        <v>184.5</v>
      </c>
      <c r="D40" s="17">
        <v>185</v>
      </c>
      <c r="E40" s="17">
        <v>184</v>
      </c>
      <c r="F40" s="17">
        <v>184</v>
      </c>
      <c r="G40" s="43">
        <f t="shared" si="0"/>
        <v>191</v>
      </c>
      <c r="H40" s="43">
        <f t="shared" si="1"/>
        <v>184</v>
      </c>
      <c r="I40" s="44">
        <f t="shared" si="2"/>
        <v>0</v>
      </c>
      <c r="J40" s="44">
        <f t="shared" si="3"/>
        <v>21.728943926935234</v>
      </c>
      <c r="K40" s="44">
        <f t="shared" si="4"/>
        <v>40.950844635898704</v>
      </c>
      <c r="L40" s="13" t="s">
        <v>126</v>
      </c>
    </row>
    <row r="41" spans="1:12" x14ac:dyDescent="0.25">
      <c r="A41" s="15" t="s">
        <v>27</v>
      </c>
      <c r="B41" s="16">
        <v>42796</v>
      </c>
      <c r="C41" s="17">
        <v>188</v>
      </c>
      <c r="D41" s="17">
        <v>188.5</v>
      </c>
      <c r="E41" s="17">
        <v>185</v>
      </c>
      <c r="F41" s="17">
        <v>186</v>
      </c>
      <c r="G41" s="43">
        <f t="shared" si="0"/>
        <v>191</v>
      </c>
      <c r="H41" s="43">
        <f t="shared" si="1"/>
        <v>185</v>
      </c>
      <c r="I41" s="44">
        <f t="shared" si="2"/>
        <v>16.666666666666664</v>
      </c>
      <c r="J41" s="44">
        <f t="shared" si="3"/>
        <v>32.593415890402852</v>
      </c>
      <c r="K41" s="44">
        <f t="shared" si="4"/>
        <v>50.561794990380442</v>
      </c>
      <c r="L41" s="13" t="s">
        <v>126</v>
      </c>
    </row>
    <row r="42" spans="1:12" x14ac:dyDescent="0.25">
      <c r="A42" s="15" t="s">
        <v>27</v>
      </c>
      <c r="B42" s="16">
        <v>42795</v>
      </c>
      <c r="C42" s="17">
        <v>188.5</v>
      </c>
      <c r="D42" s="17">
        <v>188.5</v>
      </c>
      <c r="E42" s="17">
        <v>186</v>
      </c>
      <c r="F42" s="17">
        <v>186</v>
      </c>
      <c r="G42" s="43">
        <f t="shared" si="0"/>
        <v>191</v>
      </c>
      <c r="H42" s="43">
        <f t="shared" si="1"/>
        <v>186</v>
      </c>
      <c r="I42" s="44">
        <f t="shared" si="2"/>
        <v>0</v>
      </c>
      <c r="J42" s="44">
        <f t="shared" si="3"/>
        <v>40.556790502270943</v>
      </c>
      <c r="K42" s="44">
        <f t="shared" si="4"/>
        <v>59.545984540369247</v>
      </c>
      <c r="L42" s="13" t="s">
        <v>126</v>
      </c>
    </row>
    <row r="43" spans="1:12" x14ac:dyDescent="0.25">
      <c r="A43" s="15" t="s">
        <v>27</v>
      </c>
      <c r="B43" s="16">
        <v>42790</v>
      </c>
      <c r="C43" s="17">
        <v>187.5</v>
      </c>
      <c r="D43" s="17">
        <v>190.5</v>
      </c>
      <c r="E43" s="17">
        <v>187.5</v>
      </c>
      <c r="F43" s="17">
        <v>189</v>
      </c>
      <c r="G43" s="43">
        <f t="shared" si="0"/>
        <v>191</v>
      </c>
      <c r="H43" s="43">
        <f t="shared" si="1"/>
        <v>186.5</v>
      </c>
      <c r="I43" s="44">
        <f t="shared" si="2"/>
        <v>55.555555555555557</v>
      </c>
      <c r="J43" s="44">
        <f t="shared" si="3"/>
        <v>60.835185753406421</v>
      </c>
      <c r="K43" s="44">
        <f t="shared" si="4"/>
        <v>69.040581559418399</v>
      </c>
      <c r="L43" s="13" t="s">
        <v>126</v>
      </c>
    </row>
    <row r="44" spans="1:12" x14ac:dyDescent="0.25">
      <c r="A44" s="15" t="s">
        <v>27</v>
      </c>
      <c r="B44" s="16">
        <v>42789</v>
      </c>
      <c r="C44" s="17">
        <v>188</v>
      </c>
      <c r="D44" s="17">
        <v>189.5</v>
      </c>
      <c r="E44" s="17">
        <v>187</v>
      </c>
      <c r="F44" s="17">
        <v>188.5</v>
      </c>
      <c r="G44" s="43">
        <f t="shared" si="0"/>
        <v>191</v>
      </c>
      <c r="H44" s="43">
        <f t="shared" si="1"/>
        <v>186.5</v>
      </c>
      <c r="I44" s="44">
        <f t="shared" si="2"/>
        <v>44.444444444444443</v>
      </c>
      <c r="J44" s="44">
        <f t="shared" si="3"/>
        <v>63.47500085233186</v>
      </c>
      <c r="K44" s="44">
        <f t="shared" si="4"/>
        <v>73.143279462424402</v>
      </c>
      <c r="L44" s="13" t="s">
        <v>126</v>
      </c>
    </row>
    <row r="45" spans="1:12" x14ac:dyDescent="0.25">
      <c r="A45" s="15" t="s">
        <v>27</v>
      </c>
      <c r="B45" s="16">
        <v>42788</v>
      </c>
      <c r="C45" s="17">
        <v>190.5</v>
      </c>
      <c r="D45" s="17">
        <v>191</v>
      </c>
      <c r="E45" s="17">
        <v>188.5</v>
      </c>
      <c r="F45" s="17">
        <v>188.5</v>
      </c>
      <c r="G45" s="43">
        <f t="shared" si="0"/>
        <v>191</v>
      </c>
      <c r="H45" s="43">
        <f t="shared" si="1"/>
        <v>186.5</v>
      </c>
      <c r="I45" s="44">
        <f t="shared" si="2"/>
        <v>44.444444444444443</v>
      </c>
      <c r="J45" s="44">
        <f t="shared" si="3"/>
        <v>72.990279056275583</v>
      </c>
      <c r="K45" s="44">
        <f t="shared" si="4"/>
        <v>77.977418767470681</v>
      </c>
      <c r="L45" s="13" t="s">
        <v>126</v>
      </c>
    </row>
    <row r="46" spans="1:12" x14ac:dyDescent="0.25">
      <c r="A46" s="15" t="s">
        <v>27</v>
      </c>
      <c r="B46" s="16">
        <v>42787</v>
      </c>
      <c r="C46" s="17">
        <v>190</v>
      </c>
      <c r="D46" s="17">
        <v>190</v>
      </c>
      <c r="E46" s="17">
        <v>188.5</v>
      </c>
      <c r="F46" s="17">
        <v>190</v>
      </c>
      <c r="G46" s="43">
        <f t="shared" si="0"/>
        <v>190.5</v>
      </c>
      <c r="H46" s="43">
        <f t="shared" si="1"/>
        <v>184</v>
      </c>
      <c r="I46" s="44">
        <f t="shared" si="2"/>
        <v>92.307692307692307</v>
      </c>
      <c r="J46" s="44">
        <f t="shared" si="3"/>
        <v>87.263196362191167</v>
      </c>
      <c r="K46" s="44">
        <f t="shared" si="4"/>
        <v>80.470988623068223</v>
      </c>
      <c r="L46" s="13" t="s">
        <v>125</v>
      </c>
    </row>
    <row r="47" spans="1:12" x14ac:dyDescent="0.25">
      <c r="A47" s="15" t="s">
        <v>27</v>
      </c>
      <c r="B47" s="16">
        <v>42786</v>
      </c>
      <c r="C47" s="17">
        <v>190</v>
      </c>
      <c r="D47" s="17">
        <v>190.5</v>
      </c>
      <c r="E47" s="17">
        <v>189.5</v>
      </c>
      <c r="F47" s="17">
        <v>190</v>
      </c>
      <c r="G47" s="43">
        <f t="shared" si="0"/>
        <v>190.5</v>
      </c>
      <c r="H47" s="43">
        <f t="shared" si="1"/>
        <v>183.5</v>
      </c>
      <c r="I47" s="44">
        <f t="shared" si="2"/>
        <v>92.857142857142861</v>
      </c>
      <c r="J47" s="44">
        <f t="shared" si="3"/>
        <v>84.740948389440604</v>
      </c>
      <c r="K47" s="44">
        <f t="shared" si="4"/>
        <v>77.074884753506751</v>
      </c>
      <c r="L47" s="13" t="s">
        <v>125</v>
      </c>
    </row>
    <row r="48" spans="1:12" x14ac:dyDescent="0.25">
      <c r="A48" s="15" t="s">
        <v>27</v>
      </c>
      <c r="B48" s="16">
        <v>42784</v>
      </c>
      <c r="C48" s="17">
        <v>190</v>
      </c>
      <c r="D48" s="17">
        <v>190.5</v>
      </c>
      <c r="E48" s="17">
        <v>189.5</v>
      </c>
      <c r="F48" s="17">
        <v>189.5</v>
      </c>
      <c r="G48" s="43">
        <f t="shared" si="0"/>
        <v>190.5</v>
      </c>
      <c r="H48" s="43">
        <f t="shared" si="1"/>
        <v>183</v>
      </c>
      <c r="I48" s="44">
        <f t="shared" si="2"/>
        <v>86.666666666666671</v>
      </c>
      <c r="J48" s="44">
        <f t="shared" si="3"/>
        <v>80.682851155589489</v>
      </c>
      <c r="K48" s="44">
        <f t="shared" si="4"/>
        <v>73.241852935539839</v>
      </c>
      <c r="L48" s="13" t="s">
        <v>125</v>
      </c>
    </row>
    <row r="49" spans="1:12" x14ac:dyDescent="0.25">
      <c r="A49" s="15" t="s">
        <v>27</v>
      </c>
      <c r="B49" s="16">
        <v>42783</v>
      </c>
      <c r="C49" s="17">
        <v>190</v>
      </c>
      <c r="D49" s="17">
        <v>190.5</v>
      </c>
      <c r="E49" s="17">
        <v>189</v>
      </c>
      <c r="F49" s="17">
        <v>189.5</v>
      </c>
      <c r="G49" s="43">
        <f t="shared" si="0"/>
        <v>190.5</v>
      </c>
      <c r="H49" s="43">
        <f t="shared" si="1"/>
        <v>183</v>
      </c>
      <c r="I49" s="44">
        <f t="shared" si="2"/>
        <v>86.666666666666671</v>
      </c>
      <c r="J49" s="44">
        <f t="shared" si="3"/>
        <v>77.690943400050912</v>
      </c>
      <c r="K49" s="44">
        <f t="shared" si="4"/>
        <v>69.521353825515021</v>
      </c>
      <c r="L49" s="13" t="s">
        <v>125</v>
      </c>
    </row>
    <row r="50" spans="1:12" x14ac:dyDescent="0.25">
      <c r="A50" s="15" t="s">
        <v>27</v>
      </c>
      <c r="B50" s="16">
        <v>42782</v>
      </c>
      <c r="C50" s="17">
        <v>190</v>
      </c>
      <c r="D50" s="17">
        <v>190.5</v>
      </c>
      <c r="E50" s="17">
        <v>188</v>
      </c>
      <c r="F50" s="17">
        <v>189</v>
      </c>
      <c r="G50" s="43">
        <f t="shared" si="0"/>
        <v>190.5</v>
      </c>
      <c r="H50" s="43">
        <f t="shared" si="1"/>
        <v>183</v>
      </c>
      <c r="I50" s="44">
        <f t="shared" si="2"/>
        <v>80</v>
      </c>
      <c r="J50" s="44">
        <f t="shared" si="3"/>
        <v>73.20308176674304</v>
      </c>
      <c r="K50" s="44">
        <f t="shared" si="4"/>
        <v>65.436559038247083</v>
      </c>
      <c r="L50" s="13" t="s">
        <v>125</v>
      </c>
    </row>
    <row r="51" spans="1:12" x14ac:dyDescent="0.25">
      <c r="A51" s="15" t="s">
        <v>27</v>
      </c>
      <c r="B51" s="16">
        <v>42781</v>
      </c>
      <c r="C51" s="17">
        <v>187</v>
      </c>
      <c r="D51" s="17">
        <v>189.5</v>
      </c>
      <c r="E51" s="17">
        <v>186.5</v>
      </c>
      <c r="F51" s="17">
        <v>189</v>
      </c>
      <c r="G51" s="43">
        <f t="shared" si="0"/>
        <v>190</v>
      </c>
      <c r="H51" s="43">
        <f t="shared" si="1"/>
        <v>183</v>
      </c>
      <c r="I51" s="44">
        <f t="shared" si="2"/>
        <v>85.714285714285708</v>
      </c>
      <c r="J51" s="44">
        <f t="shared" si="3"/>
        <v>69.804622650114567</v>
      </c>
      <c r="K51" s="44">
        <f t="shared" si="4"/>
        <v>61.553297673999097</v>
      </c>
      <c r="L51" s="13" t="s">
        <v>125</v>
      </c>
    </row>
    <row r="52" spans="1:12" x14ac:dyDescent="0.25">
      <c r="A52" s="15" t="s">
        <v>27</v>
      </c>
      <c r="B52" s="16">
        <v>42780</v>
      </c>
      <c r="C52" s="17">
        <v>189</v>
      </c>
      <c r="D52" s="17">
        <v>190</v>
      </c>
      <c r="E52" s="17">
        <v>187.5</v>
      </c>
      <c r="F52" s="17">
        <v>187.5</v>
      </c>
      <c r="G52" s="43">
        <f t="shared" si="0"/>
        <v>190</v>
      </c>
      <c r="H52" s="43">
        <f t="shared" si="1"/>
        <v>183</v>
      </c>
      <c r="I52" s="44">
        <f t="shared" si="2"/>
        <v>64.285714285714292</v>
      </c>
      <c r="J52" s="44">
        <f t="shared" si="3"/>
        <v>61.849791118028989</v>
      </c>
      <c r="K52" s="44">
        <f t="shared" si="4"/>
        <v>57.427635185941369</v>
      </c>
      <c r="L52" s="13" t="s">
        <v>125</v>
      </c>
    </row>
    <row r="53" spans="1:12" x14ac:dyDescent="0.25">
      <c r="A53" s="15" t="s">
        <v>27</v>
      </c>
      <c r="B53" s="16">
        <v>42779</v>
      </c>
      <c r="C53" s="17">
        <v>186.5</v>
      </c>
      <c r="D53" s="17">
        <v>188</v>
      </c>
      <c r="E53" s="17">
        <v>186.5</v>
      </c>
      <c r="F53" s="17">
        <v>187.5</v>
      </c>
      <c r="G53" s="43">
        <f t="shared" si="0"/>
        <v>188.5</v>
      </c>
      <c r="H53" s="43">
        <f t="shared" si="1"/>
        <v>183</v>
      </c>
      <c r="I53" s="44">
        <f t="shared" si="2"/>
        <v>81.818181818181827</v>
      </c>
      <c r="J53" s="44">
        <f t="shared" si="3"/>
        <v>60.631829534186345</v>
      </c>
      <c r="K53" s="44">
        <f t="shared" si="4"/>
        <v>55.216557219897567</v>
      </c>
      <c r="L53" s="13" t="s">
        <v>125</v>
      </c>
    </row>
    <row r="54" spans="1:12" x14ac:dyDescent="0.25">
      <c r="A54" s="15" t="s">
        <v>27</v>
      </c>
      <c r="B54" s="16">
        <v>42776</v>
      </c>
      <c r="C54" s="17">
        <v>184.5</v>
      </c>
      <c r="D54" s="17">
        <v>185.5</v>
      </c>
      <c r="E54" s="17">
        <v>184</v>
      </c>
      <c r="F54" s="17">
        <v>185.5</v>
      </c>
      <c r="G54" s="43">
        <f t="shared" si="0"/>
        <v>188.5</v>
      </c>
      <c r="H54" s="43">
        <f t="shared" si="1"/>
        <v>182.5</v>
      </c>
      <c r="I54" s="44">
        <f t="shared" si="2"/>
        <v>50</v>
      </c>
      <c r="J54" s="44">
        <f t="shared" si="3"/>
        <v>50.038653392188614</v>
      </c>
      <c r="K54" s="44">
        <f t="shared" si="4"/>
        <v>52.508921062753188</v>
      </c>
      <c r="L54" s="13" t="s">
        <v>126</v>
      </c>
    </row>
    <row r="55" spans="1:12" x14ac:dyDescent="0.25">
      <c r="A55" s="15" t="s">
        <v>27</v>
      </c>
      <c r="B55" s="16">
        <v>42775</v>
      </c>
      <c r="C55" s="17">
        <v>184</v>
      </c>
      <c r="D55" s="17">
        <v>185.5</v>
      </c>
      <c r="E55" s="17">
        <v>183.5</v>
      </c>
      <c r="F55" s="17">
        <v>184</v>
      </c>
      <c r="G55" s="43">
        <f t="shared" si="0"/>
        <v>188.5</v>
      </c>
      <c r="H55" s="43">
        <f t="shared" si="1"/>
        <v>180.5</v>
      </c>
      <c r="I55" s="44">
        <f t="shared" si="2"/>
        <v>43.75</v>
      </c>
      <c r="J55" s="44">
        <f t="shared" si="3"/>
        <v>50.057980088282932</v>
      </c>
      <c r="K55" s="44">
        <f t="shared" si="4"/>
        <v>53.744054898035479</v>
      </c>
      <c r="L55" s="13" t="s">
        <v>126</v>
      </c>
    </row>
    <row r="56" spans="1:12" x14ac:dyDescent="0.25">
      <c r="A56" s="15" t="s">
        <v>27</v>
      </c>
      <c r="B56" s="16">
        <v>42774</v>
      </c>
      <c r="C56" s="17">
        <v>183.5</v>
      </c>
      <c r="D56" s="17">
        <v>184.5</v>
      </c>
      <c r="E56" s="17">
        <v>183</v>
      </c>
      <c r="F56" s="17">
        <v>183.5</v>
      </c>
      <c r="G56" s="43">
        <f t="shared" si="0"/>
        <v>188.5</v>
      </c>
      <c r="H56" s="43">
        <f t="shared" si="1"/>
        <v>179.5</v>
      </c>
      <c r="I56" s="44">
        <f t="shared" si="2"/>
        <v>44.444444444444443</v>
      </c>
      <c r="J56" s="44">
        <f t="shared" si="3"/>
        <v>53.211970132424398</v>
      </c>
      <c r="K56" s="44">
        <f t="shared" si="4"/>
        <v>55.587092302911756</v>
      </c>
      <c r="L56" s="13" t="s">
        <v>126</v>
      </c>
    </row>
    <row r="57" spans="1:12" x14ac:dyDescent="0.25">
      <c r="A57" s="15" t="s">
        <v>27</v>
      </c>
      <c r="B57" s="16">
        <v>42773</v>
      </c>
      <c r="C57" s="17">
        <v>183.5</v>
      </c>
      <c r="D57" s="17">
        <v>185</v>
      </c>
      <c r="E57" s="17">
        <v>183</v>
      </c>
      <c r="F57" s="17">
        <v>184.5</v>
      </c>
      <c r="G57" s="43">
        <f t="shared" si="0"/>
        <v>188.5</v>
      </c>
      <c r="H57" s="43">
        <f t="shared" si="1"/>
        <v>179.5</v>
      </c>
      <c r="I57" s="44">
        <f t="shared" si="2"/>
        <v>55.555555555555557</v>
      </c>
      <c r="J57" s="44">
        <f t="shared" si="3"/>
        <v>57.595732976414382</v>
      </c>
      <c r="K57" s="44">
        <f t="shared" si="4"/>
        <v>56.77465338815545</v>
      </c>
      <c r="L57" s="13" t="s">
        <v>125</v>
      </c>
    </row>
    <row r="58" spans="1:12" x14ac:dyDescent="0.25">
      <c r="A58" s="15" t="s">
        <v>27</v>
      </c>
      <c r="B58" s="16">
        <v>42772</v>
      </c>
      <c r="C58" s="17">
        <v>184.5</v>
      </c>
      <c r="D58" s="17">
        <v>185.5</v>
      </c>
      <c r="E58" s="17">
        <v>184</v>
      </c>
      <c r="F58" s="17">
        <v>184.5</v>
      </c>
      <c r="G58" s="43">
        <f t="shared" si="0"/>
        <v>188.5</v>
      </c>
      <c r="H58" s="43">
        <f t="shared" si="1"/>
        <v>179.5</v>
      </c>
      <c r="I58" s="44">
        <f t="shared" si="2"/>
        <v>55.555555555555557</v>
      </c>
      <c r="J58" s="44">
        <f t="shared" si="3"/>
        <v>58.615821686843802</v>
      </c>
      <c r="K58" s="44">
        <f t="shared" si="4"/>
        <v>56.364113594025987</v>
      </c>
      <c r="L58" s="13" t="s">
        <v>125</v>
      </c>
    </row>
    <row r="59" spans="1:12" x14ac:dyDescent="0.25">
      <c r="A59" s="15" t="s">
        <v>27</v>
      </c>
      <c r="B59" s="16">
        <v>42769</v>
      </c>
      <c r="C59" s="17">
        <v>186</v>
      </c>
      <c r="D59" s="17">
        <v>186</v>
      </c>
      <c r="E59" s="17">
        <v>183.5</v>
      </c>
      <c r="F59" s="17">
        <v>184.5</v>
      </c>
      <c r="G59" s="43">
        <f t="shared" si="0"/>
        <v>188.5</v>
      </c>
      <c r="H59" s="43">
        <f t="shared" si="1"/>
        <v>179</v>
      </c>
      <c r="I59" s="44">
        <f t="shared" si="2"/>
        <v>57.894736842105267</v>
      </c>
      <c r="J59" s="44">
        <f t="shared" si="3"/>
        <v>60.145954752487931</v>
      </c>
      <c r="K59" s="44">
        <f t="shared" si="4"/>
        <v>55.238259547617083</v>
      </c>
      <c r="L59" s="13" t="s">
        <v>125</v>
      </c>
    </row>
    <row r="60" spans="1:12" x14ac:dyDescent="0.25">
      <c r="A60" s="15" t="s">
        <v>27</v>
      </c>
      <c r="B60" s="16">
        <v>42768</v>
      </c>
      <c r="C60" s="17">
        <v>188</v>
      </c>
      <c r="D60" s="17">
        <v>188.5</v>
      </c>
      <c r="E60" s="17">
        <v>184</v>
      </c>
      <c r="F60" s="17">
        <v>184.5</v>
      </c>
      <c r="G60" s="43">
        <f t="shared" si="0"/>
        <v>188.5</v>
      </c>
      <c r="H60" s="43">
        <f t="shared" si="1"/>
        <v>179</v>
      </c>
      <c r="I60" s="44">
        <f t="shared" si="2"/>
        <v>57.894736842105267</v>
      </c>
      <c r="J60" s="44">
        <f t="shared" si="3"/>
        <v>61.27156370767927</v>
      </c>
      <c r="K60" s="44">
        <f t="shared" si="4"/>
        <v>52.784411945181667</v>
      </c>
      <c r="L60" s="13" t="s">
        <v>125</v>
      </c>
    </row>
    <row r="61" spans="1:12" x14ac:dyDescent="0.25">
      <c r="A61" s="15" t="s">
        <v>27</v>
      </c>
      <c r="B61" s="16">
        <v>42759</v>
      </c>
      <c r="C61" s="17">
        <v>185</v>
      </c>
      <c r="D61" s="17">
        <v>186.5</v>
      </c>
      <c r="E61" s="17">
        <v>184.5</v>
      </c>
      <c r="F61" s="17">
        <v>185.5</v>
      </c>
      <c r="G61" s="43">
        <f t="shared" si="0"/>
        <v>186.5</v>
      </c>
      <c r="H61" s="43">
        <f t="shared" si="1"/>
        <v>179</v>
      </c>
      <c r="I61" s="44">
        <f t="shared" si="2"/>
        <v>86.666666666666671</v>
      </c>
      <c r="J61" s="44">
        <f t="shared" si="3"/>
        <v>62.959977140466279</v>
      </c>
      <c r="K61" s="44">
        <f t="shared" si="4"/>
        <v>48.540836063932872</v>
      </c>
      <c r="L61" s="13" t="s">
        <v>125</v>
      </c>
    </row>
    <row r="62" spans="1:12" x14ac:dyDescent="0.25">
      <c r="A62" s="15" t="s">
        <v>27</v>
      </c>
      <c r="B62" s="16">
        <v>42758</v>
      </c>
      <c r="C62" s="17">
        <v>182.5</v>
      </c>
      <c r="D62" s="17">
        <v>185</v>
      </c>
      <c r="E62" s="17">
        <v>182.5</v>
      </c>
      <c r="F62" s="17">
        <v>185</v>
      </c>
      <c r="G62" s="43">
        <f t="shared" si="0"/>
        <v>185.5</v>
      </c>
      <c r="H62" s="43">
        <f t="shared" si="1"/>
        <v>179</v>
      </c>
      <c r="I62" s="44">
        <f t="shared" si="2"/>
        <v>92.307692307692307</v>
      </c>
      <c r="J62" s="44">
        <f t="shared" si="3"/>
        <v>51.106632377366083</v>
      </c>
      <c r="K62" s="44">
        <f t="shared" si="4"/>
        <v>41.331265525666176</v>
      </c>
      <c r="L62" s="13" t="s">
        <v>125</v>
      </c>
    </row>
    <row r="63" spans="1:12" x14ac:dyDescent="0.25">
      <c r="A63" s="15" t="s">
        <v>27</v>
      </c>
      <c r="B63" s="16">
        <v>42755</v>
      </c>
      <c r="C63" s="17">
        <v>181</v>
      </c>
      <c r="D63" s="17">
        <v>181.5</v>
      </c>
      <c r="E63" s="17">
        <v>180.5</v>
      </c>
      <c r="F63" s="17">
        <v>181</v>
      </c>
      <c r="G63" s="43">
        <f t="shared" si="0"/>
        <v>185.5</v>
      </c>
      <c r="H63" s="43">
        <f t="shared" si="1"/>
        <v>179</v>
      </c>
      <c r="I63" s="44">
        <f t="shared" si="2"/>
        <v>30.76923076923077</v>
      </c>
      <c r="J63" s="44">
        <f t="shared" si="3"/>
        <v>30.506102412202978</v>
      </c>
      <c r="K63" s="44">
        <f t="shared" si="4"/>
        <v>36.443582099816226</v>
      </c>
      <c r="L63" s="13" t="s">
        <v>126</v>
      </c>
    </row>
    <row r="64" spans="1:12" x14ac:dyDescent="0.25">
      <c r="A64" s="15" t="s">
        <v>27</v>
      </c>
      <c r="B64" s="16">
        <v>42754</v>
      </c>
      <c r="C64" s="17">
        <v>179.5</v>
      </c>
      <c r="D64" s="17">
        <v>181</v>
      </c>
      <c r="E64" s="17">
        <v>179.5</v>
      </c>
      <c r="F64" s="17">
        <v>180.5</v>
      </c>
      <c r="G64" s="43">
        <f t="shared" si="0"/>
        <v>185.5</v>
      </c>
      <c r="H64" s="43">
        <f t="shared" si="1"/>
        <v>179</v>
      </c>
      <c r="I64" s="44">
        <f t="shared" si="2"/>
        <v>23.076923076923077</v>
      </c>
      <c r="J64" s="44">
        <f t="shared" si="3"/>
        <v>30.374538233689087</v>
      </c>
      <c r="K64" s="44">
        <f t="shared" si="4"/>
        <v>39.412321943622857</v>
      </c>
      <c r="L64" s="13" t="s">
        <v>126</v>
      </c>
    </row>
    <row r="65" spans="1:12" x14ac:dyDescent="0.25">
      <c r="A65" s="15" t="s">
        <v>27</v>
      </c>
      <c r="B65" s="16">
        <v>42753</v>
      </c>
      <c r="C65" s="17">
        <v>180.5</v>
      </c>
      <c r="D65" s="17">
        <v>181</v>
      </c>
      <c r="E65" s="17">
        <v>179.5</v>
      </c>
      <c r="F65" s="17">
        <v>181</v>
      </c>
      <c r="G65" s="43">
        <f t="shared" si="0"/>
        <v>185.5</v>
      </c>
      <c r="H65" s="43">
        <f t="shared" si="1"/>
        <v>179</v>
      </c>
      <c r="I65" s="44">
        <f t="shared" si="2"/>
        <v>30.76923076923077</v>
      </c>
      <c r="J65" s="44">
        <f t="shared" si="3"/>
        <v>34.023345812072094</v>
      </c>
      <c r="K65" s="44">
        <f t="shared" si="4"/>
        <v>43.931213798589738</v>
      </c>
      <c r="L65" s="13" t="s">
        <v>126</v>
      </c>
    </row>
    <row r="66" spans="1:12" x14ac:dyDescent="0.25">
      <c r="A66" s="15" t="s">
        <v>27</v>
      </c>
      <c r="B66" s="16">
        <v>42752</v>
      </c>
      <c r="C66" s="17">
        <v>180.5</v>
      </c>
      <c r="D66" s="17">
        <v>181</v>
      </c>
      <c r="E66" s="17">
        <v>179.5</v>
      </c>
      <c r="F66" s="17">
        <v>181</v>
      </c>
      <c r="G66" s="43">
        <f t="shared" ref="G66:G129" si="5">MAX(D66:D74)</f>
        <v>185.5</v>
      </c>
      <c r="H66" s="43">
        <f t="shared" ref="H66:H129" si="6">MIN(E66:E74)</f>
        <v>179</v>
      </c>
      <c r="I66" s="44">
        <f t="shared" si="2"/>
        <v>30.76923076923077</v>
      </c>
      <c r="J66" s="44">
        <f t="shared" si="3"/>
        <v>35.650403333492754</v>
      </c>
      <c r="K66" s="44">
        <f t="shared" si="4"/>
        <v>48.885147791848567</v>
      </c>
      <c r="L66" s="13" t="s">
        <v>126</v>
      </c>
    </row>
    <row r="67" spans="1:12" x14ac:dyDescent="0.25">
      <c r="A67" s="15" t="s">
        <v>27</v>
      </c>
      <c r="B67" s="16">
        <v>42751</v>
      </c>
      <c r="C67" s="17">
        <v>180</v>
      </c>
      <c r="D67" s="17">
        <v>180.5</v>
      </c>
      <c r="E67" s="17">
        <v>179</v>
      </c>
      <c r="F67" s="17">
        <v>179.5</v>
      </c>
      <c r="G67" s="43">
        <f t="shared" si="5"/>
        <v>185.5</v>
      </c>
      <c r="H67" s="43">
        <f t="shared" si="6"/>
        <v>179</v>
      </c>
      <c r="I67" s="44">
        <f t="shared" ref="I67:I130" si="7">RSV(F67,G67,H67)</f>
        <v>7.6923076923076925</v>
      </c>
      <c r="J67" s="44">
        <f t="shared" ref="J67:J130" si="8">K(I67,J68)</f>
        <v>38.090989615623748</v>
      </c>
      <c r="K67" s="44">
        <f t="shared" ref="K67:K130" si="9">D(J67,K68)</f>
        <v>55.502520021026484</v>
      </c>
      <c r="L67" s="13" t="s">
        <v>126</v>
      </c>
    </row>
    <row r="68" spans="1:12" x14ac:dyDescent="0.25">
      <c r="A68" s="15" t="s">
        <v>27</v>
      </c>
      <c r="B68" s="16">
        <v>42748</v>
      </c>
      <c r="C68" s="17">
        <v>180.5</v>
      </c>
      <c r="D68" s="17">
        <v>182.5</v>
      </c>
      <c r="E68" s="17">
        <v>180.5</v>
      </c>
      <c r="F68" s="17">
        <v>181.5</v>
      </c>
      <c r="G68" s="43">
        <f t="shared" si="5"/>
        <v>185.5</v>
      </c>
      <c r="H68" s="43">
        <f t="shared" si="6"/>
        <v>180.5</v>
      </c>
      <c r="I68" s="44">
        <f t="shared" si="7"/>
        <v>20</v>
      </c>
      <c r="J68" s="44">
        <f t="shared" si="8"/>
        <v>53.290330577281786</v>
      </c>
      <c r="K68" s="44">
        <f t="shared" si="9"/>
        <v>64.208285223727856</v>
      </c>
      <c r="L68" s="13" t="s">
        <v>126</v>
      </c>
    </row>
    <row r="69" spans="1:12" x14ac:dyDescent="0.25">
      <c r="A69" s="15" t="s">
        <v>27</v>
      </c>
      <c r="B69" s="16">
        <v>42747</v>
      </c>
      <c r="C69" s="17">
        <v>182.5</v>
      </c>
      <c r="D69" s="17">
        <v>185.5</v>
      </c>
      <c r="E69" s="17">
        <v>182.5</v>
      </c>
      <c r="F69" s="17">
        <v>184.5</v>
      </c>
      <c r="G69" s="43">
        <f t="shared" si="5"/>
        <v>185.5</v>
      </c>
      <c r="H69" s="43">
        <f t="shared" si="6"/>
        <v>180</v>
      </c>
      <c r="I69" s="44">
        <f t="shared" si="7"/>
        <v>81.818181818181827</v>
      </c>
      <c r="J69" s="44">
        <f t="shared" si="8"/>
        <v>69.93549586592269</v>
      </c>
      <c r="K69" s="44">
        <f t="shared" si="9"/>
        <v>69.667262546950894</v>
      </c>
      <c r="L69" s="13" t="s">
        <v>125</v>
      </c>
    </row>
    <row r="70" spans="1:12" x14ac:dyDescent="0.25">
      <c r="A70" s="15" t="s">
        <v>27</v>
      </c>
      <c r="B70" s="16">
        <v>42746</v>
      </c>
      <c r="C70" s="17">
        <v>185</v>
      </c>
      <c r="D70" s="17">
        <v>185</v>
      </c>
      <c r="E70" s="17">
        <v>181.5</v>
      </c>
      <c r="F70" s="17">
        <v>182</v>
      </c>
      <c r="G70" s="43">
        <f t="shared" si="5"/>
        <v>185.5</v>
      </c>
      <c r="H70" s="43">
        <f t="shared" si="6"/>
        <v>180</v>
      </c>
      <c r="I70" s="44">
        <f t="shared" si="7"/>
        <v>36.363636363636367</v>
      </c>
      <c r="J70" s="44">
        <f t="shared" si="8"/>
        <v>63.994152889793128</v>
      </c>
      <c r="K70" s="44">
        <f t="shared" si="9"/>
        <v>69.533145887465011</v>
      </c>
      <c r="L70" s="13" t="s">
        <v>126</v>
      </c>
    </row>
    <row r="71" spans="1:12" x14ac:dyDescent="0.25">
      <c r="A71" s="15" t="s">
        <v>27</v>
      </c>
      <c r="B71" s="16">
        <v>42745</v>
      </c>
      <c r="C71" s="17">
        <v>184.5</v>
      </c>
      <c r="D71" s="17">
        <v>185.5</v>
      </c>
      <c r="E71" s="17">
        <v>183.5</v>
      </c>
      <c r="F71" s="17">
        <v>184</v>
      </c>
      <c r="G71" s="43">
        <f t="shared" si="5"/>
        <v>185.5</v>
      </c>
      <c r="H71" s="43">
        <f t="shared" si="6"/>
        <v>180</v>
      </c>
      <c r="I71" s="44">
        <f t="shared" si="7"/>
        <v>72.727272727272734</v>
      </c>
      <c r="J71" s="44">
        <f t="shared" si="8"/>
        <v>77.809411152871519</v>
      </c>
      <c r="K71" s="44">
        <f t="shared" si="9"/>
        <v>72.30264238630096</v>
      </c>
      <c r="L71" s="13" t="s">
        <v>125</v>
      </c>
    </row>
    <row r="72" spans="1:12" x14ac:dyDescent="0.25">
      <c r="A72" s="15" t="s">
        <v>27</v>
      </c>
      <c r="B72" s="16">
        <v>42744</v>
      </c>
      <c r="C72" s="17">
        <v>184</v>
      </c>
      <c r="D72" s="17">
        <v>185</v>
      </c>
      <c r="E72" s="17">
        <v>183</v>
      </c>
      <c r="F72" s="17">
        <v>184</v>
      </c>
      <c r="G72" s="43">
        <f t="shared" si="5"/>
        <v>185</v>
      </c>
      <c r="H72" s="43">
        <f t="shared" si="6"/>
        <v>179.5</v>
      </c>
      <c r="I72" s="44">
        <f t="shared" si="7"/>
        <v>81.818181818181827</v>
      </c>
      <c r="J72" s="44">
        <f t="shared" si="8"/>
        <v>80.350480365670933</v>
      </c>
      <c r="K72" s="44">
        <f t="shared" si="9"/>
        <v>69.549258003015694</v>
      </c>
      <c r="L72" s="13" t="s">
        <v>125</v>
      </c>
    </row>
    <row r="73" spans="1:12" x14ac:dyDescent="0.25">
      <c r="A73" s="15" t="s">
        <v>27</v>
      </c>
      <c r="B73" s="16">
        <v>42741</v>
      </c>
      <c r="C73" s="17">
        <v>184</v>
      </c>
      <c r="D73" s="17">
        <v>184.5</v>
      </c>
      <c r="E73" s="17">
        <v>183.5</v>
      </c>
      <c r="F73" s="17">
        <v>184</v>
      </c>
      <c r="G73" s="43">
        <f t="shared" si="5"/>
        <v>184.5</v>
      </c>
      <c r="H73" s="43">
        <f t="shared" si="6"/>
        <v>179</v>
      </c>
      <c r="I73" s="44">
        <f t="shared" si="7"/>
        <v>90.909090909090907</v>
      </c>
      <c r="J73" s="44">
        <f t="shared" si="8"/>
        <v>79.616629639415507</v>
      </c>
      <c r="K73" s="44">
        <f t="shared" si="9"/>
        <v>64.148646821688089</v>
      </c>
      <c r="L73" s="13" t="s">
        <v>125</v>
      </c>
    </row>
    <row r="74" spans="1:12" x14ac:dyDescent="0.25">
      <c r="A74" s="15" t="s">
        <v>27</v>
      </c>
      <c r="B74" s="16">
        <v>42740</v>
      </c>
      <c r="C74" s="17">
        <v>182</v>
      </c>
      <c r="D74" s="17">
        <v>183.5</v>
      </c>
      <c r="E74" s="17">
        <v>181.5</v>
      </c>
      <c r="F74" s="17">
        <v>183.5</v>
      </c>
      <c r="G74" s="43">
        <f t="shared" si="5"/>
        <v>184</v>
      </c>
      <c r="H74" s="43">
        <f t="shared" si="6"/>
        <v>178.5</v>
      </c>
      <c r="I74" s="44">
        <f t="shared" si="7"/>
        <v>90.909090909090907</v>
      </c>
      <c r="J74" s="44">
        <f t="shared" si="8"/>
        <v>73.970399004577814</v>
      </c>
      <c r="K74" s="44">
        <f t="shared" si="9"/>
        <v>56.414655412824388</v>
      </c>
      <c r="L74" s="13" t="s">
        <v>125</v>
      </c>
    </row>
    <row r="75" spans="1:12" x14ac:dyDescent="0.25">
      <c r="A75" s="15" t="s">
        <v>27</v>
      </c>
      <c r="B75" s="16">
        <v>42739</v>
      </c>
      <c r="C75" s="17">
        <v>183</v>
      </c>
      <c r="D75" s="17">
        <v>184</v>
      </c>
      <c r="E75" s="17">
        <v>181.5</v>
      </c>
      <c r="F75" s="17">
        <v>183</v>
      </c>
      <c r="G75" s="43">
        <f t="shared" si="5"/>
        <v>184</v>
      </c>
      <c r="H75" s="43">
        <f t="shared" si="6"/>
        <v>178.5</v>
      </c>
      <c r="I75" s="44">
        <f t="shared" si="7"/>
        <v>81.818181818181827</v>
      </c>
      <c r="J75" s="44">
        <f t="shared" si="8"/>
        <v>65.501053052321268</v>
      </c>
      <c r="K75" s="44">
        <f t="shared" si="9"/>
        <v>47.636783616947682</v>
      </c>
      <c r="L75" s="13" t="s">
        <v>125</v>
      </c>
    </row>
    <row r="76" spans="1:12" x14ac:dyDescent="0.25">
      <c r="A76" s="15" t="s">
        <v>27</v>
      </c>
      <c r="B76" s="16">
        <v>42738</v>
      </c>
      <c r="C76" s="17">
        <v>181.5</v>
      </c>
      <c r="D76" s="17">
        <v>183.5</v>
      </c>
      <c r="E76" s="17">
        <v>181</v>
      </c>
      <c r="F76" s="17">
        <v>183</v>
      </c>
      <c r="G76" s="43">
        <f t="shared" si="5"/>
        <v>183.5</v>
      </c>
      <c r="H76" s="43">
        <f t="shared" si="6"/>
        <v>178.5</v>
      </c>
      <c r="I76" s="44">
        <f t="shared" si="7"/>
        <v>90</v>
      </c>
      <c r="J76" s="44">
        <f t="shared" si="8"/>
        <v>57.342488669390995</v>
      </c>
      <c r="K76" s="44">
        <f t="shared" si="9"/>
        <v>38.704648899260889</v>
      </c>
      <c r="L76" s="13" t="s">
        <v>125</v>
      </c>
    </row>
    <row r="77" spans="1:12" x14ac:dyDescent="0.25">
      <c r="A77" s="15" t="s">
        <v>27</v>
      </c>
      <c r="B77" s="16">
        <v>42734</v>
      </c>
      <c r="C77" s="17">
        <v>181</v>
      </c>
      <c r="D77" s="17">
        <v>182.5</v>
      </c>
      <c r="E77" s="17">
        <v>180</v>
      </c>
      <c r="F77" s="17">
        <v>181.5</v>
      </c>
      <c r="G77" s="43">
        <f t="shared" si="5"/>
        <v>182.5</v>
      </c>
      <c r="H77" s="43">
        <f t="shared" si="6"/>
        <v>178.5</v>
      </c>
      <c r="I77" s="44">
        <f t="shared" si="7"/>
        <v>75</v>
      </c>
      <c r="J77" s="44">
        <f t="shared" si="8"/>
        <v>41.013733004086497</v>
      </c>
      <c r="K77" s="44">
        <f t="shared" si="9"/>
        <v>29.385729014195832</v>
      </c>
      <c r="L77" s="13" t="s">
        <v>125</v>
      </c>
    </row>
    <row r="78" spans="1:12" x14ac:dyDescent="0.25">
      <c r="A78" s="15" t="s">
        <v>27</v>
      </c>
      <c r="B78" s="16">
        <v>42733</v>
      </c>
      <c r="C78" s="17">
        <v>180</v>
      </c>
      <c r="D78" s="17">
        <v>181.5</v>
      </c>
      <c r="E78" s="17">
        <v>180</v>
      </c>
      <c r="F78" s="17">
        <v>180</v>
      </c>
      <c r="G78" s="43">
        <f t="shared" si="5"/>
        <v>184.5</v>
      </c>
      <c r="H78" s="43">
        <f t="shared" si="6"/>
        <v>178.5</v>
      </c>
      <c r="I78" s="44">
        <f t="shared" si="7"/>
        <v>25</v>
      </c>
      <c r="J78" s="44">
        <f t="shared" si="8"/>
        <v>24.020599506129745</v>
      </c>
      <c r="K78" s="44">
        <f t="shared" si="9"/>
        <v>23.571727019250499</v>
      </c>
      <c r="L78" s="13" t="s">
        <v>125</v>
      </c>
    </row>
    <row r="79" spans="1:12" x14ac:dyDescent="0.25">
      <c r="A79" s="15" t="s">
        <v>27</v>
      </c>
      <c r="B79" s="16">
        <v>42732</v>
      </c>
      <c r="C79" s="17">
        <v>181</v>
      </c>
      <c r="D79" s="17">
        <v>182</v>
      </c>
      <c r="E79" s="17">
        <v>180.5</v>
      </c>
      <c r="F79" s="17">
        <v>182</v>
      </c>
      <c r="G79" s="43">
        <f t="shared" si="5"/>
        <v>187</v>
      </c>
      <c r="H79" s="43">
        <f t="shared" si="6"/>
        <v>178.5</v>
      </c>
      <c r="I79" s="44">
        <f t="shared" si="7"/>
        <v>41.17647058823529</v>
      </c>
      <c r="J79" s="44">
        <f t="shared" si="8"/>
        <v>23.530899259194619</v>
      </c>
      <c r="K79" s="44">
        <f t="shared" si="9"/>
        <v>23.347290775810876</v>
      </c>
      <c r="L79" s="13" t="s">
        <v>125</v>
      </c>
    </row>
    <row r="80" spans="1:12" x14ac:dyDescent="0.25">
      <c r="A80" s="15" t="s">
        <v>27</v>
      </c>
      <c r="B80" s="16">
        <v>42731</v>
      </c>
      <c r="C80" s="17">
        <v>180</v>
      </c>
      <c r="D80" s="17">
        <v>180.5</v>
      </c>
      <c r="E80" s="17">
        <v>179.5</v>
      </c>
      <c r="F80" s="17">
        <v>180</v>
      </c>
      <c r="G80" s="43">
        <f t="shared" si="5"/>
        <v>187.5</v>
      </c>
      <c r="H80" s="43">
        <f t="shared" si="6"/>
        <v>178.5</v>
      </c>
      <c r="I80" s="44">
        <f t="shared" si="7"/>
        <v>16.666666666666664</v>
      </c>
      <c r="J80" s="44">
        <f t="shared" si="8"/>
        <v>14.708113594674288</v>
      </c>
      <c r="K80" s="44">
        <f t="shared" si="9"/>
        <v>23.255486534119008</v>
      </c>
      <c r="L80" s="13" t="s">
        <v>126</v>
      </c>
    </row>
    <row r="81" spans="1:12" x14ac:dyDescent="0.25">
      <c r="A81" s="15" t="s">
        <v>27</v>
      </c>
      <c r="B81" s="16">
        <v>42730</v>
      </c>
      <c r="C81" s="17">
        <v>179</v>
      </c>
      <c r="D81" s="17">
        <v>180</v>
      </c>
      <c r="E81" s="17">
        <v>179</v>
      </c>
      <c r="F81" s="17">
        <v>179.5</v>
      </c>
      <c r="G81" s="43">
        <f t="shared" si="5"/>
        <v>187.5</v>
      </c>
      <c r="H81" s="43">
        <f t="shared" si="6"/>
        <v>178.5</v>
      </c>
      <c r="I81" s="44">
        <f t="shared" si="7"/>
        <v>11.111111111111111</v>
      </c>
      <c r="J81" s="44">
        <f t="shared" si="8"/>
        <v>13.728837058678099</v>
      </c>
      <c r="K81" s="44">
        <f t="shared" si="9"/>
        <v>27.529173003841368</v>
      </c>
      <c r="L81" s="13" t="s">
        <v>126</v>
      </c>
    </row>
    <row r="82" spans="1:12" x14ac:dyDescent="0.25">
      <c r="A82" s="15" t="s">
        <v>27</v>
      </c>
      <c r="B82" s="16">
        <v>42727</v>
      </c>
      <c r="C82" s="17">
        <v>179</v>
      </c>
      <c r="D82" s="17">
        <v>180</v>
      </c>
      <c r="E82" s="17">
        <v>178.5</v>
      </c>
      <c r="F82" s="17">
        <v>178.5</v>
      </c>
      <c r="G82" s="43">
        <f t="shared" si="5"/>
        <v>187.5</v>
      </c>
      <c r="H82" s="43">
        <f t="shared" si="6"/>
        <v>178.5</v>
      </c>
      <c r="I82" s="44">
        <f t="shared" si="7"/>
        <v>0</v>
      </c>
      <c r="J82" s="44">
        <f t="shared" si="8"/>
        <v>15.037700032461593</v>
      </c>
      <c r="K82" s="44">
        <f t="shared" si="9"/>
        <v>34.429340976423006</v>
      </c>
      <c r="L82" s="13" t="s">
        <v>126</v>
      </c>
    </row>
    <row r="83" spans="1:12" x14ac:dyDescent="0.25">
      <c r="A83" s="15" t="s">
        <v>27</v>
      </c>
      <c r="B83" s="16">
        <v>42726</v>
      </c>
      <c r="C83" s="17">
        <v>180</v>
      </c>
      <c r="D83" s="17">
        <v>180.5</v>
      </c>
      <c r="E83" s="17">
        <v>179</v>
      </c>
      <c r="F83" s="17">
        <v>179</v>
      </c>
      <c r="G83" s="43">
        <f t="shared" si="5"/>
        <v>187.5</v>
      </c>
      <c r="H83" s="43">
        <f t="shared" si="6"/>
        <v>179</v>
      </c>
      <c r="I83" s="44">
        <f t="shared" si="7"/>
        <v>0</v>
      </c>
      <c r="J83" s="44">
        <f t="shared" si="8"/>
        <v>22.55655004869239</v>
      </c>
      <c r="K83" s="44">
        <f t="shared" si="9"/>
        <v>44.125161448403716</v>
      </c>
      <c r="L83" s="13" t="s">
        <v>126</v>
      </c>
    </row>
    <row r="84" spans="1:12" x14ac:dyDescent="0.25">
      <c r="A84" s="15" t="s">
        <v>27</v>
      </c>
      <c r="B84" s="16">
        <v>42725</v>
      </c>
      <c r="C84" s="17">
        <v>181</v>
      </c>
      <c r="D84" s="17">
        <v>182</v>
      </c>
      <c r="E84" s="17">
        <v>180</v>
      </c>
      <c r="F84" s="17">
        <v>180</v>
      </c>
      <c r="G84" s="43">
        <f t="shared" si="5"/>
        <v>187.5</v>
      </c>
      <c r="H84" s="43">
        <f t="shared" si="6"/>
        <v>180</v>
      </c>
      <c r="I84" s="44">
        <f t="shared" si="7"/>
        <v>0</v>
      </c>
      <c r="J84" s="44">
        <f t="shared" si="8"/>
        <v>33.834825073038587</v>
      </c>
      <c r="K84" s="44">
        <f t="shared" si="9"/>
        <v>54.909467148259374</v>
      </c>
      <c r="L84" s="13" t="s">
        <v>126</v>
      </c>
    </row>
    <row r="85" spans="1:12" x14ac:dyDescent="0.25">
      <c r="A85" s="15" t="s">
        <v>27</v>
      </c>
      <c r="B85" s="16">
        <v>42724</v>
      </c>
      <c r="C85" s="17">
        <v>181</v>
      </c>
      <c r="D85" s="17">
        <v>182.5</v>
      </c>
      <c r="E85" s="17">
        <v>180</v>
      </c>
      <c r="F85" s="17">
        <v>182.5</v>
      </c>
      <c r="G85" s="43">
        <f t="shared" si="5"/>
        <v>187.5</v>
      </c>
      <c r="H85" s="43">
        <f t="shared" si="6"/>
        <v>180</v>
      </c>
      <c r="I85" s="44">
        <f t="shared" si="7"/>
        <v>33.333333333333329</v>
      </c>
      <c r="J85" s="44">
        <f t="shared" si="8"/>
        <v>50.752237609557888</v>
      </c>
      <c r="K85" s="44">
        <f t="shared" si="9"/>
        <v>65.446788185869778</v>
      </c>
      <c r="L85" s="13" t="s">
        <v>126</v>
      </c>
    </row>
    <row r="86" spans="1:12" x14ac:dyDescent="0.25">
      <c r="A86" s="15" t="s">
        <v>27</v>
      </c>
      <c r="B86" s="16">
        <v>42723</v>
      </c>
      <c r="C86" s="17">
        <v>184</v>
      </c>
      <c r="D86" s="17">
        <v>184.5</v>
      </c>
      <c r="E86" s="17">
        <v>182.5</v>
      </c>
      <c r="F86" s="17">
        <v>182.5</v>
      </c>
      <c r="G86" s="43">
        <f t="shared" si="5"/>
        <v>187.5</v>
      </c>
      <c r="H86" s="43">
        <f t="shared" si="6"/>
        <v>181.5</v>
      </c>
      <c r="I86" s="44">
        <f t="shared" si="7"/>
        <v>16.666666666666664</v>
      </c>
      <c r="J86" s="44">
        <f t="shared" si="8"/>
        <v>59.461689747670178</v>
      </c>
      <c r="K86" s="44">
        <f t="shared" si="9"/>
        <v>72.794063474025734</v>
      </c>
      <c r="L86" s="13" t="s">
        <v>126</v>
      </c>
    </row>
    <row r="87" spans="1:12" x14ac:dyDescent="0.25">
      <c r="A87" s="15" t="s">
        <v>27</v>
      </c>
      <c r="B87" s="16">
        <v>42720</v>
      </c>
      <c r="C87" s="17">
        <v>185.5</v>
      </c>
      <c r="D87" s="17">
        <v>187</v>
      </c>
      <c r="E87" s="17">
        <v>185</v>
      </c>
      <c r="F87" s="17">
        <v>185</v>
      </c>
      <c r="G87" s="43">
        <f t="shared" si="5"/>
        <v>187.5</v>
      </c>
      <c r="H87" s="43">
        <f t="shared" si="6"/>
        <v>180.5</v>
      </c>
      <c r="I87" s="44">
        <f t="shared" si="7"/>
        <v>64.285714285714292</v>
      </c>
      <c r="J87" s="44">
        <f t="shared" si="8"/>
        <v>80.859201288171931</v>
      </c>
      <c r="K87" s="44">
        <f t="shared" si="9"/>
        <v>79.460250337203519</v>
      </c>
      <c r="L87" s="13" t="s">
        <v>125</v>
      </c>
    </row>
    <row r="88" spans="1:12" x14ac:dyDescent="0.25">
      <c r="A88" s="15" t="s">
        <v>27</v>
      </c>
      <c r="B88" s="16">
        <v>42719</v>
      </c>
      <c r="C88" s="17">
        <v>185</v>
      </c>
      <c r="D88" s="17">
        <v>187.5</v>
      </c>
      <c r="E88" s="17">
        <v>184.5</v>
      </c>
      <c r="F88" s="17">
        <v>187</v>
      </c>
      <c r="G88" s="43">
        <f t="shared" si="5"/>
        <v>187.5</v>
      </c>
      <c r="H88" s="43">
        <f t="shared" si="6"/>
        <v>178</v>
      </c>
      <c r="I88" s="44">
        <f t="shared" si="7"/>
        <v>94.73684210526315</v>
      </c>
      <c r="J88" s="44">
        <f t="shared" si="8"/>
        <v>89.145944789400744</v>
      </c>
      <c r="K88" s="44">
        <f t="shared" si="9"/>
        <v>78.760774861719312</v>
      </c>
      <c r="L88" s="13" t="s">
        <v>125</v>
      </c>
    </row>
    <row r="89" spans="1:12" x14ac:dyDescent="0.25">
      <c r="A89" s="15" t="s">
        <v>27</v>
      </c>
      <c r="B89" s="16">
        <v>42718</v>
      </c>
      <c r="C89" s="17">
        <v>186.5</v>
      </c>
      <c r="D89" s="17">
        <v>187.5</v>
      </c>
      <c r="E89" s="17">
        <v>185.5</v>
      </c>
      <c r="F89" s="17">
        <v>187.5</v>
      </c>
      <c r="G89" s="43">
        <f t="shared" si="5"/>
        <v>187.5</v>
      </c>
      <c r="H89" s="43">
        <f t="shared" si="6"/>
        <v>178</v>
      </c>
      <c r="I89" s="44">
        <f t="shared" si="7"/>
        <v>100</v>
      </c>
      <c r="J89" s="44">
        <f t="shared" si="8"/>
        <v>86.350496131469555</v>
      </c>
      <c r="K89" s="44">
        <f t="shared" si="9"/>
        <v>73.568189897878597</v>
      </c>
      <c r="L89" s="13" t="s">
        <v>125</v>
      </c>
    </row>
    <row r="90" spans="1:12" x14ac:dyDescent="0.25">
      <c r="A90" s="15" t="s">
        <v>27</v>
      </c>
      <c r="B90" s="16">
        <v>42717</v>
      </c>
      <c r="C90" s="17">
        <v>186.5</v>
      </c>
      <c r="D90" s="17">
        <v>186.5</v>
      </c>
      <c r="E90" s="17">
        <v>184.5</v>
      </c>
      <c r="F90" s="17">
        <v>186</v>
      </c>
      <c r="G90" s="43">
        <f t="shared" si="5"/>
        <v>187</v>
      </c>
      <c r="H90" s="43">
        <f t="shared" si="6"/>
        <v>178</v>
      </c>
      <c r="I90" s="44">
        <f t="shared" si="7"/>
        <v>88.888888888888886</v>
      </c>
      <c r="J90" s="44">
        <f t="shared" si="8"/>
        <v>79.525744197204347</v>
      </c>
      <c r="K90" s="44">
        <f t="shared" si="9"/>
        <v>67.177036781083132</v>
      </c>
      <c r="L90" s="13" t="s">
        <v>125</v>
      </c>
    </row>
    <row r="91" spans="1:12" x14ac:dyDescent="0.25">
      <c r="A91" s="15" t="s">
        <v>27</v>
      </c>
      <c r="B91" s="16">
        <v>42716</v>
      </c>
      <c r="C91" s="17">
        <v>186</v>
      </c>
      <c r="D91" s="17">
        <v>187</v>
      </c>
      <c r="E91" s="17">
        <v>184</v>
      </c>
      <c r="F91" s="17">
        <v>185</v>
      </c>
      <c r="G91" s="43">
        <f t="shared" si="5"/>
        <v>187</v>
      </c>
      <c r="H91" s="43">
        <f t="shared" si="6"/>
        <v>178</v>
      </c>
      <c r="I91" s="44">
        <f t="shared" si="7"/>
        <v>77.777777777777786</v>
      </c>
      <c r="J91" s="44">
        <f t="shared" si="8"/>
        <v>74.844171851362077</v>
      </c>
      <c r="K91" s="44">
        <f t="shared" si="9"/>
        <v>61.002683073022531</v>
      </c>
      <c r="L91" s="13" t="s">
        <v>125</v>
      </c>
    </row>
    <row r="92" spans="1:12" x14ac:dyDescent="0.25">
      <c r="A92" s="15" t="s">
        <v>27</v>
      </c>
      <c r="B92" s="16">
        <v>42713</v>
      </c>
      <c r="C92" s="17">
        <v>186</v>
      </c>
      <c r="D92" s="17">
        <v>186</v>
      </c>
      <c r="E92" s="17">
        <v>184.5</v>
      </c>
      <c r="F92" s="17">
        <v>186</v>
      </c>
      <c r="G92" s="43">
        <f t="shared" si="5"/>
        <v>186</v>
      </c>
      <c r="H92" s="43">
        <f t="shared" si="6"/>
        <v>178</v>
      </c>
      <c r="I92" s="44">
        <f t="shared" si="7"/>
        <v>100</v>
      </c>
      <c r="J92" s="44">
        <f t="shared" si="8"/>
        <v>73.377368888154237</v>
      </c>
      <c r="K92" s="44">
        <f t="shared" si="9"/>
        <v>54.081938683852769</v>
      </c>
      <c r="L92" s="13" t="s">
        <v>125</v>
      </c>
    </row>
    <row r="93" spans="1:12" x14ac:dyDescent="0.25">
      <c r="A93" s="15" t="s">
        <v>27</v>
      </c>
      <c r="B93" s="16">
        <v>42712</v>
      </c>
      <c r="C93" s="17">
        <v>184</v>
      </c>
      <c r="D93" s="17">
        <v>185.5</v>
      </c>
      <c r="E93" s="17">
        <v>183</v>
      </c>
      <c r="F93" s="17">
        <v>185.5</v>
      </c>
      <c r="G93" s="43">
        <f t="shared" si="5"/>
        <v>185.5</v>
      </c>
      <c r="H93" s="43">
        <f t="shared" si="6"/>
        <v>178</v>
      </c>
      <c r="I93" s="44">
        <f t="shared" si="7"/>
        <v>100</v>
      </c>
      <c r="J93" s="44">
        <f t="shared" si="8"/>
        <v>60.06605333223137</v>
      </c>
      <c r="K93" s="44">
        <f t="shared" si="9"/>
        <v>44.434223581702042</v>
      </c>
      <c r="L93" s="13" t="s">
        <v>125</v>
      </c>
    </row>
    <row r="94" spans="1:12" x14ac:dyDescent="0.25">
      <c r="A94" s="15" t="s">
        <v>27</v>
      </c>
      <c r="B94" s="16">
        <v>42711</v>
      </c>
      <c r="C94" s="17">
        <v>183</v>
      </c>
      <c r="D94" s="17">
        <v>183.5</v>
      </c>
      <c r="E94" s="17">
        <v>181.5</v>
      </c>
      <c r="F94" s="17">
        <v>181.5</v>
      </c>
      <c r="G94" s="43">
        <f t="shared" si="5"/>
        <v>185</v>
      </c>
      <c r="H94" s="43">
        <f t="shared" si="6"/>
        <v>178</v>
      </c>
      <c r="I94" s="44">
        <f t="shared" si="7"/>
        <v>50</v>
      </c>
      <c r="J94" s="44">
        <f t="shared" si="8"/>
        <v>40.099079998347065</v>
      </c>
      <c r="K94" s="44">
        <f t="shared" si="9"/>
        <v>36.618308706437382</v>
      </c>
      <c r="L94" s="13" t="s">
        <v>125</v>
      </c>
    </row>
    <row r="95" spans="1:12" x14ac:dyDescent="0.25">
      <c r="A95" s="15" t="s">
        <v>27</v>
      </c>
      <c r="B95" s="16">
        <v>42710</v>
      </c>
      <c r="C95" s="17">
        <v>181</v>
      </c>
      <c r="D95" s="17">
        <v>183</v>
      </c>
      <c r="E95" s="17">
        <v>180.5</v>
      </c>
      <c r="F95" s="17">
        <v>182</v>
      </c>
      <c r="G95" s="43">
        <f t="shared" si="5"/>
        <v>185</v>
      </c>
      <c r="H95" s="43">
        <f t="shared" si="6"/>
        <v>178</v>
      </c>
      <c r="I95" s="44">
        <f t="shared" si="7"/>
        <v>57.142857142857139</v>
      </c>
      <c r="J95" s="44">
        <f t="shared" si="8"/>
        <v>35.148619997520605</v>
      </c>
      <c r="K95" s="44">
        <f t="shared" si="9"/>
        <v>34.877923060482544</v>
      </c>
      <c r="L95" s="13" t="s">
        <v>125</v>
      </c>
    </row>
    <row r="96" spans="1:12" x14ac:dyDescent="0.25">
      <c r="A96" s="15" t="s">
        <v>27</v>
      </c>
      <c r="B96" s="16">
        <v>42709</v>
      </c>
      <c r="C96" s="17">
        <v>178</v>
      </c>
      <c r="D96" s="17">
        <v>180</v>
      </c>
      <c r="E96" s="17">
        <v>178</v>
      </c>
      <c r="F96" s="17">
        <v>179</v>
      </c>
      <c r="G96" s="43">
        <f t="shared" si="5"/>
        <v>186.5</v>
      </c>
      <c r="H96" s="43">
        <f t="shared" si="6"/>
        <v>178</v>
      </c>
      <c r="I96" s="44">
        <f t="shared" si="7"/>
        <v>11.76470588235294</v>
      </c>
      <c r="J96" s="44">
        <f t="shared" si="8"/>
        <v>24.151501424852341</v>
      </c>
      <c r="K96" s="44">
        <f t="shared" si="9"/>
        <v>34.742574591963518</v>
      </c>
      <c r="L96" s="13" t="s">
        <v>126</v>
      </c>
    </row>
    <row r="97" spans="1:12" x14ac:dyDescent="0.25">
      <c r="A97" s="15" t="s">
        <v>27</v>
      </c>
      <c r="B97" s="16">
        <v>42706</v>
      </c>
      <c r="C97" s="17">
        <v>179</v>
      </c>
      <c r="D97" s="17">
        <v>179.5</v>
      </c>
      <c r="E97" s="17">
        <v>178</v>
      </c>
      <c r="F97" s="17">
        <v>178</v>
      </c>
      <c r="G97" s="43">
        <f t="shared" si="5"/>
        <v>186.5</v>
      </c>
      <c r="H97" s="43">
        <f t="shared" si="6"/>
        <v>178</v>
      </c>
      <c r="I97" s="44">
        <f t="shared" si="7"/>
        <v>0</v>
      </c>
      <c r="J97" s="44">
        <f t="shared" si="8"/>
        <v>30.344899196102041</v>
      </c>
      <c r="K97" s="44">
        <f t="shared" si="9"/>
        <v>40.038111175519106</v>
      </c>
      <c r="L97" s="13" t="s">
        <v>126</v>
      </c>
    </row>
    <row r="98" spans="1:12" x14ac:dyDescent="0.25">
      <c r="A98" s="15" t="s">
        <v>27</v>
      </c>
      <c r="B98" s="16">
        <v>42705</v>
      </c>
      <c r="C98" s="17">
        <v>182</v>
      </c>
      <c r="D98" s="17">
        <v>183</v>
      </c>
      <c r="E98" s="17">
        <v>181.5</v>
      </c>
      <c r="F98" s="17">
        <v>183</v>
      </c>
      <c r="G98" s="43">
        <f t="shared" si="5"/>
        <v>186.5</v>
      </c>
      <c r="H98" s="43">
        <f t="shared" si="6"/>
        <v>180</v>
      </c>
      <c r="I98" s="44">
        <f t="shared" si="7"/>
        <v>46.153846153846153</v>
      </c>
      <c r="J98" s="44">
        <f t="shared" si="8"/>
        <v>45.517348794153065</v>
      </c>
      <c r="K98" s="44">
        <f t="shared" si="9"/>
        <v>44.884717165227642</v>
      </c>
      <c r="L98" s="13" t="s">
        <v>125</v>
      </c>
    </row>
    <row r="99" spans="1:12" x14ac:dyDescent="0.25">
      <c r="A99" s="15" t="s">
        <v>27</v>
      </c>
      <c r="B99" s="16">
        <v>42704</v>
      </c>
      <c r="C99" s="17">
        <v>181.5</v>
      </c>
      <c r="D99" s="17">
        <v>183</v>
      </c>
      <c r="E99" s="17">
        <v>181.5</v>
      </c>
      <c r="F99" s="17">
        <v>183</v>
      </c>
      <c r="G99" s="43">
        <f t="shared" si="5"/>
        <v>186.5</v>
      </c>
      <c r="H99" s="43">
        <f t="shared" si="6"/>
        <v>180</v>
      </c>
      <c r="I99" s="44">
        <f t="shared" si="7"/>
        <v>46.153846153846153</v>
      </c>
      <c r="J99" s="44">
        <f t="shared" si="8"/>
        <v>45.199100114306518</v>
      </c>
      <c r="K99" s="44">
        <f t="shared" si="9"/>
        <v>44.56840135076493</v>
      </c>
      <c r="L99" s="13" t="s">
        <v>125</v>
      </c>
    </row>
    <row r="100" spans="1:12" x14ac:dyDescent="0.25">
      <c r="A100" s="15" t="s">
        <v>27</v>
      </c>
      <c r="B100" s="16">
        <v>42703</v>
      </c>
      <c r="C100" s="17">
        <v>183.5</v>
      </c>
      <c r="D100" s="17">
        <v>185</v>
      </c>
      <c r="E100" s="17">
        <v>182</v>
      </c>
      <c r="F100" s="17">
        <v>182</v>
      </c>
      <c r="G100" s="43">
        <f t="shared" si="5"/>
        <v>186.5</v>
      </c>
      <c r="H100" s="43">
        <f t="shared" si="6"/>
        <v>180</v>
      </c>
      <c r="I100" s="44">
        <f t="shared" si="7"/>
        <v>30.76923076923077</v>
      </c>
      <c r="J100" s="44">
        <f t="shared" si="8"/>
        <v>44.721727094536703</v>
      </c>
      <c r="K100" s="44">
        <f t="shared" si="9"/>
        <v>44.253051968994136</v>
      </c>
      <c r="L100" s="13" t="s">
        <v>125</v>
      </c>
    </row>
    <row r="101" spans="1:12" x14ac:dyDescent="0.25">
      <c r="A101" s="15" t="s">
        <v>27</v>
      </c>
      <c r="B101" s="16">
        <v>42702</v>
      </c>
      <c r="C101" s="17">
        <v>181.5</v>
      </c>
      <c r="D101" s="17">
        <v>184</v>
      </c>
      <c r="E101" s="17">
        <v>181.5</v>
      </c>
      <c r="F101" s="17">
        <v>184</v>
      </c>
      <c r="G101" s="43">
        <f t="shared" si="5"/>
        <v>186.5</v>
      </c>
      <c r="H101" s="43">
        <f t="shared" si="6"/>
        <v>180</v>
      </c>
      <c r="I101" s="44">
        <f t="shared" si="7"/>
        <v>61.53846153846154</v>
      </c>
      <c r="J101" s="44">
        <f t="shared" si="8"/>
        <v>51.697975257189675</v>
      </c>
      <c r="K101" s="44">
        <f t="shared" si="9"/>
        <v>44.018714406222855</v>
      </c>
      <c r="L101" s="13" t="s">
        <v>125</v>
      </c>
    </row>
    <row r="102" spans="1:12" x14ac:dyDescent="0.25">
      <c r="A102" s="15" t="s">
        <v>27</v>
      </c>
      <c r="B102" s="16">
        <v>42699</v>
      </c>
      <c r="C102" s="17">
        <v>182.5</v>
      </c>
      <c r="D102" s="17">
        <v>183.5</v>
      </c>
      <c r="E102" s="17">
        <v>182</v>
      </c>
      <c r="F102" s="17">
        <v>182</v>
      </c>
      <c r="G102" s="43">
        <f t="shared" si="5"/>
        <v>186.5</v>
      </c>
      <c r="H102" s="43">
        <f t="shared" si="6"/>
        <v>179</v>
      </c>
      <c r="I102" s="44">
        <f t="shared" si="7"/>
        <v>40</v>
      </c>
      <c r="J102" s="44">
        <f t="shared" si="8"/>
        <v>46.77773211655375</v>
      </c>
      <c r="K102" s="44">
        <f t="shared" si="9"/>
        <v>40.179083980739456</v>
      </c>
      <c r="L102" s="13" t="s">
        <v>125</v>
      </c>
    </row>
    <row r="103" spans="1:12" x14ac:dyDescent="0.25">
      <c r="A103" s="15" t="s">
        <v>27</v>
      </c>
      <c r="B103" s="16">
        <v>42698</v>
      </c>
      <c r="C103" s="17">
        <v>184</v>
      </c>
      <c r="D103" s="17">
        <v>185</v>
      </c>
      <c r="E103" s="17">
        <v>183</v>
      </c>
      <c r="F103" s="17">
        <v>183</v>
      </c>
      <c r="G103" s="43">
        <f t="shared" si="5"/>
        <v>186.5</v>
      </c>
      <c r="H103" s="43">
        <f t="shared" si="6"/>
        <v>179</v>
      </c>
      <c r="I103" s="44">
        <f t="shared" si="7"/>
        <v>53.333333333333336</v>
      </c>
      <c r="J103" s="44">
        <f t="shared" si="8"/>
        <v>50.166598174830632</v>
      </c>
      <c r="K103" s="44">
        <f t="shared" si="9"/>
        <v>36.879759912832313</v>
      </c>
      <c r="L103" s="13" t="s">
        <v>125</v>
      </c>
    </row>
    <row r="104" spans="1:12" x14ac:dyDescent="0.25">
      <c r="A104" s="15" t="s">
        <v>27</v>
      </c>
      <c r="B104" s="16">
        <v>42697</v>
      </c>
      <c r="C104" s="17">
        <v>184.5</v>
      </c>
      <c r="D104" s="17">
        <v>186.5</v>
      </c>
      <c r="E104" s="17">
        <v>184</v>
      </c>
      <c r="F104" s="17">
        <v>185.5</v>
      </c>
      <c r="G104" s="43">
        <f t="shared" si="5"/>
        <v>186.5</v>
      </c>
      <c r="H104" s="43">
        <f t="shared" si="6"/>
        <v>179</v>
      </c>
      <c r="I104" s="44">
        <f t="shared" si="7"/>
        <v>86.666666666666671</v>
      </c>
      <c r="J104" s="44">
        <f t="shared" si="8"/>
        <v>48.58323059557928</v>
      </c>
      <c r="K104" s="44">
        <f t="shared" si="9"/>
        <v>30.236340781833153</v>
      </c>
      <c r="L104" s="13" t="s">
        <v>125</v>
      </c>
    </row>
    <row r="105" spans="1:12" x14ac:dyDescent="0.25">
      <c r="A105" s="15" t="s">
        <v>27</v>
      </c>
      <c r="B105" s="16">
        <v>42696</v>
      </c>
      <c r="C105" s="17">
        <v>182</v>
      </c>
      <c r="D105" s="17">
        <v>185</v>
      </c>
      <c r="E105" s="17">
        <v>181.5</v>
      </c>
      <c r="F105" s="17">
        <v>184</v>
      </c>
      <c r="G105" s="43">
        <f t="shared" si="5"/>
        <v>188</v>
      </c>
      <c r="H105" s="43">
        <f t="shared" si="6"/>
        <v>179</v>
      </c>
      <c r="I105" s="44">
        <f t="shared" si="7"/>
        <v>55.555555555555557</v>
      </c>
      <c r="J105" s="44">
        <f t="shared" si="8"/>
        <v>29.541512560035585</v>
      </c>
      <c r="K105" s="44">
        <f t="shared" si="9"/>
        <v>21.062895874960091</v>
      </c>
      <c r="L105" s="13" t="s">
        <v>125</v>
      </c>
    </row>
    <row r="106" spans="1:12" x14ac:dyDescent="0.25">
      <c r="A106" s="15" t="s">
        <v>27</v>
      </c>
      <c r="B106" s="16">
        <v>42695</v>
      </c>
      <c r="C106" s="17">
        <v>180.5</v>
      </c>
      <c r="D106" s="17">
        <v>181.5</v>
      </c>
      <c r="E106" s="17">
        <v>180</v>
      </c>
      <c r="F106" s="17">
        <v>181</v>
      </c>
      <c r="G106" s="43">
        <f t="shared" si="5"/>
        <v>190.5</v>
      </c>
      <c r="H106" s="43">
        <f t="shared" si="6"/>
        <v>179</v>
      </c>
      <c r="I106" s="44">
        <f t="shared" si="7"/>
        <v>17.391304347826086</v>
      </c>
      <c r="J106" s="44">
        <f t="shared" si="8"/>
        <v>16.534491062275599</v>
      </c>
      <c r="K106" s="44">
        <f t="shared" si="9"/>
        <v>16.823587532422344</v>
      </c>
      <c r="L106" s="13" t="s">
        <v>126</v>
      </c>
    </row>
    <row r="107" spans="1:12" x14ac:dyDescent="0.25">
      <c r="A107" s="15" t="s">
        <v>27</v>
      </c>
      <c r="B107" s="16">
        <v>42692</v>
      </c>
      <c r="C107" s="17">
        <v>181.5</v>
      </c>
      <c r="D107" s="17">
        <v>181.5</v>
      </c>
      <c r="E107" s="17">
        <v>180</v>
      </c>
      <c r="F107" s="17">
        <v>181</v>
      </c>
      <c r="G107" s="43">
        <f t="shared" si="5"/>
        <v>190.5</v>
      </c>
      <c r="H107" s="43">
        <f t="shared" si="6"/>
        <v>179</v>
      </c>
      <c r="I107" s="44">
        <f t="shared" si="7"/>
        <v>17.391304347826086</v>
      </c>
      <c r="J107" s="44">
        <f t="shared" si="8"/>
        <v>16.106084419500355</v>
      </c>
      <c r="K107" s="44">
        <f t="shared" si="9"/>
        <v>16.968135767495717</v>
      </c>
      <c r="L107" s="13" t="s">
        <v>126</v>
      </c>
    </row>
    <row r="108" spans="1:12" x14ac:dyDescent="0.25">
      <c r="A108" s="15" t="s">
        <v>27</v>
      </c>
      <c r="B108" s="16">
        <v>42691</v>
      </c>
      <c r="C108" s="17">
        <v>182</v>
      </c>
      <c r="D108" s="17">
        <v>182.5</v>
      </c>
      <c r="E108" s="17">
        <v>180.5</v>
      </c>
      <c r="F108" s="17">
        <v>181.5</v>
      </c>
      <c r="G108" s="43">
        <f t="shared" si="5"/>
        <v>190.5</v>
      </c>
      <c r="H108" s="43">
        <f t="shared" si="6"/>
        <v>179</v>
      </c>
      <c r="I108" s="44">
        <f t="shared" si="7"/>
        <v>21.739130434782609</v>
      </c>
      <c r="J108" s="44">
        <f t="shared" si="8"/>
        <v>15.463474455337494</v>
      </c>
      <c r="K108" s="44">
        <f t="shared" si="9"/>
        <v>17.399161441493398</v>
      </c>
      <c r="L108" s="13" t="s">
        <v>126</v>
      </c>
    </row>
    <row r="109" spans="1:12" x14ac:dyDescent="0.25">
      <c r="A109" s="15" t="s">
        <v>27</v>
      </c>
      <c r="B109" s="16">
        <v>42690</v>
      </c>
      <c r="C109" s="17">
        <v>180.5</v>
      </c>
      <c r="D109" s="17">
        <v>183</v>
      </c>
      <c r="E109" s="17">
        <v>180</v>
      </c>
      <c r="F109" s="17">
        <v>180</v>
      </c>
      <c r="G109" s="43">
        <f t="shared" si="5"/>
        <v>190.5</v>
      </c>
      <c r="H109" s="43">
        <f t="shared" si="6"/>
        <v>179</v>
      </c>
      <c r="I109" s="44">
        <f t="shared" si="7"/>
        <v>8.695652173913043</v>
      </c>
      <c r="J109" s="44">
        <f t="shared" si="8"/>
        <v>12.325646465614938</v>
      </c>
      <c r="K109" s="44">
        <f t="shared" si="9"/>
        <v>18.367004934571348</v>
      </c>
      <c r="L109" s="13" t="s">
        <v>126</v>
      </c>
    </row>
    <row r="110" spans="1:12" x14ac:dyDescent="0.25">
      <c r="A110" s="15" t="s">
        <v>27</v>
      </c>
      <c r="B110" s="16">
        <v>42689</v>
      </c>
      <c r="C110" s="17">
        <v>179.5</v>
      </c>
      <c r="D110" s="17">
        <v>182</v>
      </c>
      <c r="E110" s="17">
        <v>179</v>
      </c>
      <c r="F110" s="17">
        <v>180</v>
      </c>
      <c r="G110" s="43">
        <f t="shared" si="5"/>
        <v>190.5</v>
      </c>
      <c r="H110" s="43">
        <f t="shared" si="6"/>
        <v>179</v>
      </c>
      <c r="I110" s="44">
        <f t="shared" si="7"/>
        <v>8.695652173913043</v>
      </c>
      <c r="J110" s="44">
        <f t="shared" si="8"/>
        <v>14.140643611465887</v>
      </c>
      <c r="K110" s="44">
        <f t="shared" si="9"/>
        <v>21.387684169049557</v>
      </c>
      <c r="L110" s="13" t="s">
        <v>126</v>
      </c>
    </row>
    <row r="111" spans="1:12" x14ac:dyDescent="0.25">
      <c r="A111" s="15" t="s">
        <v>27</v>
      </c>
      <c r="B111" s="16">
        <v>42688</v>
      </c>
      <c r="C111" s="17">
        <v>181</v>
      </c>
      <c r="D111" s="17">
        <v>182</v>
      </c>
      <c r="E111" s="17">
        <v>180</v>
      </c>
      <c r="F111" s="17">
        <v>180.5</v>
      </c>
      <c r="G111" s="43">
        <f t="shared" si="5"/>
        <v>190.5</v>
      </c>
      <c r="H111" s="43">
        <f t="shared" si="6"/>
        <v>180</v>
      </c>
      <c r="I111" s="44">
        <f t="shared" si="7"/>
        <v>4.7619047619047619</v>
      </c>
      <c r="J111" s="44">
        <f t="shared" si="8"/>
        <v>16.863139330242312</v>
      </c>
      <c r="K111" s="44">
        <f t="shared" si="9"/>
        <v>25.011204447841394</v>
      </c>
      <c r="L111" s="13" t="s">
        <v>126</v>
      </c>
    </row>
    <row r="112" spans="1:12" x14ac:dyDescent="0.25">
      <c r="A112" s="15" t="s">
        <v>27</v>
      </c>
      <c r="B112" s="16">
        <v>42685</v>
      </c>
      <c r="C112" s="17">
        <v>181.5</v>
      </c>
      <c r="D112" s="17">
        <v>183</v>
      </c>
      <c r="E112" s="17">
        <v>181</v>
      </c>
      <c r="F112" s="17">
        <v>181.5</v>
      </c>
      <c r="G112" s="43">
        <f t="shared" si="5"/>
        <v>190.5</v>
      </c>
      <c r="H112" s="43">
        <f t="shared" si="6"/>
        <v>181</v>
      </c>
      <c r="I112" s="44">
        <f t="shared" si="7"/>
        <v>5.2631578947368416</v>
      </c>
      <c r="J112" s="44">
        <f t="shared" si="8"/>
        <v>22.913756614411085</v>
      </c>
      <c r="K112" s="44">
        <f t="shared" si="9"/>
        <v>29.085237006640938</v>
      </c>
      <c r="L112" s="13" t="s">
        <v>126</v>
      </c>
    </row>
    <row r="113" spans="1:12" x14ac:dyDescent="0.25">
      <c r="A113" s="15" t="s">
        <v>27</v>
      </c>
      <c r="B113" s="16">
        <v>42684</v>
      </c>
      <c r="C113" s="17">
        <v>187</v>
      </c>
      <c r="D113" s="17">
        <v>188</v>
      </c>
      <c r="E113" s="17">
        <v>185.5</v>
      </c>
      <c r="F113" s="17">
        <v>185.5</v>
      </c>
      <c r="G113" s="43">
        <f t="shared" si="5"/>
        <v>190.5</v>
      </c>
      <c r="H113" s="43">
        <f t="shared" si="6"/>
        <v>182</v>
      </c>
      <c r="I113" s="44">
        <f t="shared" si="7"/>
        <v>41.17647058823529</v>
      </c>
      <c r="J113" s="44">
        <f t="shared" si="8"/>
        <v>31.73905597424821</v>
      </c>
      <c r="K113" s="44">
        <f t="shared" si="9"/>
        <v>32.170977202755864</v>
      </c>
      <c r="L113" s="13" t="s">
        <v>126</v>
      </c>
    </row>
    <row r="114" spans="1:12" x14ac:dyDescent="0.25">
      <c r="A114" s="15" t="s">
        <v>27</v>
      </c>
      <c r="B114" s="16">
        <v>42683</v>
      </c>
      <c r="C114" s="17">
        <v>190</v>
      </c>
      <c r="D114" s="17">
        <v>190.5</v>
      </c>
      <c r="E114" s="17">
        <v>182</v>
      </c>
      <c r="F114" s="17">
        <v>182</v>
      </c>
      <c r="G114" s="43">
        <f t="shared" si="5"/>
        <v>190.5</v>
      </c>
      <c r="H114" s="43">
        <f t="shared" si="6"/>
        <v>182</v>
      </c>
      <c r="I114" s="44">
        <f t="shared" si="7"/>
        <v>0</v>
      </c>
      <c r="J114" s="44">
        <f t="shared" si="8"/>
        <v>27.020348667254673</v>
      </c>
      <c r="K114" s="44">
        <f t="shared" si="9"/>
        <v>32.386937817009695</v>
      </c>
      <c r="L114" s="13" t="s">
        <v>126</v>
      </c>
    </row>
    <row r="115" spans="1:12" x14ac:dyDescent="0.25">
      <c r="A115" s="15" t="s">
        <v>27</v>
      </c>
      <c r="B115" s="16">
        <v>42682</v>
      </c>
      <c r="C115" s="17">
        <v>190</v>
      </c>
      <c r="D115" s="17">
        <v>190</v>
      </c>
      <c r="E115" s="17">
        <v>188</v>
      </c>
      <c r="F115" s="17">
        <v>188.5</v>
      </c>
      <c r="G115" s="43">
        <f t="shared" si="5"/>
        <v>191.5</v>
      </c>
      <c r="H115" s="43">
        <f t="shared" si="6"/>
        <v>184</v>
      </c>
      <c r="I115" s="44">
        <f t="shared" si="7"/>
        <v>60</v>
      </c>
      <c r="J115" s="44">
        <f t="shared" si="8"/>
        <v>40.530523000882013</v>
      </c>
      <c r="K115" s="44">
        <f t="shared" si="9"/>
        <v>35.07023239188721</v>
      </c>
      <c r="L115" s="13" t="s">
        <v>125</v>
      </c>
    </row>
    <row r="116" spans="1:12" x14ac:dyDescent="0.25">
      <c r="A116" s="15" t="s">
        <v>27</v>
      </c>
      <c r="B116" s="16">
        <v>42681</v>
      </c>
      <c r="C116" s="17">
        <v>186.5</v>
      </c>
      <c r="D116" s="17">
        <v>189</v>
      </c>
      <c r="E116" s="17">
        <v>186</v>
      </c>
      <c r="F116" s="17">
        <v>189</v>
      </c>
      <c r="G116" s="43">
        <f t="shared" si="5"/>
        <v>192.5</v>
      </c>
      <c r="H116" s="43">
        <f t="shared" si="6"/>
        <v>184</v>
      </c>
      <c r="I116" s="44">
        <f t="shared" si="7"/>
        <v>58.82352941176471</v>
      </c>
      <c r="J116" s="44">
        <f t="shared" si="8"/>
        <v>30.795784501323027</v>
      </c>
      <c r="K116" s="44">
        <f t="shared" si="9"/>
        <v>32.340087087389811</v>
      </c>
      <c r="L116" s="13" t="s">
        <v>126</v>
      </c>
    </row>
    <row r="117" spans="1:12" x14ac:dyDescent="0.25">
      <c r="A117" s="15" t="s">
        <v>27</v>
      </c>
      <c r="B117" s="16">
        <v>42678</v>
      </c>
      <c r="C117" s="17">
        <v>184.5</v>
      </c>
      <c r="D117" s="17">
        <v>186</v>
      </c>
      <c r="E117" s="17">
        <v>184</v>
      </c>
      <c r="F117" s="17">
        <v>184.5</v>
      </c>
      <c r="G117" s="43">
        <f t="shared" si="5"/>
        <v>193</v>
      </c>
      <c r="H117" s="43">
        <f t="shared" si="6"/>
        <v>184</v>
      </c>
      <c r="I117" s="44">
        <f t="shared" si="7"/>
        <v>5.5555555555555554</v>
      </c>
      <c r="J117" s="44">
        <f t="shared" si="8"/>
        <v>16.781912046102185</v>
      </c>
      <c r="K117" s="44">
        <f t="shared" si="9"/>
        <v>33.112238380423207</v>
      </c>
      <c r="L117" s="13" t="s">
        <v>126</v>
      </c>
    </row>
    <row r="118" spans="1:12" x14ac:dyDescent="0.25">
      <c r="A118" s="15" t="s">
        <v>27</v>
      </c>
      <c r="B118" s="16">
        <v>42677</v>
      </c>
      <c r="C118" s="17">
        <v>185.5</v>
      </c>
      <c r="D118" s="17">
        <v>186.5</v>
      </c>
      <c r="E118" s="17">
        <v>184.5</v>
      </c>
      <c r="F118" s="17">
        <v>184.5</v>
      </c>
      <c r="G118" s="43">
        <f t="shared" si="5"/>
        <v>193</v>
      </c>
      <c r="H118" s="43">
        <f t="shared" si="6"/>
        <v>184.5</v>
      </c>
      <c r="I118" s="44">
        <f t="shared" si="7"/>
        <v>0</v>
      </c>
      <c r="J118" s="44">
        <f t="shared" si="8"/>
        <v>22.395090291375499</v>
      </c>
      <c r="K118" s="44">
        <f t="shared" si="9"/>
        <v>41.277401547583715</v>
      </c>
      <c r="L118" s="13" t="s">
        <v>126</v>
      </c>
    </row>
    <row r="119" spans="1:12" x14ac:dyDescent="0.25">
      <c r="A119" s="15" t="s">
        <v>27</v>
      </c>
      <c r="B119" s="16">
        <v>42676</v>
      </c>
      <c r="C119" s="17">
        <v>187.5</v>
      </c>
      <c r="D119" s="17">
        <v>188</v>
      </c>
      <c r="E119" s="17">
        <v>186</v>
      </c>
      <c r="F119" s="17">
        <v>186</v>
      </c>
      <c r="G119" s="43">
        <f t="shared" si="5"/>
        <v>193</v>
      </c>
      <c r="H119" s="43">
        <f t="shared" si="6"/>
        <v>186</v>
      </c>
      <c r="I119" s="44">
        <f t="shared" si="7"/>
        <v>0</v>
      </c>
      <c r="J119" s="44">
        <f t="shared" si="8"/>
        <v>33.592635437063251</v>
      </c>
      <c r="K119" s="44">
        <f t="shared" si="9"/>
        <v>50.718557175687828</v>
      </c>
      <c r="L119" s="13" t="s">
        <v>126</v>
      </c>
    </row>
    <row r="120" spans="1:12" x14ac:dyDescent="0.25">
      <c r="A120" s="15" t="s">
        <v>27</v>
      </c>
      <c r="B120" s="16">
        <v>42675</v>
      </c>
      <c r="C120" s="17">
        <v>188.5</v>
      </c>
      <c r="D120" s="17">
        <v>189.5</v>
      </c>
      <c r="E120" s="17">
        <v>187.5</v>
      </c>
      <c r="F120" s="17">
        <v>189.5</v>
      </c>
      <c r="G120" s="43">
        <f t="shared" si="5"/>
        <v>193</v>
      </c>
      <c r="H120" s="43">
        <f t="shared" si="6"/>
        <v>186.5</v>
      </c>
      <c r="I120" s="44">
        <f t="shared" si="7"/>
        <v>46.153846153846153</v>
      </c>
      <c r="J120" s="44">
        <f t="shared" si="8"/>
        <v>50.388953155594876</v>
      </c>
      <c r="K120" s="44">
        <f t="shared" si="9"/>
        <v>59.281518045000126</v>
      </c>
      <c r="L120" s="13" t="s">
        <v>126</v>
      </c>
    </row>
    <row r="121" spans="1:12" x14ac:dyDescent="0.25">
      <c r="A121" s="15" t="s">
        <v>27</v>
      </c>
      <c r="B121" s="16">
        <v>42674</v>
      </c>
      <c r="C121" s="17">
        <v>189</v>
      </c>
      <c r="D121" s="17">
        <v>190.5</v>
      </c>
      <c r="E121" s="17">
        <v>186.5</v>
      </c>
      <c r="F121" s="17">
        <v>188.5</v>
      </c>
      <c r="G121" s="43">
        <f t="shared" si="5"/>
        <v>193</v>
      </c>
      <c r="H121" s="43">
        <f t="shared" si="6"/>
        <v>186.5</v>
      </c>
      <c r="I121" s="44">
        <f t="shared" si="7"/>
        <v>30.76923076923077</v>
      </c>
      <c r="J121" s="44">
        <f t="shared" si="8"/>
        <v>52.506506656469234</v>
      </c>
      <c r="K121" s="44">
        <f t="shared" si="9"/>
        <v>63.727800489702751</v>
      </c>
      <c r="L121" s="13" t="s">
        <v>126</v>
      </c>
    </row>
    <row r="122" spans="1:12" x14ac:dyDescent="0.25">
      <c r="A122" s="15" t="s">
        <v>27</v>
      </c>
      <c r="B122" s="16">
        <v>42671</v>
      </c>
      <c r="C122" s="17">
        <v>189.5</v>
      </c>
      <c r="D122" s="17">
        <v>190</v>
      </c>
      <c r="E122" s="17">
        <v>188.5</v>
      </c>
      <c r="F122" s="17">
        <v>189.5</v>
      </c>
      <c r="G122" s="43">
        <f t="shared" si="5"/>
        <v>193</v>
      </c>
      <c r="H122" s="43">
        <f t="shared" si="6"/>
        <v>185.5</v>
      </c>
      <c r="I122" s="44">
        <f t="shared" si="7"/>
        <v>53.333333333333336</v>
      </c>
      <c r="J122" s="44">
        <f t="shared" si="8"/>
        <v>63.375144600088468</v>
      </c>
      <c r="K122" s="44">
        <f t="shared" si="9"/>
        <v>69.338447406319517</v>
      </c>
      <c r="L122" s="13" t="s">
        <v>126</v>
      </c>
    </row>
    <row r="123" spans="1:12" x14ac:dyDescent="0.25">
      <c r="A123" s="15" t="s">
        <v>27</v>
      </c>
      <c r="B123" s="16">
        <v>42670</v>
      </c>
      <c r="C123" s="17">
        <v>191.5</v>
      </c>
      <c r="D123" s="17">
        <v>191.5</v>
      </c>
      <c r="E123" s="17">
        <v>188.5</v>
      </c>
      <c r="F123" s="17">
        <v>188.5</v>
      </c>
      <c r="G123" s="43">
        <f t="shared" si="5"/>
        <v>193</v>
      </c>
      <c r="H123" s="43">
        <f t="shared" si="6"/>
        <v>185</v>
      </c>
      <c r="I123" s="44">
        <f t="shared" si="7"/>
        <v>43.75</v>
      </c>
      <c r="J123" s="44">
        <f t="shared" si="8"/>
        <v>68.396050233466042</v>
      </c>
      <c r="K123" s="44">
        <f t="shared" si="9"/>
        <v>72.320098809435052</v>
      </c>
      <c r="L123" s="13" t="s">
        <v>126</v>
      </c>
    </row>
    <row r="124" spans="1:12" x14ac:dyDescent="0.25">
      <c r="A124" s="15" t="s">
        <v>27</v>
      </c>
      <c r="B124" s="16">
        <v>42669</v>
      </c>
      <c r="C124" s="17">
        <v>190.5</v>
      </c>
      <c r="D124" s="17">
        <v>192.5</v>
      </c>
      <c r="E124" s="17">
        <v>190.5</v>
      </c>
      <c r="F124" s="17">
        <v>191.5</v>
      </c>
      <c r="G124" s="43">
        <f t="shared" si="5"/>
        <v>193</v>
      </c>
      <c r="H124" s="43">
        <f t="shared" si="6"/>
        <v>185</v>
      </c>
      <c r="I124" s="44">
        <f t="shared" si="7"/>
        <v>81.25</v>
      </c>
      <c r="J124" s="44">
        <f t="shared" si="8"/>
        <v>80.719075350199063</v>
      </c>
      <c r="K124" s="44">
        <f t="shared" si="9"/>
        <v>74.282123097419571</v>
      </c>
      <c r="L124" s="13" t="s">
        <v>125</v>
      </c>
    </row>
    <row r="125" spans="1:12" x14ac:dyDescent="0.25">
      <c r="A125" s="15" t="s">
        <v>27</v>
      </c>
      <c r="B125" s="16">
        <v>42668</v>
      </c>
      <c r="C125" s="17">
        <v>192</v>
      </c>
      <c r="D125" s="17">
        <v>193</v>
      </c>
      <c r="E125" s="17">
        <v>191</v>
      </c>
      <c r="F125" s="17">
        <v>193</v>
      </c>
      <c r="G125" s="43">
        <f t="shared" si="5"/>
        <v>193</v>
      </c>
      <c r="H125" s="43">
        <f t="shared" si="6"/>
        <v>185</v>
      </c>
      <c r="I125" s="44">
        <f t="shared" si="7"/>
        <v>100</v>
      </c>
      <c r="J125" s="44">
        <f t="shared" si="8"/>
        <v>80.453613025298608</v>
      </c>
      <c r="K125" s="44">
        <f t="shared" si="9"/>
        <v>71.06364697102984</v>
      </c>
      <c r="L125" s="13" t="s">
        <v>125</v>
      </c>
    </row>
    <row r="126" spans="1:12" x14ac:dyDescent="0.25">
      <c r="A126" s="15" t="s">
        <v>27</v>
      </c>
      <c r="B126" s="16">
        <v>42667</v>
      </c>
      <c r="C126" s="17">
        <v>191</v>
      </c>
      <c r="D126" s="17">
        <v>191</v>
      </c>
      <c r="E126" s="17">
        <v>189.5</v>
      </c>
      <c r="F126" s="17">
        <v>191</v>
      </c>
      <c r="G126" s="43">
        <f t="shared" si="5"/>
        <v>192</v>
      </c>
      <c r="H126" s="43">
        <f t="shared" si="6"/>
        <v>185</v>
      </c>
      <c r="I126" s="44">
        <f t="shared" si="7"/>
        <v>85.714285714285708</v>
      </c>
      <c r="J126" s="44">
        <f t="shared" si="8"/>
        <v>70.680419537947927</v>
      </c>
      <c r="K126" s="44">
        <f t="shared" si="9"/>
        <v>66.368663943895456</v>
      </c>
      <c r="L126" s="13" t="s">
        <v>125</v>
      </c>
    </row>
    <row r="127" spans="1:12" x14ac:dyDescent="0.25">
      <c r="A127" s="15" t="s">
        <v>27</v>
      </c>
      <c r="B127" s="16">
        <v>42664</v>
      </c>
      <c r="C127" s="17">
        <v>191</v>
      </c>
      <c r="D127" s="17">
        <v>192</v>
      </c>
      <c r="E127" s="17">
        <v>188.5</v>
      </c>
      <c r="F127" s="17">
        <v>188.5</v>
      </c>
      <c r="G127" s="43">
        <f t="shared" si="5"/>
        <v>192</v>
      </c>
      <c r="H127" s="43">
        <f t="shared" si="6"/>
        <v>185</v>
      </c>
      <c r="I127" s="44">
        <f t="shared" si="7"/>
        <v>50</v>
      </c>
      <c r="J127" s="44">
        <f t="shared" si="8"/>
        <v>63.163486449779036</v>
      </c>
      <c r="K127" s="44">
        <f t="shared" si="9"/>
        <v>64.212786146869234</v>
      </c>
      <c r="L127" s="13" t="s">
        <v>126</v>
      </c>
    </row>
    <row r="128" spans="1:12" x14ac:dyDescent="0.25">
      <c r="A128" s="15" t="s">
        <v>27</v>
      </c>
      <c r="B128" s="16">
        <v>42663</v>
      </c>
      <c r="C128" s="17">
        <v>189.5</v>
      </c>
      <c r="D128" s="17">
        <v>190.5</v>
      </c>
      <c r="E128" s="17">
        <v>189</v>
      </c>
      <c r="F128" s="17">
        <v>190.5</v>
      </c>
      <c r="G128" s="43">
        <f t="shared" si="5"/>
        <v>191</v>
      </c>
      <c r="H128" s="43">
        <f t="shared" si="6"/>
        <v>185</v>
      </c>
      <c r="I128" s="44">
        <f t="shared" si="7"/>
        <v>91.666666666666657</v>
      </c>
      <c r="J128" s="44">
        <f t="shared" si="8"/>
        <v>69.745229674668565</v>
      </c>
      <c r="K128" s="44">
        <f t="shared" si="9"/>
        <v>64.73743599541433</v>
      </c>
      <c r="L128" s="13" t="s">
        <v>125</v>
      </c>
    </row>
    <row r="129" spans="1:12" x14ac:dyDescent="0.25">
      <c r="A129" s="15" t="s">
        <v>27</v>
      </c>
      <c r="B129" s="16">
        <v>42662</v>
      </c>
      <c r="C129" s="17">
        <v>187.5</v>
      </c>
      <c r="D129" s="17">
        <v>189.5</v>
      </c>
      <c r="E129" s="17">
        <v>187.5</v>
      </c>
      <c r="F129" s="17">
        <v>189.5</v>
      </c>
      <c r="G129" s="43">
        <f t="shared" si="5"/>
        <v>191</v>
      </c>
      <c r="H129" s="43">
        <f t="shared" si="6"/>
        <v>185</v>
      </c>
      <c r="I129" s="44">
        <f t="shared" si="7"/>
        <v>75</v>
      </c>
      <c r="J129" s="44">
        <f t="shared" si="8"/>
        <v>58.784511178669511</v>
      </c>
      <c r="K129" s="44">
        <f t="shared" si="9"/>
        <v>62.233539155787234</v>
      </c>
      <c r="L129" s="13" t="s">
        <v>126</v>
      </c>
    </row>
    <row r="130" spans="1:12" x14ac:dyDescent="0.25">
      <c r="A130" s="15" t="s">
        <v>27</v>
      </c>
      <c r="B130" s="16">
        <v>42661</v>
      </c>
      <c r="C130" s="17">
        <v>186.5</v>
      </c>
      <c r="D130" s="17">
        <v>187</v>
      </c>
      <c r="E130" s="17">
        <v>185.5</v>
      </c>
      <c r="F130" s="17">
        <v>187</v>
      </c>
      <c r="G130" s="43">
        <f t="shared" ref="G130:G193" si="10">MAX(D130:D138)</f>
        <v>191</v>
      </c>
      <c r="H130" s="43">
        <f t="shared" ref="H130:H193" si="11">MIN(E130:E138)</f>
        <v>184.5</v>
      </c>
      <c r="I130" s="44">
        <f t="shared" si="7"/>
        <v>38.461538461538467</v>
      </c>
      <c r="J130" s="44">
        <f t="shared" si="8"/>
        <v>50.676766768004271</v>
      </c>
      <c r="K130" s="44">
        <f t="shared" si="9"/>
        <v>63.958053144346096</v>
      </c>
      <c r="L130" s="13" t="s">
        <v>126</v>
      </c>
    </row>
    <row r="131" spans="1:12" x14ac:dyDescent="0.25">
      <c r="A131" s="15" t="s">
        <v>27</v>
      </c>
      <c r="B131" s="16">
        <v>42660</v>
      </c>
      <c r="C131" s="17">
        <v>186.5</v>
      </c>
      <c r="D131" s="17">
        <v>187.5</v>
      </c>
      <c r="E131" s="17">
        <v>185</v>
      </c>
      <c r="F131" s="17">
        <v>186.5</v>
      </c>
      <c r="G131" s="43">
        <f t="shared" si="10"/>
        <v>191</v>
      </c>
      <c r="H131" s="43">
        <f t="shared" si="11"/>
        <v>184.5</v>
      </c>
      <c r="I131" s="44">
        <f t="shared" ref="I131:I194" si="12">RSV(F131,G131,H131)</f>
        <v>30.76923076923077</v>
      </c>
      <c r="J131" s="44">
        <f t="shared" ref="J131:J194" si="13">K(I131,J132)</f>
        <v>56.78438092123718</v>
      </c>
      <c r="K131" s="44">
        <f t="shared" ref="K131:K194" si="14">D(J131,K132)</f>
        <v>70.598696332517022</v>
      </c>
      <c r="L131" s="13" t="s">
        <v>126</v>
      </c>
    </row>
    <row r="132" spans="1:12" x14ac:dyDescent="0.25">
      <c r="A132" s="15" t="s">
        <v>27</v>
      </c>
      <c r="B132" s="16">
        <v>42657</v>
      </c>
      <c r="C132" s="17">
        <v>187</v>
      </c>
      <c r="D132" s="17">
        <v>189</v>
      </c>
      <c r="E132" s="17">
        <v>186.5</v>
      </c>
      <c r="F132" s="17">
        <v>188</v>
      </c>
      <c r="G132" s="43">
        <f t="shared" si="10"/>
        <v>191</v>
      </c>
      <c r="H132" s="43">
        <f t="shared" si="11"/>
        <v>184.5</v>
      </c>
      <c r="I132" s="44">
        <f t="shared" si="12"/>
        <v>53.846153846153847</v>
      </c>
      <c r="J132" s="44">
        <f t="shared" si="13"/>
        <v>69.791955997240393</v>
      </c>
      <c r="K132" s="44">
        <f t="shared" si="14"/>
        <v>77.505854038156954</v>
      </c>
      <c r="L132" s="13" t="s">
        <v>126</v>
      </c>
    </row>
    <row r="133" spans="1:12" x14ac:dyDescent="0.25">
      <c r="A133" s="15" t="s">
        <v>27</v>
      </c>
      <c r="B133" s="16">
        <v>42656</v>
      </c>
      <c r="C133" s="17">
        <v>190.5</v>
      </c>
      <c r="D133" s="17">
        <v>191</v>
      </c>
      <c r="E133" s="17">
        <v>187</v>
      </c>
      <c r="F133" s="17">
        <v>188.5</v>
      </c>
      <c r="G133" s="43">
        <f t="shared" si="10"/>
        <v>191</v>
      </c>
      <c r="H133" s="43">
        <f t="shared" si="11"/>
        <v>182.5</v>
      </c>
      <c r="I133" s="44">
        <f t="shared" si="12"/>
        <v>70.588235294117652</v>
      </c>
      <c r="J133" s="44">
        <f t="shared" si="13"/>
        <v>77.764857072783684</v>
      </c>
      <c r="K133" s="44">
        <f t="shared" si="14"/>
        <v>81.362803058615242</v>
      </c>
      <c r="L133" s="13" t="s">
        <v>126</v>
      </c>
    </row>
    <row r="134" spans="1:12" x14ac:dyDescent="0.25">
      <c r="A134" s="15" t="s">
        <v>27</v>
      </c>
      <c r="B134" s="16">
        <v>42655</v>
      </c>
      <c r="C134" s="17">
        <v>186.5</v>
      </c>
      <c r="D134" s="17">
        <v>190</v>
      </c>
      <c r="E134" s="17">
        <v>186</v>
      </c>
      <c r="F134" s="17">
        <v>189.5</v>
      </c>
      <c r="G134" s="43">
        <f t="shared" si="10"/>
        <v>191</v>
      </c>
      <c r="H134" s="43">
        <f t="shared" si="11"/>
        <v>182.5</v>
      </c>
      <c r="I134" s="44">
        <f t="shared" si="12"/>
        <v>82.35294117647058</v>
      </c>
      <c r="J134" s="44">
        <f t="shared" si="13"/>
        <v>81.353167962116714</v>
      </c>
      <c r="K134" s="44">
        <f t="shared" si="14"/>
        <v>83.161776051531021</v>
      </c>
      <c r="L134" s="13" t="s">
        <v>126</v>
      </c>
    </row>
    <row r="135" spans="1:12" x14ac:dyDescent="0.25">
      <c r="A135" s="15" t="s">
        <v>27</v>
      </c>
      <c r="B135" s="16">
        <v>42654</v>
      </c>
      <c r="C135" s="17">
        <v>191</v>
      </c>
      <c r="D135" s="17">
        <v>191</v>
      </c>
      <c r="E135" s="17">
        <v>186</v>
      </c>
      <c r="F135" s="17">
        <v>187.5</v>
      </c>
      <c r="G135" s="43">
        <f t="shared" si="10"/>
        <v>191</v>
      </c>
      <c r="H135" s="43">
        <f t="shared" si="11"/>
        <v>182.5</v>
      </c>
      <c r="I135" s="44">
        <f t="shared" si="12"/>
        <v>58.82352941176471</v>
      </c>
      <c r="J135" s="44">
        <f t="shared" si="13"/>
        <v>80.853281354939782</v>
      </c>
      <c r="K135" s="44">
        <f t="shared" si="14"/>
        <v>84.066080096238181</v>
      </c>
      <c r="L135" s="13" t="s">
        <v>126</v>
      </c>
    </row>
    <row r="136" spans="1:12" x14ac:dyDescent="0.25">
      <c r="A136" s="15" t="s">
        <v>27</v>
      </c>
      <c r="B136" s="16">
        <v>42650</v>
      </c>
      <c r="C136" s="17">
        <v>188</v>
      </c>
      <c r="D136" s="17">
        <v>188</v>
      </c>
      <c r="E136" s="17">
        <v>186</v>
      </c>
      <c r="F136" s="17">
        <v>188</v>
      </c>
      <c r="G136" s="43">
        <f t="shared" si="10"/>
        <v>188</v>
      </c>
      <c r="H136" s="43">
        <f t="shared" si="11"/>
        <v>182.5</v>
      </c>
      <c r="I136" s="44">
        <f t="shared" si="12"/>
        <v>100</v>
      </c>
      <c r="J136" s="44">
        <f t="shared" si="13"/>
        <v>91.868157326527324</v>
      </c>
      <c r="K136" s="44">
        <f t="shared" si="14"/>
        <v>85.672479466887395</v>
      </c>
      <c r="L136" s="13" t="s">
        <v>125</v>
      </c>
    </row>
    <row r="137" spans="1:12" x14ac:dyDescent="0.25">
      <c r="A137" s="15" t="s">
        <v>27</v>
      </c>
      <c r="B137" s="16">
        <v>42649</v>
      </c>
      <c r="C137" s="17">
        <v>185</v>
      </c>
      <c r="D137" s="17">
        <v>187.5</v>
      </c>
      <c r="E137" s="17">
        <v>185</v>
      </c>
      <c r="F137" s="17">
        <v>187.5</v>
      </c>
      <c r="G137" s="43">
        <f t="shared" si="10"/>
        <v>187.5</v>
      </c>
      <c r="H137" s="43">
        <f t="shared" si="11"/>
        <v>182.5</v>
      </c>
      <c r="I137" s="44">
        <f t="shared" si="12"/>
        <v>100</v>
      </c>
      <c r="J137" s="44">
        <f t="shared" si="13"/>
        <v>87.802235989791001</v>
      </c>
      <c r="K137" s="44">
        <f t="shared" si="14"/>
        <v>82.574640537067438</v>
      </c>
      <c r="L137" s="13" t="s">
        <v>125</v>
      </c>
    </row>
    <row r="138" spans="1:12" x14ac:dyDescent="0.25">
      <c r="A138" s="15" t="s">
        <v>27</v>
      </c>
      <c r="B138" s="16">
        <v>42648</v>
      </c>
      <c r="C138" s="17">
        <v>186</v>
      </c>
      <c r="D138" s="17">
        <v>186</v>
      </c>
      <c r="E138" s="17">
        <v>184.5</v>
      </c>
      <c r="F138" s="17">
        <v>186</v>
      </c>
      <c r="G138" s="43">
        <f t="shared" si="10"/>
        <v>187.5</v>
      </c>
      <c r="H138" s="43">
        <f t="shared" si="11"/>
        <v>180.5</v>
      </c>
      <c r="I138" s="44">
        <f t="shared" si="12"/>
        <v>78.571428571428569</v>
      </c>
      <c r="J138" s="44">
        <f t="shared" si="13"/>
        <v>81.703353984686515</v>
      </c>
      <c r="K138" s="44">
        <f t="shared" si="14"/>
        <v>79.960842810705671</v>
      </c>
      <c r="L138" s="13" t="s">
        <v>125</v>
      </c>
    </row>
    <row r="139" spans="1:12" x14ac:dyDescent="0.25">
      <c r="A139" s="15" t="s">
        <v>27</v>
      </c>
      <c r="B139" s="16">
        <v>42647</v>
      </c>
      <c r="C139" s="17">
        <v>185</v>
      </c>
      <c r="D139" s="17">
        <v>187</v>
      </c>
      <c r="E139" s="17">
        <v>185</v>
      </c>
      <c r="F139" s="17">
        <v>187</v>
      </c>
      <c r="G139" s="43">
        <f t="shared" si="10"/>
        <v>187.5</v>
      </c>
      <c r="H139" s="43">
        <f t="shared" si="11"/>
        <v>180.5</v>
      </c>
      <c r="I139" s="44">
        <f t="shared" si="12"/>
        <v>92.857142857142861</v>
      </c>
      <c r="J139" s="44">
        <f t="shared" si="13"/>
        <v>83.269316691315481</v>
      </c>
      <c r="K139" s="44">
        <f t="shared" si="14"/>
        <v>79.089587223715256</v>
      </c>
      <c r="L139" s="13" t="s">
        <v>125</v>
      </c>
    </row>
    <row r="140" spans="1:12" x14ac:dyDescent="0.25">
      <c r="A140" s="15" t="s">
        <v>27</v>
      </c>
      <c r="B140" s="16">
        <v>42646</v>
      </c>
      <c r="C140" s="17">
        <v>186</v>
      </c>
      <c r="D140" s="17">
        <v>186.5</v>
      </c>
      <c r="E140" s="17">
        <v>184.5</v>
      </c>
      <c r="F140" s="17">
        <v>186</v>
      </c>
      <c r="G140" s="43">
        <f t="shared" si="10"/>
        <v>187.5</v>
      </c>
      <c r="H140" s="43">
        <f t="shared" si="11"/>
        <v>178.5</v>
      </c>
      <c r="I140" s="44">
        <f t="shared" si="12"/>
        <v>83.333333333333343</v>
      </c>
      <c r="J140" s="44">
        <f t="shared" si="13"/>
        <v>78.475403608401791</v>
      </c>
      <c r="K140" s="44">
        <f t="shared" si="14"/>
        <v>76.999722489915158</v>
      </c>
      <c r="L140" s="13" t="s">
        <v>125</v>
      </c>
    </row>
    <row r="141" spans="1:12" x14ac:dyDescent="0.25">
      <c r="A141" s="15" t="s">
        <v>27</v>
      </c>
      <c r="B141" s="16">
        <v>42643</v>
      </c>
      <c r="C141" s="17">
        <v>185.5</v>
      </c>
      <c r="D141" s="17">
        <v>186.5</v>
      </c>
      <c r="E141" s="17">
        <v>182.5</v>
      </c>
      <c r="F141" s="17">
        <v>182.5</v>
      </c>
      <c r="G141" s="43">
        <f t="shared" si="10"/>
        <v>187.5</v>
      </c>
      <c r="H141" s="43">
        <f t="shared" si="11"/>
        <v>173.5</v>
      </c>
      <c r="I141" s="44">
        <f t="shared" si="12"/>
        <v>64.285714285714292</v>
      </c>
      <c r="J141" s="44">
        <f t="shared" si="13"/>
        <v>76.046438745936015</v>
      </c>
      <c r="K141" s="44">
        <f t="shared" si="14"/>
        <v>76.261881930671848</v>
      </c>
      <c r="L141" s="13" t="s">
        <v>126</v>
      </c>
    </row>
    <row r="142" spans="1:12" x14ac:dyDescent="0.25">
      <c r="A142" s="15" t="s">
        <v>27</v>
      </c>
      <c r="B142" s="16">
        <v>42642</v>
      </c>
      <c r="C142" s="17">
        <v>185.5</v>
      </c>
      <c r="D142" s="17">
        <v>187.5</v>
      </c>
      <c r="E142" s="17">
        <v>185.5</v>
      </c>
      <c r="F142" s="17">
        <v>185.5</v>
      </c>
      <c r="G142" s="43">
        <f t="shared" si="10"/>
        <v>187.5</v>
      </c>
      <c r="H142" s="43">
        <f t="shared" si="11"/>
        <v>173.5</v>
      </c>
      <c r="I142" s="44">
        <f t="shared" si="12"/>
        <v>85.714285714285708</v>
      </c>
      <c r="J142" s="44">
        <f t="shared" si="13"/>
        <v>81.926800976046877</v>
      </c>
      <c r="K142" s="44">
        <f t="shared" si="14"/>
        <v>76.369603523039757</v>
      </c>
      <c r="L142" s="13" t="s">
        <v>125</v>
      </c>
    </row>
    <row r="143" spans="1:12" x14ac:dyDescent="0.25">
      <c r="A143" s="15" t="s">
        <v>27</v>
      </c>
      <c r="B143" s="16">
        <v>42639</v>
      </c>
      <c r="C143" s="17">
        <v>183.5</v>
      </c>
      <c r="D143" s="17">
        <v>185</v>
      </c>
      <c r="E143" s="17">
        <v>183</v>
      </c>
      <c r="F143" s="17">
        <v>183</v>
      </c>
      <c r="G143" s="43">
        <f t="shared" si="10"/>
        <v>187.5</v>
      </c>
      <c r="H143" s="43">
        <f t="shared" si="11"/>
        <v>173.5</v>
      </c>
      <c r="I143" s="44">
        <f t="shared" si="12"/>
        <v>67.857142857142861</v>
      </c>
      <c r="J143" s="44">
        <f t="shared" si="13"/>
        <v>80.033058606927455</v>
      </c>
      <c r="K143" s="44">
        <f t="shared" si="14"/>
        <v>73.591004796536197</v>
      </c>
      <c r="L143" s="13" t="s">
        <v>125</v>
      </c>
    </row>
    <row r="144" spans="1:12" x14ac:dyDescent="0.25">
      <c r="A144" s="15" t="s">
        <v>27</v>
      </c>
      <c r="B144" s="16">
        <v>42636</v>
      </c>
      <c r="C144" s="17">
        <v>185</v>
      </c>
      <c r="D144" s="17">
        <v>187.5</v>
      </c>
      <c r="E144" s="17">
        <v>184.5</v>
      </c>
      <c r="F144" s="17">
        <v>187.5</v>
      </c>
      <c r="G144" s="43">
        <f t="shared" si="10"/>
        <v>187.5</v>
      </c>
      <c r="H144" s="43">
        <f t="shared" si="11"/>
        <v>173.5</v>
      </c>
      <c r="I144" s="44">
        <f t="shared" si="12"/>
        <v>100</v>
      </c>
      <c r="J144" s="44">
        <f t="shared" si="13"/>
        <v>86.121016481819765</v>
      </c>
      <c r="K144" s="44">
        <f t="shared" si="14"/>
        <v>70.369977891340582</v>
      </c>
      <c r="L144" s="13" t="s">
        <v>125</v>
      </c>
    </row>
    <row r="145" spans="1:12" x14ac:dyDescent="0.25">
      <c r="A145" s="15" t="s">
        <v>27</v>
      </c>
      <c r="B145" s="16">
        <v>42635</v>
      </c>
      <c r="C145" s="17">
        <v>185</v>
      </c>
      <c r="D145" s="17">
        <v>185.5</v>
      </c>
      <c r="E145" s="17">
        <v>183.5</v>
      </c>
      <c r="F145" s="17">
        <v>185.5</v>
      </c>
      <c r="G145" s="43">
        <f t="shared" si="10"/>
        <v>185.5</v>
      </c>
      <c r="H145" s="43">
        <f t="shared" si="11"/>
        <v>173.5</v>
      </c>
      <c r="I145" s="44">
        <f t="shared" si="12"/>
        <v>100</v>
      </c>
      <c r="J145" s="44">
        <f t="shared" si="13"/>
        <v>79.181524722729648</v>
      </c>
      <c r="K145" s="44">
        <f t="shared" si="14"/>
        <v>62.494458596100998</v>
      </c>
      <c r="L145" s="13" t="s">
        <v>125</v>
      </c>
    </row>
    <row r="146" spans="1:12" x14ac:dyDescent="0.25">
      <c r="A146" s="15" t="s">
        <v>27</v>
      </c>
      <c r="B146" s="16">
        <v>42634</v>
      </c>
      <c r="C146" s="17">
        <v>181</v>
      </c>
      <c r="D146" s="17">
        <v>184</v>
      </c>
      <c r="E146" s="17">
        <v>180.5</v>
      </c>
      <c r="F146" s="17">
        <v>184</v>
      </c>
      <c r="G146" s="43">
        <f t="shared" si="10"/>
        <v>184.5</v>
      </c>
      <c r="H146" s="43">
        <f t="shared" si="11"/>
        <v>173.5</v>
      </c>
      <c r="I146" s="44">
        <f t="shared" si="12"/>
        <v>95.454545454545453</v>
      </c>
      <c r="J146" s="44">
        <f t="shared" si="13"/>
        <v>68.772287084094486</v>
      </c>
      <c r="K146" s="44">
        <f t="shared" si="14"/>
        <v>54.150925532786673</v>
      </c>
      <c r="L146" s="13" t="s">
        <v>125</v>
      </c>
    </row>
    <row r="147" spans="1:12" x14ac:dyDescent="0.25">
      <c r="A147" s="15" t="s">
        <v>27</v>
      </c>
      <c r="B147" s="16">
        <v>42633</v>
      </c>
      <c r="C147" s="17">
        <v>182</v>
      </c>
      <c r="D147" s="17">
        <v>183.5</v>
      </c>
      <c r="E147" s="17">
        <v>181.5</v>
      </c>
      <c r="F147" s="17">
        <v>183</v>
      </c>
      <c r="G147" s="43">
        <f t="shared" si="10"/>
        <v>185</v>
      </c>
      <c r="H147" s="43">
        <f t="shared" si="11"/>
        <v>173.5</v>
      </c>
      <c r="I147" s="44">
        <f t="shared" si="12"/>
        <v>82.608695652173907</v>
      </c>
      <c r="J147" s="44">
        <f t="shared" si="13"/>
        <v>55.431157898869017</v>
      </c>
      <c r="K147" s="44">
        <f t="shared" si="14"/>
        <v>46.840244757132766</v>
      </c>
      <c r="L147" s="13" t="s">
        <v>125</v>
      </c>
    </row>
    <row r="148" spans="1:12" x14ac:dyDescent="0.25">
      <c r="A148" s="15" t="s">
        <v>27</v>
      </c>
      <c r="B148" s="16">
        <v>42632</v>
      </c>
      <c r="C148" s="17">
        <v>179.5</v>
      </c>
      <c r="D148" s="17">
        <v>183</v>
      </c>
      <c r="E148" s="17">
        <v>178.5</v>
      </c>
      <c r="F148" s="17">
        <v>182.5</v>
      </c>
      <c r="G148" s="43">
        <f t="shared" si="10"/>
        <v>185</v>
      </c>
      <c r="H148" s="43">
        <f t="shared" si="11"/>
        <v>173.5</v>
      </c>
      <c r="I148" s="44">
        <f t="shared" si="12"/>
        <v>78.260869565217391</v>
      </c>
      <c r="J148" s="44">
        <f t="shared" si="13"/>
        <v>41.842389022216572</v>
      </c>
      <c r="K148" s="44">
        <f t="shared" si="14"/>
        <v>42.54478818626464</v>
      </c>
      <c r="L148" s="13" t="s">
        <v>126</v>
      </c>
    </row>
    <row r="149" spans="1:12" x14ac:dyDescent="0.25">
      <c r="A149" s="15" t="s">
        <v>27</v>
      </c>
      <c r="B149" s="16">
        <v>42627</v>
      </c>
      <c r="C149" s="17">
        <v>174</v>
      </c>
      <c r="D149" s="17">
        <v>176</v>
      </c>
      <c r="E149" s="17">
        <v>173.5</v>
      </c>
      <c r="F149" s="17">
        <v>173.5</v>
      </c>
      <c r="G149" s="43">
        <f t="shared" si="10"/>
        <v>185</v>
      </c>
      <c r="H149" s="43">
        <f t="shared" si="11"/>
        <v>173.5</v>
      </c>
      <c r="I149" s="44">
        <f t="shared" si="12"/>
        <v>0</v>
      </c>
      <c r="J149" s="44">
        <f t="shared" si="13"/>
        <v>23.633148750716163</v>
      </c>
      <c r="K149" s="44">
        <f t="shared" si="14"/>
        <v>42.895987768288677</v>
      </c>
      <c r="L149" s="13" t="s">
        <v>126</v>
      </c>
    </row>
    <row r="150" spans="1:12" x14ac:dyDescent="0.25">
      <c r="A150" s="15" t="s">
        <v>27</v>
      </c>
      <c r="B150" s="16">
        <v>42626</v>
      </c>
      <c r="C150" s="17">
        <v>176.5</v>
      </c>
      <c r="D150" s="17">
        <v>176.5</v>
      </c>
      <c r="E150" s="17">
        <v>173.5</v>
      </c>
      <c r="F150" s="17">
        <v>175</v>
      </c>
      <c r="G150" s="43">
        <f t="shared" si="10"/>
        <v>185</v>
      </c>
      <c r="H150" s="43">
        <f t="shared" si="11"/>
        <v>173.5</v>
      </c>
      <c r="I150" s="44">
        <f t="shared" si="12"/>
        <v>13.043478260869565</v>
      </c>
      <c r="J150" s="44">
        <f t="shared" si="13"/>
        <v>35.449723126074247</v>
      </c>
      <c r="K150" s="44">
        <f t="shared" si="14"/>
        <v>52.527407277074943</v>
      </c>
      <c r="L150" s="13" t="s">
        <v>126</v>
      </c>
    </row>
    <row r="151" spans="1:12" x14ac:dyDescent="0.25">
      <c r="A151" s="15" t="s">
        <v>27</v>
      </c>
      <c r="B151" s="16">
        <v>42625</v>
      </c>
      <c r="C151" s="17">
        <v>177.5</v>
      </c>
      <c r="D151" s="17">
        <v>177.5</v>
      </c>
      <c r="E151" s="17">
        <v>174</v>
      </c>
      <c r="F151" s="17">
        <v>175</v>
      </c>
      <c r="G151" s="43">
        <f t="shared" si="10"/>
        <v>185</v>
      </c>
      <c r="H151" s="43">
        <f t="shared" si="11"/>
        <v>173</v>
      </c>
      <c r="I151" s="44">
        <f t="shared" si="12"/>
        <v>16.666666666666664</v>
      </c>
      <c r="J151" s="44">
        <f t="shared" si="13"/>
        <v>46.652845558676589</v>
      </c>
      <c r="K151" s="44">
        <f t="shared" si="14"/>
        <v>61.066249352575298</v>
      </c>
      <c r="L151" s="13" t="s">
        <v>126</v>
      </c>
    </row>
    <row r="152" spans="1:12" x14ac:dyDescent="0.25">
      <c r="A152" s="15" t="s">
        <v>27</v>
      </c>
      <c r="B152" s="16">
        <v>42623</v>
      </c>
      <c r="C152" s="17">
        <v>177</v>
      </c>
      <c r="D152" s="17">
        <v>179</v>
      </c>
      <c r="E152" s="17">
        <v>176</v>
      </c>
      <c r="F152" s="17">
        <v>178</v>
      </c>
      <c r="G152" s="43">
        <f t="shared" si="10"/>
        <v>185</v>
      </c>
      <c r="H152" s="43">
        <f t="shared" si="11"/>
        <v>173</v>
      </c>
      <c r="I152" s="44">
        <f t="shared" si="12"/>
        <v>41.666666666666671</v>
      </c>
      <c r="J152" s="44">
        <f t="shared" si="13"/>
        <v>61.645935004681547</v>
      </c>
      <c r="K152" s="44">
        <f t="shared" si="14"/>
        <v>68.272951249524667</v>
      </c>
      <c r="L152" s="13" t="s">
        <v>126</v>
      </c>
    </row>
    <row r="153" spans="1:12" x14ac:dyDescent="0.25">
      <c r="A153" s="15" t="s">
        <v>27</v>
      </c>
      <c r="B153" s="16">
        <v>42622</v>
      </c>
      <c r="C153" s="17">
        <v>181</v>
      </c>
      <c r="D153" s="17">
        <v>181</v>
      </c>
      <c r="E153" s="17">
        <v>179.5</v>
      </c>
      <c r="F153" s="17">
        <v>179.5</v>
      </c>
      <c r="G153" s="43">
        <f t="shared" si="10"/>
        <v>185</v>
      </c>
      <c r="H153" s="43">
        <f t="shared" si="11"/>
        <v>173</v>
      </c>
      <c r="I153" s="44">
        <f t="shared" si="12"/>
        <v>54.166666666666664</v>
      </c>
      <c r="J153" s="44">
        <f t="shared" si="13"/>
        <v>71.635569173688992</v>
      </c>
      <c r="K153" s="44">
        <f t="shared" si="14"/>
        <v>71.586459371946233</v>
      </c>
      <c r="L153" s="13" t="s">
        <v>125</v>
      </c>
    </row>
    <row r="154" spans="1:12" x14ac:dyDescent="0.25">
      <c r="A154" s="15" t="s">
        <v>27</v>
      </c>
      <c r="B154" s="16">
        <v>42621</v>
      </c>
      <c r="C154" s="17">
        <v>182.5</v>
      </c>
      <c r="D154" s="17">
        <v>184.5</v>
      </c>
      <c r="E154" s="17">
        <v>182.5</v>
      </c>
      <c r="F154" s="17">
        <v>183</v>
      </c>
      <c r="G154" s="43">
        <f t="shared" si="10"/>
        <v>185</v>
      </c>
      <c r="H154" s="43">
        <f t="shared" si="11"/>
        <v>173</v>
      </c>
      <c r="I154" s="44">
        <f t="shared" si="12"/>
        <v>83.333333333333343</v>
      </c>
      <c r="J154" s="44">
        <f t="shared" si="13"/>
        <v>80.37002042720016</v>
      </c>
      <c r="K154" s="44">
        <f t="shared" si="14"/>
        <v>71.561904471074854</v>
      </c>
      <c r="L154" s="13" t="s">
        <v>125</v>
      </c>
    </row>
    <row r="155" spans="1:12" x14ac:dyDescent="0.25">
      <c r="A155" s="15" t="s">
        <v>27</v>
      </c>
      <c r="B155" s="16">
        <v>42620</v>
      </c>
      <c r="C155" s="17">
        <v>180.5</v>
      </c>
      <c r="D155" s="17">
        <v>185</v>
      </c>
      <c r="E155" s="17">
        <v>180</v>
      </c>
      <c r="F155" s="17">
        <v>184</v>
      </c>
      <c r="G155" s="43">
        <f t="shared" si="10"/>
        <v>185</v>
      </c>
      <c r="H155" s="43">
        <f t="shared" si="11"/>
        <v>173</v>
      </c>
      <c r="I155" s="44">
        <f t="shared" si="12"/>
        <v>91.666666666666657</v>
      </c>
      <c r="J155" s="44">
        <f t="shared" si="13"/>
        <v>78.888363974133568</v>
      </c>
      <c r="K155" s="44">
        <f t="shared" si="14"/>
        <v>67.157846493012215</v>
      </c>
      <c r="L155" s="13" t="s">
        <v>125</v>
      </c>
    </row>
    <row r="156" spans="1:12" x14ac:dyDescent="0.25">
      <c r="A156" s="15" t="s">
        <v>27</v>
      </c>
      <c r="B156" s="16">
        <v>42619</v>
      </c>
      <c r="C156" s="17">
        <v>177</v>
      </c>
      <c r="D156" s="17">
        <v>179</v>
      </c>
      <c r="E156" s="17">
        <v>176.5</v>
      </c>
      <c r="F156" s="17">
        <v>179</v>
      </c>
      <c r="G156" s="43">
        <f t="shared" si="10"/>
        <v>179</v>
      </c>
      <c r="H156" s="43">
        <f t="shared" si="11"/>
        <v>173</v>
      </c>
      <c r="I156" s="44">
        <f t="shared" si="12"/>
        <v>100</v>
      </c>
      <c r="J156" s="44">
        <f t="shared" si="13"/>
        <v>72.499212627867024</v>
      </c>
      <c r="K156" s="44">
        <f t="shared" si="14"/>
        <v>61.292587752451531</v>
      </c>
      <c r="L156" s="13" t="s">
        <v>125</v>
      </c>
    </row>
    <row r="157" spans="1:12" x14ac:dyDescent="0.25">
      <c r="A157" s="15" t="s">
        <v>27</v>
      </c>
      <c r="B157" s="16">
        <v>42618</v>
      </c>
      <c r="C157" s="17">
        <v>176.5</v>
      </c>
      <c r="D157" s="17">
        <v>177.5</v>
      </c>
      <c r="E157" s="17">
        <v>176.5</v>
      </c>
      <c r="F157" s="17">
        <v>176.5</v>
      </c>
      <c r="G157" s="43">
        <f t="shared" si="10"/>
        <v>177.5</v>
      </c>
      <c r="H157" s="43">
        <f t="shared" si="11"/>
        <v>173</v>
      </c>
      <c r="I157" s="44">
        <f t="shared" si="12"/>
        <v>77.777777777777786</v>
      </c>
      <c r="J157" s="44">
        <f t="shared" si="13"/>
        <v>58.748818941800536</v>
      </c>
      <c r="K157" s="44">
        <f t="shared" si="14"/>
        <v>55.689275314743796</v>
      </c>
      <c r="L157" s="13" t="s">
        <v>125</v>
      </c>
    </row>
    <row r="158" spans="1:12" x14ac:dyDescent="0.25">
      <c r="A158" s="15" t="s">
        <v>27</v>
      </c>
      <c r="B158" s="16">
        <v>42615</v>
      </c>
      <c r="C158" s="17">
        <v>176.5</v>
      </c>
      <c r="D158" s="17">
        <v>176.5</v>
      </c>
      <c r="E158" s="17">
        <v>174</v>
      </c>
      <c r="F158" s="17">
        <v>174.5</v>
      </c>
      <c r="G158" s="43">
        <f t="shared" si="10"/>
        <v>177</v>
      </c>
      <c r="H158" s="43">
        <f t="shared" si="11"/>
        <v>173</v>
      </c>
      <c r="I158" s="44">
        <f t="shared" si="12"/>
        <v>37.5</v>
      </c>
      <c r="J158" s="44">
        <f t="shared" si="13"/>
        <v>49.234339523811926</v>
      </c>
      <c r="K158" s="44">
        <f t="shared" si="14"/>
        <v>54.15950350121544</v>
      </c>
      <c r="L158" s="13" t="s">
        <v>126</v>
      </c>
    </row>
    <row r="159" spans="1:12" x14ac:dyDescent="0.25">
      <c r="A159" s="15" t="s">
        <v>27</v>
      </c>
      <c r="B159" s="16">
        <v>42614</v>
      </c>
      <c r="C159" s="17">
        <v>176</v>
      </c>
      <c r="D159" s="17">
        <v>176</v>
      </c>
      <c r="E159" s="17">
        <v>173</v>
      </c>
      <c r="F159" s="17">
        <v>173.5</v>
      </c>
      <c r="G159" s="43">
        <f t="shared" si="10"/>
        <v>177</v>
      </c>
      <c r="H159" s="43">
        <f t="shared" si="11"/>
        <v>171.5</v>
      </c>
      <c r="I159" s="44">
        <f t="shared" si="12"/>
        <v>36.363636363636367</v>
      </c>
      <c r="J159" s="44">
        <f t="shared" si="13"/>
        <v>55.101509285717896</v>
      </c>
      <c r="K159" s="44">
        <f t="shared" si="14"/>
        <v>56.622085489917204</v>
      </c>
      <c r="L159" s="13" t="s">
        <v>126</v>
      </c>
    </row>
    <row r="160" spans="1:12" x14ac:dyDescent="0.25">
      <c r="A160" s="15" t="s">
        <v>27</v>
      </c>
      <c r="B160" s="16">
        <v>42613</v>
      </c>
      <c r="C160" s="17">
        <v>176.5</v>
      </c>
      <c r="D160" s="17">
        <v>177</v>
      </c>
      <c r="E160" s="17">
        <v>174.5</v>
      </c>
      <c r="F160" s="17">
        <v>176</v>
      </c>
      <c r="G160" s="43">
        <f t="shared" si="10"/>
        <v>177.5</v>
      </c>
      <c r="H160" s="43">
        <f t="shared" si="11"/>
        <v>171.5</v>
      </c>
      <c r="I160" s="44">
        <f t="shared" si="12"/>
        <v>75</v>
      </c>
      <c r="J160" s="44">
        <f t="shared" si="13"/>
        <v>64.470445746758656</v>
      </c>
      <c r="K160" s="44">
        <f t="shared" si="14"/>
        <v>57.382373592016862</v>
      </c>
      <c r="L160" s="13" t="s">
        <v>125</v>
      </c>
    </row>
    <row r="161" spans="1:12" x14ac:dyDescent="0.25">
      <c r="A161" s="15" t="s">
        <v>27</v>
      </c>
      <c r="B161" s="16">
        <v>42612</v>
      </c>
      <c r="C161" s="17">
        <v>176</v>
      </c>
      <c r="D161" s="17">
        <v>176.5</v>
      </c>
      <c r="E161" s="17">
        <v>174</v>
      </c>
      <c r="F161" s="17">
        <v>174.5</v>
      </c>
      <c r="G161" s="43">
        <f t="shared" si="10"/>
        <v>177.5</v>
      </c>
      <c r="H161" s="43">
        <f t="shared" si="11"/>
        <v>171.5</v>
      </c>
      <c r="I161" s="44">
        <f t="shared" si="12"/>
        <v>50</v>
      </c>
      <c r="J161" s="44">
        <f t="shared" si="13"/>
        <v>59.205668620137992</v>
      </c>
      <c r="K161" s="44">
        <f t="shared" si="14"/>
        <v>53.838337514645971</v>
      </c>
      <c r="L161" s="13" t="s">
        <v>125</v>
      </c>
    </row>
    <row r="162" spans="1:12" x14ac:dyDescent="0.25">
      <c r="A162" s="15" t="s">
        <v>27</v>
      </c>
      <c r="B162" s="16">
        <v>42611</v>
      </c>
      <c r="C162" s="17">
        <v>175</v>
      </c>
      <c r="D162" s="17">
        <v>177</v>
      </c>
      <c r="E162" s="17">
        <v>174</v>
      </c>
      <c r="F162" s="17">
        <v>176.5</v>
      </c>
      <c r="G162" s="43">
        <f t="shared" si="10"/>
        <v>177.5</v>
      </c>
      <c r="H162" s="43">
        <f t="shared" si="11"/>
        <v>171.5</v>
      </c>
      <c r="I162" s="44">
        <f t="shared" si="12"/>
        <v>83.333333333333343</v>
      </c>
      <c r="J162" s="44">
        <f t="shared" si="13"/>
        <v>63.808502930206991</v>
      </c>
      <c r="K162" s="44">
        <f t="shared" si="14"/>
        <v>51.154671961899965</v>
      </c>
      <c r="L162" s="13" t="s">
        <v>125</v>
      </c>
    </row>
    <row r="163" spans="1:12" x14ac:dyDescent="0.25">
      <c r="A163" s="15" t="s">
        <v>27</v>
      </c>
      <c r="B163" s="16">
        <v>42608</v>
      </c>
      <c r="C163" s="17">
        <v>175</v>
      </c>
      <c r="D163" s="17">
        <v>177</v>
      </c>
      <c r="E163" s="17">
        <v>175</v>
      </c>
      <c r="F163" s="17">
        <v>177</v>
      </c>
      <c r="G163" s="43">
        <f t="shared" si="10"/>
        <v>179</v>
      </c>
      <c r="H163" s="43">
        <f t="shared" si="11"/>
        <v>171.5</v>
      </c>
      <c r="I163" s="44">
        <f t="shared" si="12"/>
        <v>73.333333333333329</v>
      </c>
      <c r="J163" s="44">
        <f t="shared" si="13"/>
        <v>54.046087728643826</v>
      </c>
      <c r="K163" s="44">
        <f t="shared" si="14"/>
        <v>44.827756477746455</v>
      </c>
      <c r="L163" s="13" t="s">
        <v>125</v>
      </c>
    </row>
    <row r="164" spans="1:12" x14ac:dyDescent="0.25">
      <c r="A164" s="15" t="s">
        <v>27</v>
      </c>
      <c r="B164" s="16">
        <v>42607</v>
      </c>
      <c r="C164" s="17">
        <v>175</v>
      </c>
      <c r="D164" s="17">
        <v>177</v>
      </c>
      <c r="E164" s="17">
        <v>174.5</v>
      </c>
      <c r="F164" s="17">
        <v>177</v>
      </c>
      <c r="G164" s="43">
        <f t="shared" si="10"/>
        <v>179</v>
      </c>
      <c r="H164" s="43">
        <f t="shared" si="11"/>
        <v>171.5</v>
      </c>
      <c r="I164" s="44">
        <f t="shared" si="12"/>
        <v>73.333333333333329</v>
      </c>
      <c r="J164" s="44">
        <f t="shared" si="13"/>
        <v>44.402464926299082</v>
      </c>
      <c r="K164" s="44">
        <f t="shared" si="14"/>
        <v>40.218590852297773</v>
      </c>
      <c r="L164" s="13" t="s">
        <v>125</v>
      </c>
    </row>
    <row r="165" spans="1:12" x14ac:dyDescent="0.25">
      <c r="A165" s="15" t="s">
        <v>27</v>
      </c>
      <c r="B165" s="16">
        <v>42606</v>
      </c>
      <c r="C165" s="17">
        <v>175</v>
      </c>
      <c r="D165" s="17">
        <v>175.5</v>
      </c>
      <c r="E165" s="17">
        <v>173.5</v>
      </c>
      <c r="F165" s="17">
        <v>173.5</v>
      </c>
      <c r="G165" s="43">
        <f t="shared" si="10"/>
        <v>179</v>
      </c>
      <c r="H165" s="43">
        <f t="shared" si="11"/>
        <v>171.5</v>
      </c>
      <c r="I165" s="44">
        <f t="shared" si="12"/>
        <v>26.666666666666668</v>
      </c>
      <c r="J165" s="44">
        <f t="shared" si="13"/>
        <v>29.937030722781962</v>
      </c>
      <c r="K165" s="44">
        <f t="shared" si="14"/>
        <v>38.126653815297118</v>
      </c>
      <c r="L165" s="13" t="s">
        <v>126</v>
      </c>
    </row>
    <row r="166" spans="1:12" x14ac:dyDescent="0.25">
      <c r="A166" s="15" t="s">
        <v>27</v>
      </c>
      <c r="B166" s="16">
        <v>42605</v>
      </c>
      <c r="C166" s="17">
        <v>174</v>
      </c>
      <c r="D166" s="17">
        <v>175</v>
      </c>
      <c r="E166" s="17">
        <v>173.5</v>
      </c>
      <c r="F166" s="17">
        <v>174</v>
      </c>
      <c r="G166" s="43">
        <f t="shared" si="10"/>
        <v>179</v>
      </c>
      <c r="H166" s="43">
        <f t="shared" si="11"/>
        <v>171.5</v>
      </c>
      <c r="I166" s="44">
        <f t="shared" si="12"/>
        <v>33.333333333333329</v>
      </c>
      <c r="J166" s="44">
        <f t="shared" si="13"/>
        <v>31.572212750839611</v>
      </c>
      <c r="K166" s="44">
        <f t="shared" si="14"/>
        <v>42.221465361554706</v>
      </c>
      <c r="L166" s="13" t="s">
        <v>126</v>
      </c>
    </row>
    <row r="167" spans="1:12" x14ac:dyDescent="0.25">
      <c r="A167" s="15" t="s">
        <v>27</v>
      </c>
      <c r="B167" s="16">
        <v>42604</v>
      </c>
      <c r="C167" s="17">
        <v>173</v>
      </c>
      <c r="D167" s="17">
        <v>174</v>
      </c>
      <c r="E167" s="17">
        <v>171.5</v>
      </c>
      <c r="F167" s="17">
        <v>173</v>
      </c>
      <c r="G167" s="43">
        <f t="shared" si="10"/>
        <v>179.5</v>
      </c>
      <c r="H167" s="43">
        <f t="shared" si="11"/>
        <v>171.5</v>
      </c>
      <c r="I167" s="44">
        <f t="shared" si="12"/>
        <v>18.75</v>
      </c>
      <c r="J167" s="44">
        <f t="shared" si="13"/>
        <v>30.69165245959276</v>
      </c>
      <c r="K167" s="44">
        <f t="shared" si="14"/>
        <v>47.546091666912261</v>
      </c>
      <c r="L167" s="13" t="s">
        <v>126</v>
      </c>
    </row>
    <row r="168" spans="1:12" x14ac:dyDescent="0.25">
      <c r="A168" s="15" t="s">
        <v>27</v>
      </c>
      <c r="B168" s="16">
        <v>42601</v>
      </c>
      <c r="C168" s="17">
        <v>177</v>
      </c>
      <c r="D168" s="17">
        <v>177.5</v>
      </c>
      <c r="E168" s="17">
        <v>174</v>
      </c>
      <c r="F168" s="17">
        <v>174.5</v>
      </c>
      <c r="G168" s="43">
        <f t="shared" si="10"/>
        <v>179.5</v>
      </c>
      <c r="H168" s="43">
        <f t="shared" si="11"/>
        <v>174</v>
      </c>
      <c r="I168" s="44">
        <f t="shared" si="12"/>
        <v>9.0909090909090917</v>
      </c>
      <c r="J168" s="44">
        <f t="shared" si="13"/>
        <v>36.66247868938914</v>
      </c>
      <c r="K168" s="44">
        <f t="shared" si="14"/>
        <v>55.973311270572026</v>
      </c>
      <c r="L168" s="13" t="s">
        <v>126</v>
      </c>
    </row>
    <row r="169" spans="1:12" x14ac:dyDescent="0.25">
      <c r="A169" s="15" t="s">
        <v>27</v>
      </c>
      <c r="B169" s="16">
        <v>42600</v>
      </c>
      <c r="C169" s="17">
        <v>176</v>
      </c>
      <c r="D169" s="17">
        <v>176.5</v>
      </c>
      <c r="E169" s="17">
        <v>175</v>
      </c>
      <c r="F169" s="17">
        <v>176</v>
      </c>
      <c r="G169" s="43">
        <f t="shared" si="10"/>
        <v>179.5</v>
      </c>
      <c r="H169" s="43">
        <f t="shared" si="11"/>
        <v>175</v>
      </c>
      <c r="I169" s="44">
        <f t="shared" si="12"/>
        <v>22.222222222222221</v>
      </c>
      <c r="J169" s="44">
        <f t="shared" si="13"/>
        <v>50.448263488629166</v>
      </c>
      <c r="K169" s="44">
        <f t="shared" si="14"/>
        <v>65.628727561163473</v>
      </c>
      <c r="L169" s="13" t="s">
        <v>126</v>
      </c>
    </row>
    <row r="170" spans="1:12" x14ac:dyDescent="0.25">
      <c r="A170" s="15" t="s">
        <v>27</v>
      </c>
      <c r="B170" s="16">
        <v>42599</v>
      </c>
      <c r="C170" s="17">
        <v>177</v>
      </c>
      <c r="D170" s="17">
        <v>177.5</v>
      </c>
      <c r="E170" s="17">
        <v>176</v>
      </c>
      <c r="F170" s="17">
        <v>177</v>
      </c>
      <c r="G170" s="43">
        <f t="shared" si="10"/>
        <v>179.5</v>
      </c>
      <c r="H170" s="43">
        <f t="shared" si="11"/>
        <v>174</v>
      </c>
      <c r="I170" s="44">
        <f t="shared" si="12"/>
        <v>54.54545454545454</v>
      </c>
      <c r="J170" s="44">
        <f t="shared" si="13"/>
        <v>64.561284121832642</v>
      </c>
      <c r="K170" s="44">
        <f t="shared" si="14"/>
        <v>73.218959597430626</v>
      </c>
      <c r="L170" s="13" t="s">
        <v>126</v>
      </c>
    </row>
    <row r="171" spans="1:12" x14ac:dyDescent="0.25">
      <c r="A171" s="15" t="s">
        <v>27</v>
      </c>
      <c r="B171" s="16">
        <v>42598</v>
      </c>
      <c r="C171" s="17">
        <v>178</v>
      </c>
      <c r="D171" s="17">
        <v>179</v>
      </c>
      <c r="E171" s="17">
        <v>175</v>
      </c>
      <c r="F171" s="17">
        <v>175.5</v>
      </c>
      <c r="G171" s="43">
        <f t="shared" si="10"/>
        <v>179.5</v>
      </c>
      <c r="H171" s="43">
        <f t="shared" si="11"/>
        <v>172.5</v>
      </c>
      <c r="I171" s="44">
        <f t="shared" si="12"/>
        <v>42.857142857142854</v>
      </c>
      <c r="J171" s="44">
        <f t="shared" si="13"/>
        <v>69.569198910021711</v>
      </c>
      <c r="K171" s="44">
        <f t="shared" si="14"/>
        <v>77.547797335229632</v>
      </c>
      <c r="L171" s="13" t="s">
        <v>126</v>
      </c>
    </row>
    <row r="172" spans="1:12" x14ac:dyDescent="0.25">
      <c r="A172" s="15" t="s">
        <v>27</v>
      </c>
      <c r="B172" s="16">
        <v>42597</v>
      </c>
      <c r="C172" s="17">
        <v>178.5</v>
      </c>
      <c r="D172" s="17">
        <v>179</v>
      </c>
      <c r="E172" s="17">
        <v>177.5</v>
      </c>
      <c r="F172" s="17">
        <v>179</v>
      </c>
      <c r="G172" s="43">
        <f t="shared" si="10"/>
        <v>179.5</v>
      </c>
      <c r="H172" s="43">
        <f t="shared" si="11"/>
        <v>172</v>
      </c>
      <c r="I172" s="44">
        <f t="shared" si="12"/>
        <v>93.333333333333329</v>
      </c>
      <c r="J172" s="44">
        <f t="shared" si="13"/>
        <v>82.925226936461144</v>
      </c>
      <c r="K172" s="44">
        <f t="shared" si="14"/>
        <v>81.537096547833585</v>
      </c>
      <c r="L172" s="13" t="s">
        <v>125</v>
      </c>
    </row>
    <row r="173" spans="1:12" x14ac:dyDescent="0.25">
      <c r="A173" s="15" t="s">
        <v>27</v>
      </c>
      <c r="B173" s="16">
        <v>42594</v>
      </c>
      <c r="C173" s="17">
        <v>178.5</v>
      </c>
      <c r="D173" s="17">
        <v>178.5</v>
      </c>
      <c r="E173" s="17">
        <v>177</v>
      </c>
      <c r="F173" s="17">
        <v>177.5</v>
      </c>
      <c r="G173" s="43">
        <f t="shared" si="10"/>
        <v>179.5</v>
      </c>
      <c r="H173" s="43">
        <f t="shared" si="11"/>
        <v>172</v>
      </c>
      <c r="I173" s="44">
        <f t="shared" si="12"/>
        <v>73.333333333333329</v>
      </c>
      <c r="J173" s="44">
        <f t="shared" si="13"/>
        <v>77.721173738025072</v>
      </c>
      <c r="K173" s="44">
        <f t="shared" si="14"/>
        <v>80.84303135351982</v>
      </c>
      <c r="L173" s="13" t="s">
        <v>126</v>
      </c>
    </row>
    <row r="174" spans="1:12" x14ac:dyDescent="0.25">
      <c r="A174" s="15" t="s">
        <v>27</v>
      </c>
      <c r="B174" s="16">
        <v>42593</v>
      </c>
      <c r="C174" s="17">
        <v>177.5</v>
      </c>
      <c r="D174" s="17">
        <v>178</v>
      </c>
      <c r="E174" s="17">
        <v>175.5</v>
      </c>
      <c r="F174" s="17">
        <v>176.5</v>
      </c>
      <c r="G174" s="43">
        <f t="shared" si="10"/>
        <v>179.5</v>
      </c>
      <c r="H174" s="43">
        <f t="shared" si="11"/>
        <v>172</v>
      </c>
      <c r="I174" s="44">
        <f t="shared" si="12"/>
        <v>60</v>
      </c>
      <c r="J174" s="44">
        <f t="shared" si="13"/>
        <v>79.915093940370951</v>
      </c>
      <c r="K174" s="44">
        <f t="shared" si="14"/>
        <v>82.403960161267207</v>
      </c>
      <c r="L174" s="13" t="s">
        <v>126</v>
      </c>
    </row>
    <row r="175" spans="1:12" x14ac:dyDescent="0.25">
      <c r="A175" s="15" t="s">
        <v>27</v>
      </c>
      <c r="B175" s="16">
        <v>42592</v>
      </c>
      <c r="C175" s="17">
        <v>179</v>
      </c>
      <c r="D175" s="17">
        <v>179.5</v>
      </c>
      <c r="E175" s="17">
        <v>178</v>
      </c>
      <c r="F175" s="17">
        <v>179.5</v>
      </c>
      <c r="G175" s="43">
        <f t="shared" si="10"/>
        <v>179.5</v>
      </c>
      <c r="H175" s="43">
        <f t="shared" si="11"/>
        <v>172</v>
      </c>
      <c r="I175" s="44">
        <f t="shared" si="12"/>
        <v>100</v>
      </c>
      <c r="J175" s="44">
        <f t="shared" si="13"/>
        <v>89.872640910556441</v>
      </c>
      <c r="K175" s="44">
        <f t="shared" si="14"/>
        <v>83.648393271715349</v>
      </c>
      <c r="L175" s="13" t="s">
        <v>125</v>
      </c>
    </row>
    <row r="176" spans="1:12" x14ac:dyDescent="0.25">
      <c r="A176" s="15" t="s">
        <v>27</v>
      </c>
      <c r="B176" s="16">
        <v>42591</v>
      </c>
      <c r="C176" s="17">
        <v>178.5</v>
      </c>
      <c r="D176" s="17">
        <v>179.5</v>
      </c>
      <c r="E176" s="17">
        <v>177</v>
      </c>
      <c r="F176" s="17">
        <v>178.5</v>
      </c>
      <c r="G176" s="43">
        <f t="shared" si="10"/>
        <v>179.5</v>
      </c>
      <c r="H176" s="43">
        <f t="shared" si="11"/>
        <v>172</v>
      </c>
      <c r="I176" s="44">
        <f t="shared" si="12"/>
        <v>86.666666666666671</v>
      </c>
      <c r="J176" s="44">
        <f t="shared" si="13"/>
        <v>84.808961365834676</v>
      </c>
      <c r="K176" s="44">
        <f t="shared" si="14"/>
        <v>80.536269452294817</v>
      </c>
      <c r="L176" s="13" t="s">
        <v>125</v>
      </c>
    </row>
    <row r="177" spans="1:12" x14ac:dyDescent="0.25">
      <c r="A177" s="15" t="s">
        <v>27</v>
      </c>
      <c r="B177" s="16">
        <v>42590</v>
      </c>
      <c r="C177" s="17">
        <v>178</v>
      </c>
      <c r="D177" s="17">
        <v>178</v>
      </c>
      <c r="E177" s="17">
        <v>176.5</v>
      </c>
      <c r="F177" s="17">
        <v>178</v>
      </c>
      <c r="G177" s="43">
        <f t="shared" si="10"/>
        <v>178</v>
      </c>
      <c r="H177" s="43">
        <f t="shared" si="11"/>
        <v>172</v>
      </c>
      <c r="I177" s="44">
        <f t="shared" si="12"/>
        <v>100</v>
      </c>
      <c r="J177" s="44">
        <f t="shared" si="13"/>
        <v>83.880108715418686</v>
      </c>
      <c r="K177" s="44">
        <f t="shared" si="14"/>
        <v>78.399923495524902</v>
      </c>
      <c r="L177" s="13" t="s">
        <v>125</v>
      </c>
    </row>
    <row r="178" spans="1:12" x14ac:dyDescent="0.25">
      <c r="A178" s="15" t="s">
        <v>27</v>
      </c>
      <c r="B178" s="16">
        <v>42587</v>
      </c>
      <c r="C178" s="17">
        <v>175</v>
      </c>
      <c r="D178" s="17">
        <v>177.5</v>
      </c>
      <c r="E178" s="17">
        <v>174</v>
      </c>
      <c r="F178" s="17">
        <v>177</v>
      </c>
      <c r="G178" s="43">
        <f t="shared" si="10"/>
        <v>177.5</v>
      </c>
      <c r="H178" s="43">
        <f t="shared" si="11"/>
        <v>171.5</v>
      </c>
      <c r="I178" s="44">
        <f t="shared" si="12"/>
        <v>91.666666666666657</v>
      </c>
      <c r="J178" s="44">
        <f t="shared" si="13"/>
        <v>75.820163073128043</v>
      </c>
      <c r="K178" s="44">
        <f t="shared" si="14"/>
        <v>75.659830885578018</v>
      </c>
      <c r="L178" s="13" t="s">
        <v>125</v>
      </c>
    </row>
    <row r="179" spans="1:12" x14ac:dyDescent="0.25">
      <c r="A179" s="15" t="s">
        <v>27</v>
      </c>
      <c r="B179" s="16">
        <v>42586</v>
      </c>
      <c r="C179" s="17">
        <v>173</v>
      </c>
      <c r="D179" s="17">
        <v>174.5</v>
      </c>
      <c r="E179" s="17">
        <v>172.5</v>
      </c>
      <c r="F179" s="17">
        <v>174.5</v>
      </c>
      <c r="G179" s="43">
        <f t="shared" si="10"/>
        <v>177.5</v>
      </c>
      <c r="H179" s="43">
        <f t="shared" si="11"/>
        <v>169</v>
      </c>
      <c r="I179" s="44">
        <f t="shared" si="12"/>
        <v>64.705882352941174</v>
      </c>
      <c r="J179" s="44">
        <f t="shared" si="13"/>
        <v>67.89691127635875</v>
      </c>
      <c r="K179" s="44">
        <f t="shared" si="14"/>
        <v>75.579664791803012</v>
      </c>
      <c r="L179" s="13" t="s">
        <v>126</v>
      </c>
    </row>
    <row r="180" spans="1:12" x14ac:dyDescent="0.25">
      <c r="A180" s="15" t="s">
        <v>27</v>
      </c>
      <c r="B180" s="16">
        <v>42585</v>
      </c>
      <c r="C180" s="17">
        <v>172.5</v>
      </c>
      <c r="D180" s="17">
        <v>174</v>
      </c>
      <c r="E180" s="17">
        <v>172</v>
      </c>
      <c r="F180" s="17">
        <v>172.5</v>
      </c>
      <c r="G180" s="43">
        <f t="shared" si="10"/>
        <v>177.5</v>
      </c>
      <c r="H180" s="43">
        <f t="shared" si="11"/>
        <v>169</v>
      </c>
      <c r="I180" s="44">
        <f t="shared" si="12"/>
        <v>41.17647058823529</v>
      </c>
      <c r="J180" s="44">
        <f t="shared" si="13"/>
        <v>69.492425738067553</v>
      </c>
      <c r="K180" s="44">
        <f t="shared" si="14"/>
        <v>79.421041549525142</v>
      </c>
      <c r="L180" s="13" t="s">
        <v>126</v>
      </c>
    </row>
    <row r="181" spans="1:12" x14ac:dyDescent="0.25">
      <c r="A181" s="15" t="s">
        <v>27</v>
      </c>
      <c r="B181" s="16">
        <v>42584</v>
      </c>
      <c r="C181" s="17">
        <v>177.5</v>
      </c>
      <c r="D181" s="17">
        <v>177.5</v>
      </c>
      <c r="E181" s="17">
        <v>175.5</v>
      </c>
      <c r="F181" s="17">
        <v>176</v>
      </c>
      <c r="G181" s="43">
        <f t="shared" si="10"/>
        <v>177.5</v>
      </c>
      <c r="H181" s="43">
        <f t="shared" si="11"/>
        <v>169</v>
      </c>
      <c r="I181" s="44">
        <f t="shared" si="12"/>
        <v>82.35294117647058</v>
      </c>
      <c r="J181" s="44">
        <f t="shared" si="13"/>
        <v>83.650403312983698</v>
      </c>
      <c r="K181" s="44">
        <f t="shared" si="14"/>
        <v>84.38534945525393</v>
      </c>
      <c r="L181" s="13" t="s">
        <v>126</v>
      </c>
    </row>
    <row r="182" spans="1:12" x14ac:dyDescent="0.25">
      <c r="A182" s="15" t="s">
        <v>27</v>
      </c>
      <c r="B182" s="16">
        <v>42583</v>
      </c>
      <c r="C182" s="17">
        <v>175</v>
      </c>
      <c r="D182" s="17">
        <v>177</v>
      </c>
      <c r="E182" s="17">
        <v>174.5</v>
      </c>
      <c r="F182" s="17">
        <v>177</v>
      </c>
      <c r="G182" s="43">
        <f t="shared" si="10"/>
        <v>177</v>
      </c>
      <c r="H182" s="43">
        <f t="shared" si="11"/>
        <v>169</v>
      </c>
      <c r="I182" s="44">
        <f t="shared" si="12"/>
        <v>100</v>
      </c>
      <c r="J182" s="44">
        <f t="shared" si="13"/>
        <v>84.299134381240265</v>
      </c>
      <c r="K182" s="44">
        <f t="shared" si="14"/>
        <v>84.752822526389039</v>
      </c>
      <c r="L182" s="13" t="s">
        <v>126</v>
      </c>
    </row>
    <row r="183" spans="1:12" x14ac:dyDescent="0.25">
      <c r="A183" s="15" t="s">
        <v>27</v>
      </c>
      <c r="B183" s="16">
        <v>42580</v>
      </c>
      <c r="C183" s="17">
        <v>177</v>
      </c>
      <c r="D183" s="17">
        <v>177</v>
      </c>
      <c r="E183" s="17">
        <v>172.5</v>
      </c>
      <c r="F183" s="17">
        <v>172.5</v>
      </c>
      <c r="G183" s="43">
        <f t="shared" si="10"/>
        <v>177</v>
      </c>
      <c r="H183" s="43">
        <f t="shared" si="11"/>
        <v>169</v>
      </c>
      <c r="I183" s="44">
        <f t="shared" si="12"/>
        <v>43.75</v>
      </c>
      <c r="J183" s="44">
        <f t="shared" si="13"/>
        <v>76.448701571860411</v>
      </c>
      <c r="K183" s="44">
        <f t="shared" si="14"/>
        <v>84.979666598963433</v>
      </c>
      <c r="L183" s="13" t="s">
        <v>126</v>
      </c>
    </row>
    <row r="184" spans="1:12" x14ac:dyDescent="0.25">
      <c r="A184" s="15" t="s">
        <v>27</v>
      </c>
      <c r="B184" s="16">
        <v>42579</v>
      </c>
      <c r="C184" s="17">
        <v>175</v>
      </c>
      <c r="D184" s="17">
        <v>176.5</v>
      </c>
      <c r="E184" s="17">
        <v>173</v>
      </c>
      <c r="F184" s="17">
        <v>176.5</v>
      </c>
      <c r="G184" s="43">
        <f t="shared" si="10"/>
        <v>176.5</v>
      </c>
      <c r="H184" s="43">
        <f t="shared" si="11"/>
        <v>168</v>
      </c>
      <c r="I184" s="44">
        <f t="shared" si="12"/>
        <v>100</v>
      </c>
      <c r="J184" s="44">
        <f t="shared" si="13"/>
        <v>92.798052357790624</v>
      </c>
      <c r="K184" s="44">
        <f t="shared" si="14"/>
        <v>89.245149112514937</v>
      </c>
      <c r="L184" s="13" t="s">
        <v>125</v>
      </c>
    </row>
    <row r="185" spans="1:12" x14ac:dyDescent="0.25">
      <c r="A185" s="15" t="s">
        <v>27</v>
      </c>
      <c r="B185" s="16">
        <v>42578</v>
      </c>
      <c r="C185" s="17">
        <v>175</v>
      </c>
      <c r="D185" s="17">
        <v>176</v>
      </c>
      <c r="E185" s="17">
        <v>174.5</v>
      </c>
      <c r="F185" s="17">
        <v>175</v>
      </c>
      <c r="G185" s="43">
        <f t="shared" si="10"/>
        <v>176</v>
      </c>
      <c r="H185" s="43">
        <f t="shared" si="11"/>
        <v>166.5</v>
      </c>
      <c r="I185" s="44">
        <f t="shared" si="12"/>
        <v>89.473684210526315</v>
      </c>
      <c r="J185" s="44">
        <f t="shared" si="13"/>
        <v>89.197078536685936</v>
      </c>
      <c r="K185" s="44">
        <f t="shared" si="14"/>
        <v>87.468697489877101</v>
      </c>
      <c r="L185" s="13" t="s">
        <v>125</v>
      </c>
    </row>
    <row r="186" spans="1:12" x14ac:dyDescent="0.25">
      <c r="A186" s="15" t="s">
        <v>27</v>
      </c>
      <c r="B186" s="16">
        <v>42577</v>
      </c>
      <c r="C186" s="17">
        <v>172</v>
      </c>
      <c r="D186" s="17">
        <v>173</v>
      </c>
      <c r="E186" s="17">
        <v>171.5</v>
      </c>
      <c r="F186" s="17">
        <v>173</v>
      </c>
      <c r="G186" s="43">
        <f t="shared" si="10"/>
        <v>173</v>
      </c>
      <c r="H186" s="43">
        <f t="shared" si="11"/>
        <v>166.5</v>
      </c>
      <c r="I186" s="44">
        <f t="shared" si="12"/>
        <v>100</v>
      </c>
      <c r="J186" s="44">
        <f t="shared" si="13"/>
        <v>89.058775699765761</v>
      </c>
      <c r="K186" s="44">
        <f t="shared" si="14"/>
        <v>86.604506966472684</v>
      </c>
      <c r="L186" s="13" t="s">
        <v>125</v>
      </c>
    </row>
    <row r="187" spans="1:12" x14ac:dyDescent="0.25">
      <c r="A187" s="15" t="s">
        <v>27</v>
      </c>
      <c r="B187" s="16">
        <v>42576</v>
      </c>
      <c r="C187" s="17">
        <v>172</v>
      </c>
      <c r="D187" s="17">
        <v>173</v>
      </c>
      <c r="E187" s="17">
        <v>169</v>
      </c>
      <c r="F187" s="17">
        <v>171.5</v>
      </c>
      <c r="G187" s="43">
        <f t="shared" si="10"/>
        <v>173</v>
      </c>
      <c r="H187" s="43">
        <f t="shared" si="11"/>
        <v>166.5</v>
      </c>
      <c r="I187" s="44">
        <f t="shared" si="12"/>
        <v>76.923076923076934</v>
      </c>
      <c r="J187" s="44">
        <f t="shared" si="13"/>
        <v>83.588163549648641</v>
      </c>
      <c r="K187" s="44">
        <f t="shared" si="14"/>
        <v>85.37737259982616</v>
      </c>
      <c r="L187" s="13" t="s">
        <v>126</v>
      </c>
    </row>
    <row r="188" spans="1:12" x14ac:dyDescent="0.25">
      <c r="A188" s="15" t="s">
        <v>27</v>
      </c>
      <c r="B188" s="16">
        <v>42573</v>
      </c>
      <c r="C188" s="17">
        <v>172</v>
      </c>
      <c r="D188" s="17">
        <v>172</v>
      </c>
      <c r="E188" s="17">
        <v>170.5</v>
      </c>
      <c r="F188" s="17">
        <v>171</v>
      </c>
      <c r="G188" s="43">
        <f t="shared" si="10"/>
        <v>172</v>
      </c>
      <c r="H188" s="43">
        <f t="shared" si="11"/>
        <v>166.5</v>
      </c>
      <c r="I188" s="44">
        <f t="shared" si="12"/>
        <v>81.818181818181827</v>
      </c>
      <c r="J188" s="44">
        <f t="shared" si="13"/>
        <v>86.920706862934509</v>
      </c>
      <c r="K188" s="44">
        <f t="shared" si="14"/>
        <v>86.271977124914926</v>
      </c>
      <c r="L188" s="13" t="s">
        <v>125</v>
      </c>
    </row>
    <row r="189" spans="1:12" x14ac:dyDescent="0.25">
      <c r="A189" s="15" t="s">
        <v>27</v>
      </c>
      <c r="B189" s="16">
        <v>42572</v>
      </c>
      <c r="C189" s="17">
        <v>171</v>
      </c>
      <c r="D189" s="17">
        <v>172</v>
      </c>
      <c r="E189" s="17">
        <v>170</v>
      </c>
      <c r="F189" s="17">
        <v>172</v>
      </c>
      <c r="G189" s="43">
        <f t="shared" si="10"/>
        <v>172</v>
      </c>
      <c r="H189" s="43">
        <f t="shared" si="11"/>
        <v>166.5</v>
      </c>
      <c r="I189" s="44">
        <f t="shared" si="12"/>
        <v>100</v>
      </c>
      <c r="J189" s="44">
        <f t="shared" si="13"/>
        <v>89.471969385310842</v>
      </c>
      <c r="K189" s="44">
        <f t="shared" si="14"/>
        <v>85.947612255905142</v>
      </c>
      <c r="L189" s="13" t="s">
        <v>125</v>
      </c>
    </row>
    <row r="190" spans="1:12" x14ac:dyDescent="0.25">
      <c r="A190" s="15" t="s">
        <v>27</v>
      </c>
      <c r="B190" s="16">
        <v>42571</v>
      </c>
      <c r="C190" s="17">
        <v>170</v>
      </c>
      <c r="D190" s="17">
        <v>170.5</v>
      </c>
      <c r="E190" s="17">
        <v>169</v>
      </c>
      <c r="F190" s="17">
        <v>170</v>
      </c>
      <c r="G190" s="43">
        <f t="shared" si="10"/>
        <v>171.5</v>
      </c>
      <c r="H190" s="43">
        <f t="shared" si="11"/>
        <v>163</v>
      </c>
      <c r="I190" s="44">
        <f t="shared" si="12"/>
        <v>82.35294117647058</v>
      </c>
      <c r="J190" s="44">
        <f t="shared" si="13"/>
        <v>84.207954077966264</v>
      </c>
      <c r="K190" s="44">
        <f t="shared" si="14"/>
        <v>84.185433691202292</v>
      </c>
      <c r="L190" s="13" t="s">
        <v>125</v>
      </c>
    </row>
    <row r="191" spans="1:12" x14ac:dyDescent="0.25">
      <c r="A191" s="15" t="s">
        <v>27</v>
      </c>
      <c r="B191" s="16">
        <v>42570</v>
      </c>
      <c r="C191" s="17">
        <v>170.5</v>
      </c>
      <c r="D191" s="17">
        <v>170.5</v>
      </c>
      <c r="E191" s="17">
        <v>169</v>
      </c>
      <c r="F191" s="17">
        <v>170.5</v>
      </c>
      <c r="G191" s="43">
        <f t="shared" si="10"/>
        <v>171.5</v>
      </c>
      <c r="H191" s="43">
        <f t="shared" si="11"/>
        <v>160.5</v>
      </c>
      <c r="I191" s="44">
        <f t="shared" si="12"/>
        <v>90.909090909090907</v>
      </c>
      <c r="J191" s="44">
        <f t="shared" si="13"/>
        <v>85.135460528714106</v>
      </c>
      <c r="K191" s="44">
        <f t="shared" si="14"/>
        <v>84.17417349782032</v>
      </c>
      <c r="L191" s="13" t="s">
        <v>125</v>
      </c>
    </row>
    <row r="192" spans="1:12" x14ac:dyDescent="0.25">
      <c r="A192" s="15" t="s">
        <v>27</v>
      </c>
      <c r="B192" s="16">
        <v>42569</v>
      </c>
      <c r="C192" s="17">
        <v>168</v>
      </c>
      <c r="D192" s="17">
        <v>170</v>
      </c>
      <c r="E192" s="17">
        <v>168</v>
      </c>
      <c r="F192" s="17">
        <v>169.5</v>
      </c>
      <c r="G192" s="43">
        <f t="shared" si="10"/>
        <v>171.5</v>
      </c>
      <c r="H192" s="43">
        <f t="shared" si="11"/>
        <v>160.5</v>
      </c>
      <c r="I192" s="44">
        <f t="shared" si="12"/>
        <v>81.818181818181827</v>
      </c>
      <c r="J192" s="44">
        <f t="shared" si="13"/>
        <v>82.248645338525705</v>
      </c>
      <c r="K192" s="44">
        <f t="shared" si="14"/>
        <v>83.693529982373434</v>
      </c>
      <c r="L192" s="13" t="s">
        <v>126</v>
      </c>
    </row>
    <row r="193" spans="1:12" x14ac:dyDescent="0.25">
      <c r="A193" s="15" t="s">
        <v>27</v>
      </c>
      <c r="B193" s="16">
        <v>42566</v>
      </c>
      <c r="C193" s="17">
        <v>168</v>
      </c>
      <c r="D193" s="17">
        <v>169.5</v>
      </c>
      <c r="E193" s="17">
        <v>166.5</v>
      </c>
      <c r="F193" s="17">
        <v>169.5</v>
      </c>
      <c r="G193" s="43">
        <f t="shared" si="10"/>
        <v>171.5</v>
      </c>
      <c r="H193" s="43">
        <f t="shared" si="11"/>
        <v>160.5</v>
      </c>
      <c r="I193" s="44">
        <f t="shared" si="12"/>
        <v>81.818181818181827</v>
      </c>
      <c r="J193" s="44">
        <f t="shared" si="13"/>
        <v>82.463877098697651</v>
      </c>
      <c r="K193" s="44">
        <f t="shared" si="14"/>
        <v>84.415972304297298</v>
      </c>
      <c r="L193" s="13" t="s">
        <v>126</v>
      </c>
    </row>
    <row r="194" spans="1:12" x14ac:dyDescent="0.25">
      <c r="A194" s="15" t="s">
        <v>27</v>
      </c>
      <c r="B194" s="16">
        <v>42565</v>
      </c>
      <c r="C194" s="17">
        <v>167</v>
      </c>
      <c r="D194" s="17">
        <v>170</v>
      </c>
      <c r="E194" s="17">
        <v>167</v>
      </c>
      <c r="F194" s="17">
        <v>169</v>
      </c>
      <c r="G194" s="43">
        <f t="shared" ref="G194:G257" si="15">MAX(D194:D202)</f>
        <v>171.5</v>
      </c>
      <c r="H194" s="43">
        <f t="shared" ref="H194:H257" si="16">MIN(E194:E202)</f>
        <v>160.5</v>
      </c>
      <c r="I194" s="44">
        <f t="shared" si="12"/>
        <v>77.272727272727266</v>
      </c>
      <c r="J194" s="44">
        <f t="shared" si="13"/>
        <v>82.786724738955556</v>
      </c>
      <c r="K194" s="44">
        <f t="shared" si="14"/>
        <v>85.392019907097136</v>
      </c>
      <c r="L194" s="13" t="s">
        <v>126</v>
      </c>
    </row>
    <row r="195" spans="1:12" x14ac:dyDescent="0.25">
      <c r="A195" s="15" t="s">
        <v>27</v>
      </c>
      <c r="B195" s="16">
        <v>42564</v>
      </c>
      <c r="C195" s="17">
        <v>169.5</v>
      </c>
      <c r="D195" s="17">
        <v>170</v>
      </c>
      <c r="E195" s="17">
        <v>167</v>
      </c>
      <c r="F195" s="17">
        <v>168.5</v>
      </c>
      <c r="G195" s="43">
        <f t="shared" si="15"/>
        <v>171.5</v>
      </c>
      <c r="H195" s="43">
        <f t="shared" si="16"/>
        <v>159.5</v>
      </c>
      <c r="I195" s="44">
        <f t="shared" ref="I195:I258" si="17">RSV(F195,G195,H195)</f>
        <v>75</v>
      </c>
      <c r="J195" s="44">
        <f t="shared" ref="J195:J258" si="18">K(I195,J196)</f>
        <v>85.543723472069715</v>
      </c>
      <c r="K195" s="44">
        <f t="shared" ref="K195:K258" si="19">D(J195,K196)</f>
        <v>86.694667491167934</v>
      </c>
      <c r="L195" s="13" t="s">
        <v>126</v>
      </c>
    </row>
    <row r="196" spans="1:12" x14ac:dyDescent="0.25">
      <c r="A196" s="15" t="s">
        <v>27</v>
      </c>
      <c r="B196" s="16">
        <v>42563</v>
      </c>
      <c r="C196" s="17">
        <v>171</v>
      </c>
      <c r="D196" s="17">
        <v>171.5</v>
      </c>
      <c r="E196" s="17">
        <v>169.5</v>
      </c>
      <c r="F196" s="17">
        <v>171</v>
      </c>
      <c r="G196" s="43">
        <f t="shared" si="15"/>
        <v>171.5</v>
      </c>
      <c r="H196" s="43">
        <f t="shared" si="16"/>
        <v>158</v>
      </c>
      <c r="I196" s="44">
        <f t="shared" si="17"/>
        <v>96.296296296296291</v>
      </c>
      <c r="J196" s="44">
        <f t="shared" si="18"/>
        <v>90.815585208104579</v>
      </c>
      <c r="K196" s="44">
        <f t="shared" si="19"/>
        <v>87.270139500717065</v>
      </c>
      <c r="L196" s="13" t="s">
        <v>125</v>
      </c>
    </row>
    <row r="197" spans="1:12" x14ac:dyDescent="0.25">
      <c r="A197" s="15" t="s">
        <v>27</v>
      </c>
      <c r="B197" s="16">
        <v>42562</v>
      </c>
      <c r="C197" s="17">
        <v>170</v>
      </c>
      <c r="D197" s="17">
        <v>170.5</v>
      </c>
      <c r="E197" s="17">
        <v>168.5</v>
      </c>
      <c r="F197" s="17">
        <v>170</v>
      </c>
      <c r="G197" s="43">
        <f t="shared" si="15"/>
        <v>170.5</v>
      </c>
      <c r="H197" s="43">
        <f t="shared" si="16"/>
        <v>155</v>
      </c>
      <c r="I197" s="44">
        <f t="shared" si="17"/>
        <v>96.774193548387103</v>
      </c>
      <c r="J197" s="44">
        <f t="shared" si="18"/>
        <v>88.075229664008731</v>
      </c>
      <c r="K197" s="44">
        <f t="shared" si="19"/>
        <v>85.497416647023314</v>
      </c>
      <c r="L197" s="13" t="s">
        <v>125</v>
      </c>
    </row>
    <row r="198" spans="1:12" x14ac:dyDescent="0.25">
      <c r="A198" s="15" t="s">
        <v>27</v>
      </c>
      <c r="B198" s="16">
        <v>42558</v>
      </c>
      <c r="C198" s="17">
        <v>163.5</v>
      </c>
      <c r="D198" s="17">
        <v>165</v>
      </c>
      <c r="E198" s="17">
        <v>163</v>
      </c>
      <c r="F198" s="17">
        <v>164.5</v>
      </c>
      <c r="G198" s="43">
        <f t="shared" si="15"/>
        <v>166.5</v>
      </c>
      <c r="H198" s="43">
        <f t="shared" si="16"/>
        <v>154</v>
      </c>
      <c r="I198" s="44">
        <f t="shared" si="17"/>
        <v>84</v>
      </c>
      <c r="J198" s="44">
        <f t="shared" si="18"/>
        <v>83.725747721819559</v>
      </c>
      <c r="K198" s="44">
        <f t="shared" si="19"/>
        <v>84.208510138530613</v>
      </c>
      <c r="L198" s="13" t="s">
        <v>126</v>
      </c>
    </row>
    <row r="199" spans="1:12" x14ac:dyDescent="0.25">
      <c r="A199" s="15" t="s">
        <v>27</v>
      </c>
      <c r="B199" s="16">
        <v>42557</v>
      </c>
      <c r="C199" s="17">
        <v>163</v>
      </c>
      <c r="D199" s="17">
        <v>163</v>
      </c>
      <c r="E199" s="17">
        <v>160.5</v>
      </c>
      <c r="F199" s="17">
        <v>161.5</v>
      </c>
      <c r="G199" s="43">
        <f t="shared" si="15"/>
        <v>166.5</v>
      </c>
      <c r="H199" s="43">
        <f t="shared" si="16"/>
        <v>148.66999999999999</v>
      </c>
      <c r="I199" s="44">
        <f t="shared" si="17"/>
        <v>71.957375210319711</v>
      </c>
      <c r="J199" s="44">
        <f t="shared" si="18"/>
        <v>83.588621582729346</v>
      </c>
      <c r="K199" s="44">
        <f t="shared" si="19"/>
        <v>84.449891346886147</v>
      </c>
      <c r="L199" s="13" t="s">
        <v>126</v>
      </c>
    </row>
    <row r="200" spans="1:12" x14ac:dyDescent="0.25">
      <c r="A200" s="15" t="s">
        <v>27</v>
      </c>
      <c r="B200" s="16">
        <v>42556</v>
      </c>
      <c r="C200" s="17">
        <v>165</v>
      </c>
      <c r="D200" s="17">
        <v>165.5</v>
      </c>
      <c r="E200" s="17">
        <v>164</v>
      </c>
      <c r="F200" s="17">
        <v>164</v>
      </c>
      <c r="G200" s="43">
        <f t="shared" si="15"/>
        <v>166.5</v>
      </c>
      <c r="H200" s="43">
        <f t="shared" si="16"/>
        <v>148.66999999999999</v>
      </c>
      <c r="I200" s="44">
        <f t="shared" si="17"/>
        <v>85.978687605159848</v>
      </c>
      <c r="J200" s="44">
        <f t="shared" si="18"/>
        <v>89.404244768934163</v>
      </c>
      <c r="K200" s="44">
        <f t="shared" si="19"/>
        <v>84.880526228964555</v>
      </c>
      <c r="L200" s="13" t="s">
        <v>125</v>
      </c>
    </row>
    <row r="201" spans="1:12" x14ac:dyDescent="0.25">
      <c r="A201" s="15" t="s">
        <v>27</v>
      </c>
      <c r="B201" s="16">
        <v>42555</v>
      </c>
      <c r="C201" s="17">
        <v>165.5</v>
      </c>
      <c r="D201" s="17">
        <v>166.5</v>
      </c>
      <c r="E201" s="17">
        <v>164.5</v>
      </c>
      <c r="F201" s="17">
        <v>166</v>
      </c>
      <c r="G201" s="43">
        <f t="shared" si="15"/>
        <v>166.5</v>
      </c>
      <c r="H201" s="43">
        <f t="shared" si="16"/>
        <v>148.66999999999999</v>
      </c>
      <c r="I201" s="44">
        <f t="shared" si="17"/>
        <v>97.195737521031973</v>
      </c>
      <c r="J201" s="44">
        <f t="shared" si="18"/>
        <v>91.117023350821327</v>
      </c>
      <c r="K201" s="44">
        <f t="shared" si="19"/>
        <v>82.618666958979759</v>
      </c>
      <c r="L201" s="13" t="s">
        <v>125</v>
      </c>
    </row>
    <row r="202" spans="1:12" x14ac:dyDescent="0.25">
      <c r="A202" s="15" t="s">
        <v>27</v>
      </c>
      <c r="B202" s="16">
        <v>42552</v>
      </c>
      <c r="C202" s="17">
        <v>164.5</v>
      </c>
      <c r="D202" s="17">
        <v>166</v>
      </c>
      <c r="E202" s="17">
        <v>163.5</v>
      </c>
      <c r="F202" s="17">
        <v>166</v>
      </c>
      <c r="G202" s="43">
        <f t="shared" si="15"/>
        <v>166</v>
      </c>
      <c r="H202" s="43">
        <f t="shared" si="16"/>
        <v>148.66999999999999</v>
      </c>
      <c r="I202" s="44">
        <f t="shared" si="17"/>
        <v>100</v>
      </c>
      <c r="J202" s="44">
        <f t="shared" si="18"/>
        <v>88.077666265716019</v>
      </c>
      <c r="K202" s="44">
        <f t="shared" si="19"/>
        <v>78.369488763058996</v>
      </c>
      <c r="L202" s="13" t="s">
        <v>125</v>
      </c>
    </row>
    <row r="203" spans="1:12" x14ac:dyDescent="0.25">
      <c r="A203" s="15" t="s">
        <v>27</v>
      </c>
      <c r="B203" s="16">
        <v>42551</v>
      </c>
      <c r="C203" s="17">
        <v>161</v>
      </c>
      <c r="D203" s="17">
        <v>163</v>
      </c>
      <c r="E203" s="17">
        <v>159.5</v>
      </c>
      <c r="F203" s="17">
        <v>162.5</v>
      </c>
      <c r="G203" s="43">
        <f t="shared" si="15"/>
        <v>163</v>
      </c>
      <c r="H203" s="43">
        <f t="shared" si="16"/>
        <v>148.66999999999999</v>
      </c>
      <c r="I203" s="44">
        <f t="shared" si="17"/>
        <v>96.510816468946274</v>
      </c>
      <c r="J203" s="44">
        <f t="shared" si="18"/>
        <v>82.116499398574035</v>
      </c>
      <c r="K203" s="44">
        <f t="shared" si="19"/>
        <v>73.515400011730492</v>
      </c>
      <c r="L203" s="13" t="s">
        <v>125</v>
      </c>
    </row>
    <row r="204" spans="1:12" x14ac:dyDescent="0.25">
      <c r="A204" s="15" t="s">
        <v>27</v>
      </c>
      <c r="B204" s="16">
        <v>42550</v>
      </c>
      <c r="C204" s="17">
        <v>158.5</v>
      </c>
      <c r="D204" s="17">
        <v>160</v>
      </c>
      <c r="E204" s="17">
        <v>158</v>
      </c>
      <c r="F204" s="17">
        <v>159</v>
      </c>
      <c r="G204" s="43">
        <f t="shared" si="15"/>
        <v>160</v>
      </c>
      <c r="H204" s="43">
        <f t="shared" si="16"/>
        <v>148.66999999999999</v>
      </c>
      <c r="I204" s="44">
        <f t="shared" si="17"/>
        <v>91.173874669020307</v>
      </c>
      <c r="J204" s="44">
        <f t="shared" si="18"/>
        <v>74.91934086338793</v>
      </c>
      <c r="K204" s="44">
        <f t="shared" si="19"/>
        <v>69.21485031830872</v>
      </c>
      <c r="L204" s="13" t="s">
        <v>125</v>
      </c>
    </row>
    <row r="205" spans="1:12" x14ac:dyDescent="0.25">
      <c r="A205" s="15" t="s">
        <v>27</v>
      </c>
      <c r="B205" s="16">
        <v>42549</v>
      </c>
      <c r="C205" s="17">
        <v>155.5</v>
      </c>
      <c r="D205" s="17">
        <v>157.5</v>
      </c>
      <c r="E205" s="17">
        <v>155</v>
      </c>
      <c r="F205" s="17">
        <v>157</v>
      </c>
      <c r="G205" s="43">
        <f t="shared" si="15"/>
        <v>159.74</v>
      </c>
      <c r="H205" s="43">
        <f t="shared" si="16"/>
        <v>148.66999999999999</v>
      </c>
      <c r="I205" s="44">
        <f t="shared" si="17"/>
        <v>75.24841915085814</v>
      </c>
      <c r="J205" s="44">
        <f t="shared" si="18"/>
        <v>66.792073960571756</v>
      </c>
      <c r="K205" s="44">
        <f t="shared" si="19"/>
        <v>66.362605045769129</v>
      </c>
      <c r="L205" s="13" t="s">
        <v>125</v>
      </c>
    </row>
    <row r="206" spans="1:12" x14ac:dyDescent="0.25">
      <c r="A206" s="15" t="s">
        <v>27</v>
      </c>
      <c r="B206" s="16">
        <v>42548</v>
      </c>
      <c r="C206" s="17">
        <v>154.5</v>
      </c>
      <c r="D206" s="17">
        <v>156</v>
      </c>
      <c r="E206" s="17">
        <v>154</v>
      </c>
      <c r="F206" s="17">
        <v>155.5</v>
      </c>
      <c r="G206" s="43">
        <f t="shared" si="15"/>
        <v>159.74</v>
      </c>
      <c r="H206" s="43">
        <f t="shared" si="16"/>
        <v>148.66999999999999</v>
      </c>
      <c r="I206" s="44">
        <f t="shared" si="17"/>
        <v>61.698283649503146</v>
      </c>
      <c r="J206" s="44">
        <f t="shared" si="18"/>
        <v>62.563901365428571</v>
      </c>
      <c r="K206" s="44">
        <f t="shared" si="19"/>
        <v>66.147870588367823</v>
      </c>
      <c r="L206" s="13" t="s">
        <v>126</v>
      </c>
    </row>
    <row r="207" spans="1:12" x14ac:dyDescent="0.25">
      <c r="A207" s="15" t="s">
        <v>27</v>
      </c>
      <c r="B207" s="16">
        <v>42545</v>
      </c>
      <c r="C207" s="17">
        <v>157.81</v>
      </c>
      <c r="D207" s="17">
        <v>157.81</v>
      </c>
      <c r="E207" s="17">
        <v>148.66999999999999</v>
      </c>
      <c r="F207" s="17">
        <v>153</v>
      </c>
      <c r="G207" s="43">
        <f t="shared" si="15"/>
        <v>159.74</v>
      </c>
      <c r="H207" s="43">
        <f t="shared" si="16"/>
        <v>148.66999999999999</v>
      </c>
      <c r="I207" s="44">
        <f t="shared" si="17"/>
        <v>39.114724480578175</v>
      </c>
      <c r="J207" s="44">
        <f t="shared" si="18"/>
        <v>62.99671022339129</v>
      </c>
      <c r="K207" s="44">
        <f t="shared" si="19"/>
        <v>67.939855199837453</v>
      </c>
      <c r="L207" s="13" t="s">
        <v>126</v>
      </c>
    </row>
    <row r="208" spans="1:12" x14ac:dyDescent="0.25">
      <c r="A208" s="15" t="s">
        <v>27</v>
      </c>
      <c r="B208" s="16">
        <v>42544</v>
      </c>
      <c r="C208" s="17">
        <v>159.25</v>
      </c>
      <c r="D208" s="17">
        <v>159.74</v>
      </c>
      <c r="E208" s="17">
        <v>157.81</v>
      </c>
      <c r="F208" s="17">
        <v>157.81</v>
      </c>
      <c r="G208" s="43">
        <f t="shared" si="15"/>
        <v>159.74</v>
      </c>
      <c r="H208" s="43">
        <f t="shared" si="16"/>
        <v>153.47999999999999</v>
      </c>
      <c r="I208" s="44">
        <f t="shared" si="17"/>
        <v>69.169329073482416</v>
      </c>
      <c r="J208" s="44">
        <f t="shared" si="18"/>
        <v>74.937703094797854</v>
      </c>
      <c r="K208" s="44">
        <f t="shared" si="19"/>
        <v>70.411427688060542</v>
      </c>
      <c r="L208" s="13" t="s">
        <v>125</v>
      </c>
    </row>
    <row r="209" spans="1:12" x14ac:dyDescent="0.25">
      <c r="A209" s="15" t="s">
        <v>27</v>
      </c>
      <c r="B209" s="16">
        <v>42543</v>
      </c>
      <c r="C209" s="17">
        <v>158.29</v>
      </c>
      <c r="D209" s="17">
        <v>159.74</v>
      </c>
      <c r="E209" s="17">
        <v>157.33000000000001</v>
      </c>
      <c r="F209" s="17">
        <v>159.74</v>
      </c>
      <c r="G209" s="43">
        <f t="shared" si="15"/>
        <v>159.74</v>
      </c>
      <c r="H209" s="43">
        <f t="shared" si="16"/>
        <v>153.47999999999999</v>
      </c>
      <c r="I209" s="44">
        <f t="shared" si="17"/>
        <v>100</v>
      </c>
      <c r="J209" s="44">
        <f t="shared" si="18"/>
        <v>77.821890105455594</v>
      </c>
      <c r="K209" s="44">
        <f t="shared" si="19"/>
        <v>68.1482899846919</v>
      </c>
      <c r="L209" s="13" t="s">
        <v>125</v>
      </c>
    </row>
    <row r="210" spans="1:12" x14ac:dyDescent="0.25">
      <c r="A210" s="15" t="s">
        <v>27</v>
      </c>
      <c r="B210" s="16">
        <v>42542</v>
      </c>
      <c r="C210" s="17">
        <v>157.81</v>
      </c>
      <c r="D210" s="17">
        <v>159.25</v>
      </c>
      <c r="E210" s="17">
        <v>157.33000000000001</v>
      </c>
      <c r="F210" s="17">
        <v>159.25</v>
      </c>
      <c r="G210" s="43">
        <f t="shared" si="15"/>
        <v>159.74</v>
      </c>
      <c r="H210" s="43">
        <f t="shared" si="16"/>
        <v>153.47999999999999</v>
      </c>
      <c r="I210" s="44">
        <f t="shared" si="17"/>
        <v>92.172523961661227</v>
      </c>
      <c r="J210" s="44">
        <f t="shared" si="18"/>
        <v>66.732835158183391</v>
      </c>
      <c r="K210" s="44">
        <f t="shared" si="19"/>
        <v>63.311489924310052</v>
      </c>
      <c r="L210" s="13" t="s">
        <v>125</v>
      </c>
    </row>
    <row r="211" spans="1:12" x14ac:dyDescent="0.25">
      <c r="A211" s="15" t="s">
        <v>27</v>
      </c>
      <c r="B211" s="16">
        <v>42541</v>
      </c>
      <c r="C211" s="17">
        <v>158.29</v>
      </c>
      <c r="D211" s="17">
        <v>158.77000000000001</v>
      </c>
      <c r="E211" s="17">
        <v>156.85</v>
      </c>
      <c r="F211" s="17">
        <v>156.85</v>
      </c>
      <c r="G211" s="43">
        <f t="shared" si="15"/>
        <v>159.74</v>
      </c>
      <c r="H211" s="43">
        <f t="shared" si="16"/>
        <v>153.47999999999999</v>
      </c>
      <c r="I211" s="44">
        <f t="shared" si="17"/>
        <v>53.833865814696388</v>
      </c>
      <c r="J211" s="44">
        <f t="shared" si="18"/>
        <v>54.012990756444481</v>
      </c>
      <c r="K211" s="44">
        <f t="shared" si="19"/>
        <v>61.60081730737339</v>
      </c>
      <c r="L211" s="13" t="s">
        <v>126</v>
      </c>
    </row>
    <row r="212" spans="1:12" x14ac:dyDescent="0.25">
      <c r="A212" s="15" t="s">
        <v>27</v>
      </c>
      <c r="B212" s="16">
        <v>42538</v>
      </c>
      <c r="C212" s="17">
        <v>156.37</v>
      </c>
      <c r="D212" s="17">
        <v>158.29</v>
      </c>
      <c r="E212" s="17">
        <v>155.88999999999999</v>
      </c>
      <c r="F212" s="17">
        <v>156.85</v>
      </c>
      <c r="G212" s="43">
        <f t="shared" si="15"/>
        <v>159.74</v>
      </c>
      <c r="H212" s="43">
        <f t="shared" si="16"/>
        <v>153.47999999999999</v>
      </c>
      <c r="I212" s="44">
        <f t="shared" si="17"/>
        <v>53.833865814696388</v>
      </c>
      <c r="J212" s="44">
        <f t="shared" si="18"/>
        <v>54.102553227318523</v>
      </c>
      <c r="K212" s="44">
        <f t="shared" si="19"/>
        <v>65.394730582837852</v>
      </c>
      <c r="L212" s="13" t="s">
        <v>126</v>
      </c>
    </row>
    <row r="213" spans="1:12" x14ac:dyDescent="0.25">
      <c r="A213" s="15" t="s">
        <v>27</v>
      </c>
      <c r="B213" s="16">
        <v>42537</v>
      </c>
      <c r="C213" s="17">
        <v>155.41</v>
      </c>
      <c r="D213" s="17">
        <v>156.37</v>
      </c>
      <c r="E213" s="17">
        <v>153.47999999999999</v>
      </c>
      <c r="F213" s="17">
        <v>154.44</v>
      </c>
      <c r="G213" s="43">
        <f t="shared" si="15"/>
        <v>159.74</v>
      </c>
      <c r="H213" s="43">
        <f t="shared" si="16"/>
        <v>153</v>
      </c>
      <c r="I213" s="44">
        <f t="shared" si="17"/>
        <v>21.364985163204686</v>
      </c>
      <c r="J213" s="44">
        <f t="shared" si="18"/>
        <v>54.236896933629588</v>
      </c>
      <c r="K213" s="44">
        <f t="shared" si="19"/>
        <v>71.040819260597516</v>
      </c>
      <c r="L213" s="13" t="s">
        <v>126</v>
      </c>
    </row>
    <row r="214" spans="1:12" x14ac:dyDescent="0.25">
      <c r="A214" s="15" t="s">
        <v>27</v>
      </c>
      <c r="B214" s="16">
        <v>42536</v>
      </c>
      <c r="C214" s="17">
        <v>155.88999999999999</v>
      </c>
      <c r="D214" s="17">
        <v>156.85</v>
      </c>
      <c r="E214" s="17">
        <v>154.91999999999999</v>
      </c>
      <c r="F214" s="17">
        <v>156.85</v>
      </c>
      <c r="G214" s="43">
        <f t="shared" si="15"/>
        <v>159.74</v>
      </c>
      <c r="H214" s="43">
        <f t="shared" si="16"/>
        <v>152.04</v>
      </c>
      <c r="I214" s="44">
        <f t="shared" si="17"/>
        <v>62.467532467532358</v>
      </c>
      <c r="J214" s="44">
        <f t="shared" si="18"/>
        <v>70.672852818842046</v>
      </c>
      <c r="K214" s="44">
        <f t="shared" si="19"/>
        <v>79.442780424081477</v>
      </c>
      <c r="L214" s="13" t="s">
        <v>126</v>
      </c>
    </row>
    <row r="215" spans="1:12" x14ac:dyDescent="0.25">
      <c r="A215" s="15" t="s">
        <v>27</v>
      </c>
      <c r="B215" s="16">
        <v>42535</v>
      </c>
      <c r="C215" s="17">
        <v>154.91999999999999</v>
      </c>
      <c r="D215" s="17">
        <v>156.85</v>
      </c>
      <c r="E215" s="17">
        <v>154.91999999999999</v>
      </c>
      <c r="F215" s="17">
        <v>155.88999999999999</v>
      </c>
      <c r="G215" s="43">
        <f t="shared" si="15"/>
        <v>159.74</v>
      </c>
      <c r="H215" s="43">
        <f t="shared" si="16"/>
        <v>150.11000000000001</v>
      </c>
      <c r="I215" s="44">
        <f t="shared" si="17"/>
        <v>60.020768431983129</v>
      </c>
      <c r="J215" s="44">
        <f t="shared" si="18"/>
        <v>74.775512994496879</v>
      </c>
      <c r="K215" s="44">
        <f t="shared" si="19"/>
        <v>83.827744226701199</v>
      </c>
      <c r="L215" s="13" t="s">
        <v>126</v>
      </c>
    </row>
    <row r="216" spans="1:12" x14ac:dyDescent="0.25">
      <c r="A216" s="15" t="s">
        <v>27</v>
      </c>
      <c r="B216" s="16">
        <v>42534</v>
      </c>
      <c r="C216" s="17">
        <v>154.91999999999999</v>
      </c>
      <c r="D216" s="17">
        <v>156.37</v>
      </c>
      <c r="E216" s="17">
        <v>154.91999999999999</v>
      </c>
      <c r="F216" s="17">
        <v>155.88999999999999</v>
      </c>
      <c r="G216" s="43">
        <f t="shared" si="15"/>
        <v>159.74</v>
      </c>
      <c r="H216" s="43">
        <f t="shared" si="16"/>
        <v>149.15</v>
      </c>
      <c r="I216" s="44">
        <f t="shared" si="17"/>
        <v>63.644948064211313</v>
      </c>
      <c r="J216" s="44">
        <f t="shared" si="18"/>
        <v>82.152885275753761</v>
      </c>
      <c r="K216" s="44">
        <f t="shared" si="19"/>
        <v>88.353859842803359</v>
      </c>
      <c r="L216" s="13" t="s">
        <v>126</v>
      </c>
    </row>
    <row r="217" spans="1:12" x14ac:dyDescent="0.25">
      <c r="A217" s="15" t="s">
        <v>27</v>
      </c>
      <c r="B217" s="16">
        <v>42529</v>
      </c>
      <c r="C217" s="17">
        <v>157.81</v>
      </c>
      <c r="D217" s="17">
        <v>159.74</v>
      </c>
      <c r="E217" s="17">
        <v>157.33000000000001</v>
      </c>
      <c r="F217" s="17">
        <v>159.25</v>
      </c>
      <c r="G217" s="43">
        <f t="shared" si="15"/>
        <v>159.74</v>
      </c>
      <c r="H217" s="43">
        <f t="shared" si="16"/>
        <v>149.15</v>
      </c>
      <c r="I217" s="44">
        <f t="shared" si="17"/>
        <v>95.372993389990469</v>
      </c>
      <c r="J217" s="44">
        <f t="shared" si="18"/>
        <v>91.406853881524995</v>
      </c>
      <c r="K217" s="44">
        <f t="shared" si="19"/>
        <v>91.454347126328159</v>
      </c>
      <c r="L217" s="13" t="s">
        <v>126</v>
      </c>
    </row>
    <row r="218" spans="1:12" x14ac:dyDescent="0.25">
      <c r="A218" s="15" t="s">
        <v>27</v>
      </c>
      <c r="B218" s="16">
        <v>42528</v>
      </c>
      <c r="C218" s="17">
        <v>155.41</v>
      </c>
      <c r="D218" s="17">
        <v>157.33000000000001</v>
      </c>
      <c r="E218" s="17">
        <v>154.91999999999999</v>
      </c>
      <c r="F218" s="17">
        <v>155.88999999999999</v>
      </c>
      <c r="G218" s="43">
        <f t="shared" si="15"/>
        <v>157.33000000000001</v>
      </c>
      <c r="H218" s="43">
        <f t="shared" si="16"/>
        <v>148.66999999999999</v>
      </c>
      <c r="I218" s="44">
        <f t="shared" si="17"/>
        <v>83.371824480369256</v>
      </c>
      <c r="J218" s="44">
        <f t="shared" si="18"/>
        <v>89.423784127292265</v>
      </c>
      <c r="K218" s="44">
        <f t="shared" si="19"/>
        <v>91.478093748729748</v>
      </c>
      <c r="L218" s="13" t="s">
        <v>126</v>
      </c>
    </row>
    <row r="219" spans="1:12" x14ac:dyDescent="0.25">
      <c r="A219" s="15" t="s">
        <v>27</v>
      </c>
      <c r="B219" s="16">
        <v>42527</v>
      </c>
      <c r="C219" s="17">
        <v>154.91999999999999</v>
      </c>
      <c r="D219" s="17">
        <v>155.88999999999999</v>
      </c>
      <c r="E219" s="17">
        <v>153.96</v>
      </c>
      <c r="F219" s="17">
        <v>154.91999999999999</v>
      </c>
      <c r="G219" s="43">
        <f t="shared" si="15"/>
        <v>155.88999999999999</v>
      </c>
      <c r="H219" s="43">
        <f t="shared" si="16"/>
        <v>147.71</v>
      </c>
      <c r="I219" s="44">
        <f t="shared" si="17"/>
        <v>88.141809290953532</v>
      </c>
      <c r="J219" s="44">
        <f t="shared" si="18"/>
        <v>92.449763950753777</v>
      </c>
      <c r="K219" s="44">
        <f t="shared" si="19"/>
        <v>92.505248559448503</v>
      </c>
      <c r="L219" s="13" t="s">
        <v>126</v>
      </c>
    </row>
    <row r="220" spans="1:12" x14ac:dyDescent="0.25">
      <c r="A220" s="15" t="s">
        <v>27</v>
      </c>
      <c r="B220" s="16">
        <v>42525</v>
      </c>
      <c r="C220" s="17">
        <v>153.96</v>
      </c>
      <c r="D220" s="17">
        <v>153.96</v>
      </c>
      <c r="E220" s="17">
        <v>153.47999999999999</v>
      </c>
      <c r="F220" s="17">
        <v>153.96</v>
      </c>
      <c r="G220" s="43">
        <f t="shared" si="15"/>
        <v>154.44</v>
      </c>
      <c r="H220" s="43">
        <f t="shared" si="16"/>
        <v>146.75</v>
      </c>
      <c r="I220" s="44">
        <f t="shared" si="17"/>
        <v>93.758127438231597</v>
      </c>
      <c r="J220" s="44">
        <f t="shared" si="18"/>
        <v>94.603741280653921</v>
      </c>
      <c r="K220" s="44">
        <f t="shared" si="19"/>
        <v>92.532990863795874</v>
      </c>
      <c r="L220" s="13" t="s">
        <v>125</v>
      </c>
    </row>
    <row r="221" spans="1:12" x14ac:dyDescent="0.25">
      <c r="A221" s="15" t="s">
        <v>27</v>
      </c>
      <c r="B221" s="16">
        <v>42524</v>
      </c>
      <c r="C221" s="17">
        <v>153</v>
      </c>
      <c r="D221" s="17">
        <v>154.44</v>
      </c>
      <c r="E221" s="17">
        <v>153</v>
      </c>
      <c r="F221" s="17">
        <v>154.44</v>
      </c>
      <c r="G221" s="43">
        <f t="shared" si="15"/>
        <v>154.44</v>
      </c>
      <c r="H221" s="43">
        <f t="shared" si="16"/>
        <v>145.30000000000001</v>
      </c>
      <c r="I221" s="44">
        <f t="shared" si="17"/>
        <v>100</v>
      </c>
      <c r="J221" s="44">
        <f t="shared" si="18"/>
        <v>95.026548201865097</v>
      </c>
      <c r="K221" s="44">
        <f t="shared" si="19"/>
        <v>91.497615655366843</v>
      </c>
      <c r="L221" s="13" t="s">
        <v>125</v>
      </c>
    </row>
    <row r="222" spans="1:12" x14ac:dyDescent="0.25">
      <c r="A222" s="15" t="s">
        <v>27</v>
      </c>
      <c r="B222" s="16">
        <v>42523</v>
      </c>
      <c r="C222" s="17">
        <v>153</v>
      </c>
      <c r="D222" s="17">
        <v>153.96</v>
      </c>
      <c r="E222" s="17">
        <v>152.04</v>
      </c>
      <c r="F222" s="17">
        <v>153</v>
      </c>
      <c r="G222" s="43">
        <f t="shared" si="15"/>
        <v>153.96</v>
      </c>
      <c r="H222" s="43">
        <f t="shared" si="16"/>
        <v>143.86000000000001</v>
      </c>
      <c r="I222" s="44">
        <f t="shared" si="17"/>
        <v>90.495049504950416</v>
      </c>
      <c r="J222" s="44">
        <f t="shared" si="18"/>
        <v>92.53982230279766</v>
      </c>
      <c r="K222" s="44">
        <f t="shared" si="19"/>
        <v>89.733149382117716</v>
      </c>
      <c r="L222" s="13" t="s">
        <v>125</v>
      </c>
    </row>
    <row r="223" spans="1:12" x14ac:dyDescent="0.25">
      <c r="A223" s="15" t="s">
        <v>27</v>
      </c>
      <c r="B223" s="16">
        <v>42522</v>
      </c>
      <c r="C223" s="17">
        <v>150.11000000000001</v>
      </c>
      <c r="D223" s="17">
        <v>153</v>
      </c>
      <c r="E223" s="17">
        <v>150.11000000000001</v>
      </c>
      <c r="F223" s="17">
        <v>153</v>
      </c>
      <c r="G223" s="43">
        <f t="shared" si="15"/>
        <v>153</v>
      </c>
      <c r="H223" s="43">
        <f t="shared" si="16"/>
        <v>141.44999999999999</v>
      </c>
      <c r="I223" s="44">
        <f t="shared" si="17"/>
        <v>100</v>
      </c>
      <c r="J223" s="44">
        <f t="shared" si="18"/>
        <v>93.562208701721289</v>
      </c>
      <c r="K223" s="44">
        <f t="shared" si="19"/>
        <v>88.329812921777744</v>
      </c>
      <c r="L223" s="13" t="s">
        <v>125</v>
      </c>
    </row>
    <row r="224" spans="1:12" x14ac:dyDescent="0.25">
      <c r="A224" s="15" t="s">
        <v>27</v>
      </c>
      <c r="B224" s="16">
        <v>42521</v>
      </c>
      <c r="C224" s="17">
        <v>150.59</v>
      </c>
      <c r="D224" s="17">
        <v>151.56</v>
      </c>
      <c r="E224" s="17">
        <v>149.15</v>
      </c>
      <c r="F224" s="17">
        <v>150.59</v>
      </c>
      <c r="G224" s="43">
        <f t="shared" si="15"/>
        <v>152.04</v>
      </c>
      <c r="H224" s="43">
        <f t="shared" si="16"/>
        <v>140.01</v>
      </c>
      <c r="I224" s="44">
        <f t="shared" si="17"/>
        <v>87.946799667498027</v>
      </c>
      <c r="J224" s="44">
        <f t="shared" si="18"/>
        <v>90.343313052581948</v>
      </c>
      <c r="K224" s="44">
        <f t="shared" si="19"/>
        <v>85.713615031805972</v>
      </c>
      <c r="L224" s="13" t="s">
        <v>125</v>
      </c>
    </row>
    <row r="225" spans="1:12" x14ac:dyDescent="0.25">
      <c r="A225" s="15" t="s">
        <v>27</v>
      </c>
      <c r="B225" s="16">
        <v>42520</v>
      </c>
      <c r="C225" s="17">
        <v>151.08000000000001</v>
      </c>
      <c r="D225" s="17">
        <v>152.04</v>
      </c>
      <c r="E225" s="17">
        <v>149.15</v>
      </c>
      <c r="F225" s="17">
        <v>151.08000000000001</v>
      </c>
      <c r="G225" s="43">
        <f t="shared" si="15"/>
        <v>152.04</v>
      </c>
      <c r="H225" s="43">
        <f t="shared" si="16"/>
        <v>139.53</v>
      </c>
      <c r="I225" s="44">
        <f t="shared" si="17"/>
        <v>92.326139088729178</v>
      </c>
      <c r="J225" s="44">
        <f t="shared" si="18"/>
        <v>91.541569745123908</v>
      </c>
      <c r="K225" s="44">
        <f t="shared" si="19"/>
        <v>83.398766021417998</v>
      </c>
      <c r="L225" s="13" t="s">
        <v>125</v>
      </c>
    </row>
    <row r="226" spans="1:12" x14ac:dyDescent="0.25">
      <c r="A226" s="15" t="s">
        <v>27</v>
      </c>
      <c r="B226" s="16">
        <v>42517</v>
      </c>
      <c r="C226" s="17">
        <v>150.11000000000001</v>
      </c>
      <c r="D226" s="17">
        <v>150.59</v>
      </c>
      <c r="E226" s="17">
        <v>148.66999999999999</v>
      </c>
      <c r="F226" s="17">
        <v>150.59</v>
      </c>
      <c r="G226" s="43">
        <f t="shared" si="15"/>
        <v>150.59</v>
      </c>
      <c r="H226" s="43">
        <f t="shared" si="16"/>
        <v>139.53</v>
      </c>
      <c r="I226" s="44">
        <f t="shared" si="17"/>
        <v>100</v>
      </c>
      <c r="J226" s="44">
        <f t="shared" si="18"/>
        <v>91.14928507332128</v>
      </c>
      <c r="K226" s="44">
        <f t="shared" si="19"/>
        <v>79.32736415956505</v>
      </c>
      <c r="L226" s="13" t="s">
        <v>125</v>
      </c>
    </row>
    <row r="227" spans="1:12" x14ac:dyDescent="0.25">
      <c r="A227" s="15" t="s">
        <v>27</v>
      </c>
      <c r="B227" s="16">
        <v>42516</v>
      </c>
      <c r="C227" s="17">
        <v>148.66999999999999</v>
      </c>
      <c r="D227" s="17">
        <v>149.15</v>
      </c>
      <c r="E227" s="17">
        <v>147.71</v>
      </c>
      <c r="F227" s="17">
        <v>149.15</v>
      </c>
      <c r="G227" s="43">
        <f t="shared" si="15"/>
        <v>149.15</v>
      </c>
      <c r="H227" s="43">
        <f t="shared" si="16"/>
        <v>137.6</v>
      </c>
      <c r="I227" s="44">
        <f t="shared" si="17"/>
        <v>100</v>
      </c>
      <c r="J227" s="44">
        <f t="shared" si="18"/>
        <v>86.723927609981928</v>
      </c>
      <c r="K227" s="44">
        <f t="shared" si="19"/>
        <v>73.416403702686949</v>
      </c>
      <c r="L227" s="13" t="s">
        <v>125</v>
      </c>
    </row>
    <row r="228" spans="1:12" x14ac:dyDescent="0.25">
      <c r="A228" s="15" t="s">
        <v>27</v>
      </c>
      <c r="B228" s="16">
        <v>42515</v>
      </c>
      <c r="C228" s="17">
        <v>147.71</v>
      </c>
      <c r="D228" s="17">
        <v>149.15</v>
      </c>
      <c r="E228" s="17">
        <v>146.75</v>
      </c>
      <c r="F228" s="17">
        <v>148.66999999999999</v>
      </c>
      <c r="G228" s="43">
        <f t="shared" si="15"/>
        <v>149.15</v>
      </c>
      <c r="H228" s="43">
        <f t="shared" si="16"/>
        <v>137.6</v>
      </c>
      <c r="I228" s="44">
        <f t="shared" si="17"/>
        <v>95.844155844155694</v>
      </c>
      <c r="J228" s="44">
        <f t="shared" si="18"/>
        <v>80.085891414972892</v>
      </c>
      <c r="K228" s="44">
        <f t="shared" si="19"/>
        <v>66.762641749039474</v>
      </c>
      <c r="L228" s="13" t="s">
        <v>125</v>
      </c>
    </row>
    <row r="229" spans="1:12" x14ac:dyDescent="0.25">
      <c r="A229" s="15" t="s">
        <v>27</v>
      </c>
      <c r="B229" s="16">
        <v>42514</v>
      </c>
      <c r="C229" s="17">
        <v>146.75</v>
      </c>
      <c r="D229" s="17">
        <v>147.71</v>
      </c>
      <c r="E229" s="17">
        <v>145.30000000000001</v>
      </c>
      <c r="F229" s="17">
        <v>145.30000000000001</v>
      </c>
      <c r="G229" s="43">
        <f t="shared" si="15"/>
        <v>148.66999999999999</v>
      </c>
      <c r="H229" s="43">
        <f t="shared" si="16"/>
        <v>137.6</v>
      </c>
      <c r="I229" s="44">
        <f t="shared" si="17"/>
        <v>69.557362240289265</v>
      </c>
      <c r="J229" s="44">
        <f t="shared" si="18"/>
        <v>72.206759200381498</v>
      </c>
      <c r="K229" s="44">
        <f t="shared" si="19"/>
        <v>60.101016916072766</v>
      </c>
      <c r="L229" s="13" t="s">
        <v>125</v>
      </c>
    </row>
    <row r="230" spans="1:12" x14ac:dyDescent="0.25">
      <c r="A230" s="15" t="s">
        <v>27</v>
      </c>
      <c r="B230" s="16">
        <v>42513</v>
      </c>
      <c r="C230" s="17">
        <v>144.82</v>
      </c>
      <c r="D230" s="17">
        <v>148.66999999999999</v>
      </c>
      <c r="E230" s="17">
        <v>143.86000000000001</v>
      </c>
      <c r="F230" s="17">
        <v>148.19</v>
      </c>
      <c r="G230" s="43">
        <f t="shared" si="15"/>
        <v>148.66999999999999</v>
      </c>
      <c r="H230" s="43">
        <f t="shared" si="16"/>
        <v>137.6</v>
      </c>
      <c r="I230" s="44">
        <f t="shared" si="17"/>
        <v>95.663956639566479</v>
      </c>
      <c r="J230" s="44">
        <f t="shared" si="18"/>
        <v>73.531457680427621</v>
      </c>
      <c r="K230" s="44">
        <f t="shared" si="19"/>
        <v>54.048145773918407</v>
      </c>
      <c r="L230" s="13" t="s">
        <v>125</v>
      </c>
    </row>
    <row r="231" spans="1:12" x14ac:dyDescent="0.25">
      <c r="A231" s="15" t="s">
        <v>27</v>
      </c>
      <c r="B231" s="16">
        <v>42510</v>
      </c>
      <c r="C231" s="17">
        <v>141.93</v>
      </c>
      <c r="D231" s="17">
        <v>143.86000000000001</v>
      </c>
      <c r="E231" s="17">
        <v>141.44999999999999</v>
      </c>
      <c r="F231" s="17">
        <v>142.9</v>
      </c>
      <c r="G231" s="43">
        <f t="shared" si="15"/>
        <v>143.86000000000001</v>
      </c>
      <c r="H231" s="43">
        <f t="shared" si="16"/>
        <v>137.6</v>
      </c>
      <c r="I231" s="44">
        <f t="shared" si="17"/>
        <v>84.664536741213979</v>
      </c>
      <c r="J231" s="44">
        <f t="shared" si="18"/>
        <v>62.4652082008582</v>
      </c>
      <c r="K231" s="44">
        <f t="shared" si="19"/>
        <v>44.306489820663799</v>
      </c>
      <c r="L231" s="13" t="s">
        <v>125</v>
      </c>
    </row>
    <row r="232" spans="1:12" x14ac:dyDescent="0.25">
      <c r="A232" s="15" t="s">
        <v>27</v>
      </c>
      <c r="B232" s="16">
        <v>42509</v>
      </c>
      <c r="C232" s="17">
        <v>142.41999999999999</v>
      </c>
      <c r="D232" s="17">
        <v>142.9</v>
      </c>
      <c r="E232" s="17">
        <v>140.01</v>
      </c>
      <c r="F232" s="17">
        <v>141.44999999999999</v>
      </c>
      <c r="G232" s="43">
        <f t="shared" si="15"/>
        <v>143.38</v>
      </c>
      <c r="H232" s="43">
        <f t="shared" si="16"/>
        <v>137.6</v>
      </c>
      <c r="I232" s="44">
        <f t="shared" si="17"/>
        <v>66.608996539792273</v>
      </c>
      <c r="J232" s="44">
        <f t="shared" si="18"/>
        <v>51.365543930680317</v>
      </c>
      <c r="K232" s="44">
        <f t="shared" si="19"/>
        <v>35.227130630566606</v>
      </c>
      <c r="L232" s="13" t="s">
        <v>125</v>
      </c>
    </row>
    <row r="233" spans="1:12" x14ac:dyDescent="0.25">
      <c r="A233" s="15" t="s">
        <v>27</v>
      </c>
      <c r="B233" s="16">
        <v>42508</v>
      </c>
      <c r="C233" s="17">
        <v>140.49</v>
      </c>
      <c r="D233" s="17">
        <v>141.44999999999999</v>
      </c>
      <c r="E233" s="17">
        <v>139.53</v>
      </c>
      <c r="F233" s="17">
        <v>141.44999999999999</v>
      </c>
      <c r="G233" s="43">
        <f t="shared" si="15"/>
        <v>143.38</v>
      </c>
      <c r="H233" s="43">
        <f t="shared" si="16"/>
        <v>137.6</v>
      </c>
      <c r="I233" s="44">
        <f t="shared" si="17"/>
        <v>66.608996539792273</v>
      </c>
      <c r="J233" s="44">
        <f t="shared" si="18"/>
        <v>43.74381762612434</v>
      </c>
      <c r="K233" s="44">
        <f t="shared" si="19"/>
        <v>27.157923980509761</v>
      </c>
      <c r="L233" s="13" t="s">
        <v>125</v>
      </c>
    </row>
    <row r="234" spans="1:12" x14ac:dyDescent="0.25">
      <c r="A234" s="15" t="s">
        <v>27</v>
      </c>
      <c r="B234" s="16">
        <v>42507</v>
      </c>
      <c r="C234" s="17">
        <v>140.01</v>
      </c>
      <c r="D234" s="17">
        <v>141.44999999999999</v>
      </c>
      <c r="E234" s="17">
        <v>139.53</v>
      </c>
      <c r="F234" s="17">
        <v>141.44999999999999</v>
      </c>
      <c r="G234" s="43">
        <f t="shared" si="15"/>
        <v>143.38</v>
      </c>
      <c r="H234" s="43">
        <f t="shared" si="16"/>
        <v>137.6</v>
      </c>
      <c r="I234" s="44">
        <f t="shared" si="17"/>
        <v>66.608996539792273</v>
      </c>
      <c r="J234" s="44">
        <f t="shared" si="18"/>
        <v>32.311228169290374</v>
      </c>
      <c r="K234" s="44">
        <f t="shared" si="19"/>
        <v>18.864977157702473</v>
      </c>
      <c r="L234" s="13" t="s">
        <v>125</v>
      </c>
    </row>
    <row r="235" spans="1:12" x14ac:dyDescent="0.25">
      <c r="A235" s="15" t="s">
        <v>27</v>
      </c>
      <c r="B235" s="16">
        <v>42506</v>
      </c>
      <c r="C235" s="17">
        <v>137.6</v>
      </c>
      <c r="D235" s="17">
        <v>140.01</v>
      </c>
      <c r="E235" s="17">
        <v>137.6</v>
      </c>
      <c r="F235" s="17">
        <v>139.05000000000001</v>
      </c>
      <c r="G235" s="43">
        <f t="shared" si="15"/>
        <v>143.38</v>
      </c>
      <c r="H235" s="43">
        <f t="shared" si="16"/>
        <v>137.6</v>
      </c>
      <c r="I235" s="44">
        <f t="shared" si="17"/>
        <v>25.086505190311708</v>
      </c>
      <c r="J235" s="44">
        <f t="shared" si="18"/>
        <v>15.162343984039428</v>
      </c>
      <c r="K235" s="44">
        <f t="shared" si="19"/>
        <v>12.141851651908524</v>
      </c>
      <c r="L235" s="13" t="s">
        <v>125</v>
      </c>
    </row>
    <row r="236" spans="1:12" x14ac:dyDescent="0.25">
      <c r="A236" s="15" t="s">
        <v>27</v>
      </c>
      <c r="B236" s="16">
        <v>42503</v>
      </c>
      <c r="C236" s="17">
        <v>139.53</v>
      </c>
      <c r="D236" s="17">
        <v>140.01</v>
      </c>
      <c r="E236" s="17">
        <v>137.6</v>
      </c>
      <c r="F236" s="17">
        <v>138.57</v>
      </c>
      <c r="G236" s="43">
        <f t="shared" si="15"/>
        <v>143.38</v>
      </c>
      <c r="H236" s="43">
        <f t="shared" si="16"/>
        <v>137.6</v>
      </c>
      <c r="I236" s="44">
        <f t="shared" si="17"/>
        <v>16.782006920415203</v>
      </c>
      <c r="J236" s="44">
        <f t="shared" si="18"/>
        <v>10.200263380903287</v>
      </c>
      <c r="K236" s="44">
        <f t="shared" si="19"/>
        <v>10.631605485843075</v>
      </c>
      <c r="L236" s="13" t="s">
        <v>126</v>
      </c>
    </row>
    <row r="237" spans="1:12" x14ac:dyDescent="0.25">
      <c r="A237" s="15" t="s">
        <v>27</v>
      </c>
      <c r="B237" s="16">
        <v>42502</v>
      </c>
      <c r="C237" s="17">
        <v>141.44999999999999</v>
      </c>
      <c r="D237" s="17">
        <v>142.41999999999999</v>
      </c>
      <c r="E237" s="17">
        <v>140.49</v>
      </c>
      <c r="F237" s="17">
        <v>140.49</v>
      </c>
      <c r="G237" s="43">
        <f t="shared" si="15"/>
        <v>145.30000000000001</v>
      </c>
      <c r="H237" s="43">
        <f t="shared" si="16"/>
        <v>140.49</v>
      </c>
      <c r="I237" s="44">
        <f t="shared" si="17"/>
        <v>0</v>
      </c>
      <c r="J237" s="44">
        <f t="shared" si="18"/>
        <v>6.9093916111473321</v>
      </c>
      <c r="K237" s="44">
        <f t="shared" si="19"/>
        <v>10.847276538312968</v>
      </c>
      <c r="L237" s="13" t="s">
        <v>126</v>
      </c>
    </row>
    <row r="238" spans="1:12" x14ac:dyDescent="0.25">
      <c r="A238" s="15" t="s">
        <v>27</v>
      </c>
      <c r="B238" s="16">
        <v>42501</v>
      </c>
      <c r="C238" s="17">
        <v>142.9</v>
      </c>
      <c r="D238" s="17">
        <v>143.38</v>
      </c>
      <c r="E238" s="17">
        <v>140.97</v>
      </c>
      <c r="F238" s="17">
        <v>141.44999999999999</v>
      </c>
      <c r="G238" s="43">
        <f t="shared" si="15"/>
        <v>152.04</v>
      </c>
      <c r="H238" s="43">
        <f t="shared" si="16"/>
        <v>140.49</v>
      </c>
      <c r="I238" s="44">
        <f t="shared" si="17"/>
        <v>8.3116883116881457</v>
      </c>
      <c r="J238" s="44">
        <f t="shared" si="18"/>
        <v>10.364087416720999</v>
      </c>
      <c r="K238" s="44">
        <f t="shared" si="19"/>
        <v>12.816219001895789</v>
      </c>
      <c r="L238" s="13" t="s">
        <v>126</v>
      </c>
    </row>
    <row r="239" spans="1:12" x14ac:dyDescent="0.25">
      <c r="A239" s="15" t="s">
        <v>27</v>
      </c>
      <c r="B239" s="16">
        <v>42500</v>
      </c>
      <c r="C239" s="17">
        <v>141.44999999999999</v>
      </c>
      <c r="D239" s="17">
        <v>142.41999999999999</v>
      </c>
      <c r="E239" s="17">
        <v>140.97</v>
      </c>
      <c r="F239" s="17">
        <v>141.44999999999999</v>
      </c>
      <c r="G239" s="43">
        <f t="shared" si="15"/>
        <v>152.04</v>
      </c>
      <c r="H239" s="43">
        <f t="shared" si="16"/>
        <v>140.49</v>
      </c>
      <c r="I239" s="44">
        <f t="shared" si="17"/>
        <v>8.3116883116881457</v>
      </c>
      <c r="J239" s="44">
        <f t="shared" si="18"/>
        <v>11.390286969237426</v>
      </c>
      <c r="K239" s="44">
        <f t="shared" si="19"/>
        <v>14.042284794483185</v>
      </c>
      <c r="L239" s="13" t="s">
        <v>126</v>
      </c>
    </row>
    <row r="240" spans="1:12" x14ac:dyDescent="0.25">
      <c r="A240" s="15" t="s">
        <v>27</v>
      </c>
      <c r="B240" s="16">
        <v>42499</v>
      </c>
      <c r="C240" s="17">
        <v>142.9</v>
      </c>
      <c r="D240" s="17">
        <v>143.38</v>
      </c>
      <c r="E240" s="17">
        <v>140.97</v>
      </c>
      <c r="F240" s="17">
        <v>141.93</v>
      </c>
      <c r="G240" s="43">
        <f t="shared" si="15"/>
        <v>152.52000000000001</v>
      </c>
      <c r="H240" s="43">
        <f t="shared" si="16"/>
        <v>140.49</v>
      </c>
      <c r="I240" s="44">
        <f t="shared" si="17"/>
        <v>11.970074812967562</v>
      </c>
      <c r="J240" s="44">
        <f t="shared" si="18"/>
        <v>12.929586298012069</v>
      </c>
      <c r="K240" s="44">
        <f t="shared" si="19"/>
        <v>15.368283707106066</v>
      </c>
      <c r="L240" s="13" t="s">
        <v>126</v>
      </c>
    </row>
    <row r="241" spans="1:12" x14ac:dyDescent="0.25">
      <c r="A241" s="15" t="s">
        <v>27</v>
      </c>
      <c r="B241" s="16">
        <v>42496</v>
      </c>
      <c r="C241" s="17">
        <v>142.9</v>
      </c>
      <c r="D241" s="17">
        <v>142.9</v>
      </c>
      <c r="E241" s="17">
        <v>141.44999999999999</v>
      </c>
      <c r="F241" s="17">
        <v>142.41999999999999</v>
      </c>
      <c r="G241" s="43">
        <f t="shared" si="15"/>
        <v>152.52000000000001</v>
      </c>
      <c r="H241" s="43">
        <f t="shared" si="16"/>
        <v>140.49</v>
      </c>
      <c r="I241" s="44">
        <f t="shared" si="17"/>
        <v>16.043225270157755</v>
      </c>
      <c r="J241" s="44">
        <f t="shared" si="18"/>
        <v>13.409342040534323</v>
      </c>
      <c r="K241" s="44">
        <f t="shared" si="19"/>
        <v>16.587632411653068</v>
      </c>
      <c r="L241" s="13" t="s">
        <v>126</v>
      </c>
    </row>
    <row r="242" spans="1:12" x14ac:dyDescent="0.25">
      <c r="A242" s="15" t="s">
        <v>27</v>
      </c>
      <c r="B242" s="16">
        <v>42495</v>
      </c>
      <c r="C242" s="17">
        <v>141.93</v>
      </c>
      <c r="D242" s="17">
        <v>142.9</v>
      </c>
      <c r="E242" s="17">
        <v>140.49</v>
      </c>
      <c r="F242" s="17">
        <v>141.93</v>
      </c>
      <c r="G242" s="43">
        <f t="shared" si="15"/>
        <v>152.52000000000001</v>
      </c>
      <c r="H242" s="43">
        <f t="shared" si="16"/>
        <v>140.49</v>
      </c>
      <c r="I242" s="44">
        <f t="shared" si="17"/>
        <v>11.970074812967562</v>
      </c>
      <c r="J242" s="44">
        <f t="shared" si="18"/>
        <v>12.092400425722607</v>
      </c>
      <c r="K242" s="44">
        <f t="shared" si="19"/>
        <v>18.176777597212443</v>
      </c>
      <c r="L242" s="13" t="s">
        <v>126</v>
      </c>
    </row>
    <row r="243" spans="1:12" x14ac:dyDescent="0.25">
      <c r="A243" s="15" t="s">
        <v>27</v>
      </c>
      <c r="B243" s="16">
        <v>42494</v>
      </c>
      <c r="C243" s="17">
        <v>141.44999999999999</v>
      </c>
      <c r="D243" s="17">
        <v>143.38</v>
      </c>
      <c r="E243" s="17">
        <v>140.97</v>
      </c>
      <c r="F243" s="17">
        <v>141.44999999999999</v>
      </c>
      <c r="G243" s="43">
        <f t="shared" si="15"/>
        <v>152.52000000000001</v>
      </c>
      <c r="H243" s="43">
        <f t="shared" si="16"/>
        <v>140.97</v>
      </c>
      <c r="I243" s="44">
        <f t="shared" si="17"/>
        <v>4.1558441558440631</v>
      </c>
      <c r="J243" s="44">
        <f t="shared" si="18"/>
        <v>12.153563232100131</v>
      </c>
      <c r="K243" s="44">
        <f t="shared" si="19"/>
        <v>21.218966182957359</v>
      </c>
      <c r="L243" s="13" t="s">
        <v>126</v>
      </c>
    </row>
    <row r="244" spans="1:12" x14ac:dyDescent="0.25">
      <c r="A244" s="15" t="s">
        <v>27</v>
      </c>
      <c r="B244" s="16">
        <v>42493</v>
      </c>
      <c r="C244" s="17">
        <v>142.41999999999999</v>
      </c>
      <c r="D244" s="17">
        <v>142.9</v>
      </c>
      <c r="E244" s="17">
        <v>140.97</v>
      </c>
      <c r="F244" s="17">
        <v>141.93</v>
      </c>
      <c r="G244" s="43">
        <f t="shared" si="15"/>
        <v>152.52000000000001</v>
      </c>
      <c r="H244" s="43">
        <f t="shared" si="16"/>
        <v>140.97</v>
      </c>
      <c r="I244" s="44">
        <f t="shared" si="17"/>
        <v>8.3116883116883731</v>
      </c>
      <c r="J244" s="44">
        <f t="shared" si="18"/>
        <v>16.152422770228167</v>
      </c>
      <c r="K244" s="44">
        <f t="shared" si="19"/>
        <v>25.751667658385976</v>
      </c>
      <c r="L244" s="13" t="s">
        <v>126</v>
      </c>
    </row>
    <row r="245" spans="1:12" x14ac:dyDescent="0.25">
      <c r="A245" s="15" t="s">
        <v>27</v>
      </c>
      <c r="B245" s="16">
        <v>42489</v>
      </c>
      <c r="C245" s="17">
        <v>145.30000000000001</v>
      </c>
      <c r="D245" s="17">
        <v>145.30000000000001</v>
      </c>
      <c r="E245" s="17">
        <v>143.38</v>
      </c>
      <c r="F245" s="17">
        <v>144.34</v>
      </c>
      <c r="G245" s="43">
        <f t="shared" si="15"/>
        <v>154.91999999999999</v>
      </c>
      <c r="H245" s="43">
        <f t="shared" si="16"/>
        <v>143.38</v>
      </c>
      <c r="I245" s="44">
        <f t="shared" si="17"/>
        <v>8.3188908145581326</v>
      </c>
      <c r="J245" s="44">
        <f t="shared" si="18"/>
        <v>20.072789999498063</v>
      </c>
      <c r="K245" s="44">
        <f t="shared" si="19"/>
        <v>30.551290102464886</v>
      </c>
      <c r="L245" s="13" t="s">
        <v>126</v>
      </c>
    </row>
    <row r="246" spans="1:12" x14ac:dyDescent="0.25">
      <c r="A246" s="15" t="s">
        <v>27</v>
      </c>
      <c r="B246" s="16">
        <v>42488</v>
      </c>
      <c r="C246" s="17">
        <v>151.56</v>
      </c>
      <c r="D246" s="17">
        <v>152.04</v>
      </c>
      <c r="E246" s="17">
        <v>147.22999999999999</v>
      </c>
      <c r="F246" s="17">
        <v>147.22999999999999</v>
      </c>
      <c r="G246" s="43">
        <f t="shared" si="15"/>
        <v>154.91999999999999</v>
      </c>
      <c r="H246" s="43">
        <f t="shared" si="16"/>
        <v>147.22999999999999</v>
      </c>
      <c r="I246" s="44">
        <f t="shared" si="17"/>
        <v>0</v>
      </c>
      <c r="J246" s="44">
        <f t="shared" si="18"/>
        <v>25.949739591968026</v>
      </c>
      <c r="K246" s="44">
        <f t="shared" si="19"/>
        <v>35.790540153948299</v>
      </c>
      <c r="L246" s="13" t="s">
        <v>126</v>
      </c>
    </row>
    <row r="247" spans="1:12" x14ac:dyDescent="0.25">
      <c r="A247" s="15" t="s">
        <v>27</v>
      </c>
      <c r="B247" s="16">
        <v>42487</v>
      </c>
      <c r="C247" s="17">
        <v>150.11000000000001</v>
      </c>
      <c r="D247" s="17">
        <v>151.56</v>
      </c>
      <c r="E247" s="17">
        <v>149.63</v>
      </c>
      <c r="F247" s="17">
        <v>150.59</v>
      </c>
      <c r="G247" s="43">
        <f t="shared" si="15"/>
        <v>154.91999999999999</v>
      </c>
      <c r="H247" s="43">
        <f t="shared" si="16"/>
        <v>148.19</v>
      </c>
      <c r="I247" s="44">
        <f t="shared" si="17"/>
        <v>35.661218424962996</v>
      </c>
      <c r="J247" s="44">
        <f t="shared" si="18"/>
        <v>38.924609387952039</v>
      </c>
      <c r="K247" s="44">
        <f t="shared" si="19"/>
        <v>40.710940434938436</v>
      </c>
      <c r="L247" s="13" t="s">
        <v>126</v>
      </c>
    </row>
    <row r="248" spans="1:12" x14ac:dyDescent="0.25">
      <c r="A248" s="15" t="s">
        <v>27</v>
      </c>
      <c r="B248" s="16">
        <v>42486</v>
      </c>
      <c r="C248" s="17">
        <v>150.59</v>
      </c>
      <c r="D248" s="17">
        <v>152.52000000000001</v>
      </c>
      <c r="E248" s="17">
        <v>150.59</v>
      </c>
      <c r="F248" s="17">
        <v>152.04</v>
      </c>
      <c r="G248" s="43">
        <f t="shared" si="15"/>
        <v>156.37</v>
      </c>
      <c r="H248" s="43">
        <f t="shared" si="16"/>
        <v>148.19</v>
      </c>
      <c r="I248" s="44">
        <f t="shared" si="17"/>
        <v>47.066014669926545</v>
      </c>
      <c r="J248" s="44">
        <f t="shared" si="18"/>
        <v>40.556304869446564</v>
      </c>
      <c r="K248" s="44">
        <f t="shared" si="19"/>
        <v>41.604105958431632</v>
      </c>
      <c r="L248" s="13" t="s">
        <v>126</v>
      </c>
    </row>
    <row r="249" spans="1:12" x14ac:dyDescent="0.25">
      <c r="A249" s="15" t="s">
        <v>27</v>
      </c>
      <c r="B249" s="16">
        <v>42485</v>
      </c>
      <c r="C249" s="17">
        <v>150.59</v>
      </c>
      <c r="D249" s="17">
        <v>151.56</v>
      </c>
      <c r="E249" s="17">
        <v>150.11000000000001</v>
      </c>
      <c r="F249" s="17">
        <v>151.56</v>
      </c>
      <c r="G249" s="43">
        <f t="shared" si="15"/>
        <v>156.37</v>
      </c>
      <c r="H249" s="43">
        <f t="shared" si="16"/>
        <v>148.19</v>
      </c>
      <c r="I249" s="44">
        <f t="shared" si="17"/>
        <v>41.19804400977997</v>
      </c>
      <c r="J249" s="44">
        <f t="shared" si="18"/>
        <v>37.301449969206573</v>
      </c>
      <c r="K249" s="44">
        <f t="shared" si="19"/>
        <v>42.128006502924165</v>
      </c>
      <c r="L249" s="13" t="s">
        <v>126</v>
      </c>
    </row>
    <row r="250" spans="1:12" x14ac:dyDescent="0.25">
      <c r="A250" s="15" t="s">
        <v>27</v>
      </c>
      <c r="B250" s="16">
        <v>42482</v>
      </c>
      <c r="C250" s="17">
        <v>149.63</v>
      </c>
      <c r="D250" s="17">
        <v>152.04</v>
      </c>
      <c r="E250" s="17">
        <v>149.15</v>
      </c>
      <c r="F250" s="17">
        <v>150.59</v>
      </c>
      <c r="G250" s="43">
        <f t="shared" si="15"/>
        <v>156.37</v>
      </c>
      <c r="H250" s="43">
        <f t="shared" si="16"/>
        <v>148.19</v>
      </c>
      <c r="I250" s="44">
        <f t="shared" si="17"/>
        <v>29.339853300733544</v>
      </c>
      <c r="J250" s="44">
        <f t="shared" si="18"/>
        <v>35.35315294891987</v>
      </c>
      <c r="K250" s="44">
        <f t="shared" si="19"/>
        <v>44.541284769782962</v>
      </c>
      <c r="L250" s="13" t="s">
        <v>126</v>
      </c>
    </row>
    <row r="251" spans="1:12" x14ac:dyDescent="0.25">
      <c r="A251" s="15" t="s">
        <v>27</v>
      </c>
      <c r="B251" s="16">
        <v>42481</v>
      </c>
      <c r="C251" s="17">
        <v>150.11000000000001</v>
      </c>
      <c r="D251" s="17">
        <v>151.08000000000001</v>
      </c>
      <c r="E251" s="17">
        <v>148.19</v>
      </c>
      <c r="F251" s="17">
        <v>151.08000000000001</v>
      </c>
      <c r="G251" s="43">
        <f t="shared" si="15"/>
        <v>156.37</v>
      </c>
      <c r="H251" s="43">
        <f t="shared" si="16"/>
        <v>148.19</v>
      </c>
      <c r="I251" s="44">
        <f t="shared" si="17"/>
        <v>35.330073349633402</v>
      </c>
      <c r="J251" s="44">
        <f t="shared" si="18"/>
        <v>38.359802773013044</v>
      </c>
      <c r="K251" s="44">
        <f t="shared" si="19"/>
        <v>49.135350680214515</v>
      </c>
      <c r="L251" s="13" t="s">
        <v>126</v>
      </c>
    </row>
    <row r="252" spans="1:12" x14ac:dyDescent="0.25">
      <c r="A252" s="15" t="s">
        <v>27</v>
      </c>
      <c r="B252" s="16">
        <v>42480</v>
      </c>
      <c r="C252" s="17">
        <v>151.56</v>
      </c>
      <c r="D252" s="17">
        <v>152.04</v>
      </c>
      <c r="E252" s="17">
        <v>148.19</v>
      </c>
      <c r="F252" s="17">
        <v>148.19</v>
      </c>
      <c r="G252" s="43">
        <f t="shared" si="15"/>
        <v>156.37</v>
      </c>
      <c r="H252" s="43">
        <f t="shared" si="16"/>
        <v>148.19</v>
      </c>
      <c r="I252" s="44">
        <f t="shared" si="17"/>
        <v>0</v>
      </c>
      <c r="J252" s="44">
        <f t="shared" si="18"/>
        <v>39.874667484702876</v>
      </c>
      <c r="K252" s="44">
        <f t="shared" si="19"/>
        <v>54.523124633815257</v>
      </c>
      <c r="L252" s="13" t="s">
        <v>126</v>
      </c>
    </row>
    <row r="253" spans="1:12" x14ac:dyDescent="0.25">
      <c r="A253" s="15" t="s">
        <v>27</v>
      </c>
      <c r="B253" s="16">
        <v>42479</v>
      </c>
      <c r="C253" s="17">
        <v>153.96</v>
      </c>
      <c r="D253" s="17">
        <v>154.91999999999999</v>
      </c>
      <c r="E253" s="17">
        <v>151.08000000000001</v>
      </c>
      <c r="F253" s="17">
        <v>151.56</v>
      </c>
      <c r="G253" s="43">
        <f t="shared" si="15"/>
        <v>156.37</v>
      </c>
      <c r="H253" s="43">
        <f t="shared" si="16"/>
        <v>146.75</v>
      </c>
      <c r="I253" s="44">
        <f t="shared" si="17"/>
        <v>50</v>
      </c>
      <c r="J253" s="44">
        <f t="shared" si="18"/>
        <v>59.812001227054317</v>
      </c>
      <c r="K253" s="44">
        <f t="shared" si="19"/>
        <v>61.847353208371445</v>
      </c>
      <c r="L253" s="13" t="s">
        <v>126</v>
      </c>
    </row>
    <row r="254" spans="1:12" x14ac:dyDescent="0.25">
      <c r="A254" s="15" t="s">
        <v>27</v>
      </c>
      <c r="B254" s="16">
        <v>42478</v>
      </c>
      <c r="C254" s="17">
        <v>152.04</v>
      </c>
      <c r="D254" s="17">
        <v>152.52000000000001</v>
      </c>
      <c r="E254" s="17">
        <v>151.56</v>
      </c>
      <c r="F254" s="17">
        <v>152.04</v>
      </c>
      <c r="G254" s="43">
        <f t="shared" si="15"/>
        <v>156.37</v>
      </c>
      <c r="H254" s="43">
        <f t="shared" si="16"/>
        <v>146.75</v>
      </c>
      <c r="I254" s="44">
        <f t="shared" si="17"/>
        <v>54.989604989604878</v>
      </c>
      <c r="J254" s="44">
        <f t="shared" si="18"/>
        <v>64.718001840581479</v>
      </c>
      <c r="K254" s="44">
        <f t="shared" si="19"/>
        <v>62.865029199030005</v>
      </c>
      <c r="L254" s="13" t="s">
        <v>125</v>
      </c>
    </row>
    <row r="255" spans="1:12" x14ac:dyDescent="0.25">
      <c r="A255" s="15" t="s">
        <v>27</v>
      </c>
      <c r="B255" s="16">
        <v>42475</v>
      </c>
      <c r="C255" s="17">
        <v>151.08000000000001</v>
      </c>
      <c r="D255" s="17">
        <v>153.96</v>
      </c>
      <c r="E255" s="17">
        <v>150.11000000000001</v>
      </c>
      <c r="F255" s="17">
        <v>153.47999999999999</v>
      </c>
      <c r="G255" s="43">
        <f t="shared" si="15"/>
        <v>156.37</v>
      </c>
      <c r="H255" s="43">
        <f t="shared" si="16"/>
        <v>146.75</v>
      </c>
      <c r="I255" s="44">
        <f t="shared" si="17"/>
        <v>69.95841995841981</v>
      </c>
      <c r="J255" s="44">
        <f t="shared" si="18"/>
        <v>69.582200266069776</v>
      </c>
      <c r="K255" s="44">
        <f t="shared" si="19"/>
        <v>61.938542878254268</v>
      </c>
      <c r="L255" s="13" t="s">
        <v>125</v>
      </c>
    </row>
    <row r="256" spans="1:12" x14ac:dyDescent="0.25">
      <c r="A256" s="15" t="s">
        <v>27</v>
      </c>
      <c r="B256" s="16">
        <v>42474</v>
      </c>
      <c r="C256" s="17">
        <v>155.88999999999999</v>
      </c>
      <c r="D256" s="17">
        <v>156.37</v>
      </c>
      <c r="E256" s="17">
        <v>153.96</v>
      </c>
      <c r="F256" s="17">
        <v>155.41</v>
      </c>
      <c r="G256" s="43">
        <f t="shared" si="15"/>
        <v>156.85</v>
      </c>
      <c r="H256" s="43">
        <f t="shared" si="16"/>
        <v>146.75</v>
      </c>
      <c r="I256" s="44">
        <f t="shared" si="17"/>
        <v>85.742574257425758</v>
      </c>
      <c r="J256" s="44">
        <f t="shared" si="18"/>
        <v>69.394090419894781</v>
      </c>
      <c r="K256" s="44">
        <f t="shared" si="19"/>
        <v>58.116714184346513</v>
      </c>
      <c r="L256" s="13" t="s">
        <v>125</v>
      </c>
    </row>
    <row r="257" spans="1:12" x14ac:dyDescent="0.25">
      <c r="A257" s="15" t="s">
        <v>27</v>
      </c>
      <c r="B257" s="16">
        <v>42473</v>
      </c>
      <c r="C257" s="17">
        <v>153.96</v>
      </c>
      <c r="D257" s="17">
        <v>155.88999999999999</v>
      </c>
      <c r="E257" s="17">
        <v>153.47999999999999</v>
      </c>
      <c r="F257" s="17">
        <v>155.41</v>
      </c>
      <c r="G257" s="43">
        <f t="shared" si="15"/>
        <v>156.85</v>
      </c>
      <c r="H257" s="43">
        <f t="shared" si="16"/>
        <v>146.75</v>
      </c>
      <c r="I257" s="44">
        <f t="shared" si="17"/>
        <v>85.742574257425758</v>
      </c>
      <c r="J257" s="44">
        <f t="shared" si="18"/>
        <v>61.219848501129306</v>
      </c>
      <c r="K257" s="44">
        <f t="shared" si="19"/>
        <v>52.478026066572383</v>
      </c>
      <c r="L257" s="13" t="s">
        <v>125</v>
      </c>
    </row>
    <row r="258" spans="1:12" x14ac:dyDescent="0.25">
      <c r="A258" s="15" t="s">
        <v>27</v>
      </c>
      <c r="B258" s="16">
        <v>42472</v>
      </c>
      <c r="C258" s="17">
        <v>151.56</v>
      </c>
      <c r="D258" s="17">
        <v>153.47999999999999</v>
      </c>
      <c r="E258" s="17">
        <v>151.56</v>
      </c>
      <c r="F258" s="17">
        <v>152.52000000000001</v>
      </c>
      <c r="G258" s="43">
        <f t="shared" ref="G258:G312" si="20">MAX(D258:D266)</f>
        <v>156.85</v>
      </c>
      <c r="H258" s="43">
        <f t="shared" ref="H258:H312" si="21">MIN(E258:E266)</f>
        <v>146.75</v>
      </c>
      <c r="I258" s="44">
        <f t="shared" si="17"/>
        <v>57.128712871287256</v>
      </c>
      <c r="J258" s="44">
        <f t="shared" si="18"/>
        <v>48.95848562298108</v>
      </c>
      <c r="K258" s="44">
        <f t="shared" si="19"/>
        <v>48.107114849293922</v>
      </c>
      <c r="L258" s="13" t="s">
        <v>125</v>
      </c>
    </row>
    <row r="259" spans="1:12" x14ac:dyDescent="0.25">
      <c r="A259" s="15" t="s">
        <v>27</v>
      </c>
      <c r="B259" s="16">
        <v>42471</v>
      </c>
      <c r="C259" s="17">
        <v>150.11000000000001</v>
      </c>
      <c r="D259" s="17">
        <v>153</v>
      </c>
      <c r="E259" s="17">
        <v>149.63</v>
      </c>
      <c r="F259" s="17">
        <v>152.52000000000001</v>
      </c>
      <c r="G259" s="43">
        <f t="shared" si="20"/>
        <v>156.85</v>
      </c>
      <c r="H259" s="43">
        <f t="shared" si="21"/>
        <v>146.75</v>
      </c>
      <c r="I259" s="44">
        <f t="shared" ref="I259:I312" si="22">RSV(F259,G259,H259)</f>
        <v>57.128712871287256</v>
      </c>
      <c r="J259" s="44">
        <f t="shared" ref="J259:J311" si="23">K(I259,J260)</f>
        <v>44.873371998827992</v>
      </c>
      <c r="K259" s="44">
        <f t="shared" ref="K259:K311" si="24">D(J259,K260)</f>
        <v>47.681429462450339</v>
      </c>
      <c r="L259" s="13" t="s">
        <v>126</v>
      </c>
    </row>
    <row r="260" spans="1:12" x14ac:dyDescent="0.25">
      <c r="A260" s="15" t="s">
        <v>27</v>
      </c>
      <c r="B260" s="16">
        <v>42468</v>
      </c>
      <c r="C260" s="17">
        <v>148.19</v>
      </c>
      <c r="D260" s="17">
        <v>152.04</v>
      </c>
      <c r="E260" s="17">
        <v>148.19</v>
      </c>
      <c r="F260" s="17">
        <v>151.56</v>
      </c>
      <c r="G260" s="43">
        <f t="shared" si="20"/>
        <v>156.85</v>
      </c>
      <c r="H260" s="43">
        <f t="shared" si="21"/>
        <v>146.75</v>
      </c>
      <c r="I260" s="44">
        <f t="shared" si="22"/>
        <v>47.623762376237671</v>
      </c>
      <c r="J260" s="44">
        <f t="shared" si="23"/>
        <v>38.745701562598356</v>
      </c>
      <c r="K260" s="44">
        <f t="shared" si="24"/>
        <v>49.085458194261513</v>
      </c>
      <c r="L260" s="13" t="s">
        <v>126</v>
      </c>
    </row>
    <row r="261" spans="1:12" x14ac:dyDescent="0.25">
      <c r="A261" s="15" t="s">
        <v>27</v>
      </c>
      <c r="B261" s="16">
        <v>42467</v>
      </c>
      <c r="C261" s="17">
        <v>149.15</v>
      </c>
      <c r="D261" s="17">
        <v>149.15</v>
      </c>
      <c r="E261" s="17">
        <v>146.75</v>
      </c>
      <c r="F261" s="17">
        <v>148.66999999999999</v>
      </c>
      <c r="G261" s="43">
        <f t="shared" si="20"/>
        <v>156.85</v>
      </c>
      <c r="H261" s="43">
        <f t="shared" si="21"/>
        <v>146.75</v>
      </c>
      <c r="I261" s="44">
        <f t="shared" si="22"/>
        <v>19.009900990098895</v>
      </c>
      <c r="J261" s="44">
        <f t="shared" si="23"/>
        <v>34.306671155778702</v>
      </c>
      <c r="K261" s="44">
        <f t="shared" si="24"/>
        <v>54.255336510093095</v>
      </c>
      <c r="L261" s="13" t="s">
        <v>126</v>
      </c>
    </row>
    <row r="262" spans="1:12" x14ac:dyDescent="0.25">
      <c r="A262" s="15" t="s">
        <v>27</v>
      </c>
      <c r="B262" s="16">
        <v>42466</v>
      </c>
      <c r="C262" s="17">
        <v>149.63</v>
      </c>
      <c r="D262" s="17">
        <v>150.11000000000001</v>
      </c>
      <c r="E262" s="17">
        <v>147.71</v>
      </c>
      <c r="F262" s="17">
        <v>147.71</v>
      </c>
      <c r="G262" s="43">
        <f t="shared" si="20"/>
        <v>156.85</v>
      </c>
      <c r="H262" s="43">
        <f t="shared" si="21"/>
        <v>147.71</v>
      </c>
      <c r="I262" s="44">
        <f t="shared" si="22"/>
        <v>0</v>
      </c>
      <c r="J262" s="44">
        <f t="shared" si="23"/>
        <v>41.955056238618603</v>
      </c>
      <c r="K262" s="44">
        <f t="shared" si="24"/>
        <v>64.229669187250295</v>
      </c>
      <c r="L262" s="13" t="s">
        <v>126</v>
      </c>
    </row>
    <row r="263" spans="1:12" x14ac:dyDescent="0.25">
      <c r="A263" s="15" t="s">
        <v>27</v>
      </c>
      <c r="B263" s="16">
        <v>42461</v>
      </c>
      <c r="C263" s="17">
        <v>154.91999999999999</v>
      </c>
      <c r="D263" s="17">
        <v>154.91999999999999</v>
      </c>
      <c r="E263" s="17">
        <v>151.56</v>
      </c>
      <c r="F263" s="17">
        <v>152.52000000000001</v>
      </c>
      <c r="G263" s="43">
        <f t="shared" si="20"/>
        <v>156.85</v>
      </c>
      <c r="H263" s="43">
        <f t="shared" si="21"/>
        <v>151.08000000000001</v>
      </c>
      <c r="I263" s="44">
        <f t="shared" si="22"/>
        <v>24.956672443674215</v>
      </c>
      <c r="J263" s="44">
        <f t="shared" si="23"/>
        <v>62.932584357927908</v>
      </c>
      <c r="K263" s="44">
        <f t="shared" si="24"/>
        <v>75.366975661566144</v>
      </c>
      <c r="L263" s="13" t="s">
        <v>126</v>
      </c>
    </row>
    <row r="264" spans="1:12" x14ac:dyDescent="0.25">
      <c r="A264" s="15" t="s">
        <v>27</v>
      </c>
      <c r="B264" s="16">
        <v>42460</v>
      </c>
      <c r="C264" s="17">
        <v>155.88999999999999</v>
      </c>
      <c r="D264" s="17">
        <v>156.85</v>
      </c>
      <c r="E264" s="17">
        <v>153</v>
      </c>
      <c r="F264" s="17">
        <v>155.88999999999999</v>
      </c>
      <c r="G264" s="43">
        <f t="shared" si="20"/>
        <v>156.85</v>
      </c>
      <c r="H264" s="43">
        <f t="shared" si="21"/>
        <v>151.08000000000001</v>
      </c>
      <c r="I264" s="44">
        <f t="shared" si="22"/>
        <v>83.362218370883696</v>
      </c>
      <c r="J264" s="44">
        <f t="shared" si="23"/>
        <v>81.920540315054751</v>
      </c>
      <c r="K264" s="44">
        <f t="shared" si="24"/>
        <v>81.584171313385269</v>
      </c>
      <c r="L264" s="13" t="s">
        <v>125</v>
      </c>
    </row>
    <row r="265" spans="1:12" x14ac:dyDescent="0.25">
      <c r="A265" s="15" t="s">
        <v>27</v>
      </c>
      <c r="B265" s="16">
        <v>42459</v>
      </c>
      <c r="C265" s="17">
        <v>152.52000000000001</v>
      </c>
      <c r="D265" s="17">
        <v>155.88999999999999</v>
      </c>
      <c r="E265" s="17">
        <v>152.52000000000001</v>
      </c>
      <c r="F265" s="17">
        <v>155.41</v>
      </c>
      <c r="G265" s="43">
        <f t="shared" si="20"/>
        <v>155.88999999999999</v>
      </c>
      <c r="H265" s="43">
        <f t="shared" si="21"/>
        <v>151.08000000000001</v>
      </c>
      <c r="I265" s="44">
        <f t="shared" si="22"/>
        <v>90.020790020790173</v>
      </c>
      <c r="J265" s="44">
        <f t="shared" si="23"/>
        <v>81.199701287140272</v>
      </c>
      <c r="K265" s="44">
        <f t="shared" si="24"/>
        <v>81.415986812550528</v>
      </c>
      <c r="L265" s="13" t="s">
        <v>126</v>
      </c>
    </row>
    <row r="266" spans="1:12" x14ac:dyDescent="0.25">
      <c r="A266" s="15" t="s">
        <v>27</v>
      </c>
      <c r="B266" s="16">
        <v>42458</v>
      </c>
      <c r="C266" s="17">
        <v>152.52000000000001</v>
      </c>
      <c r="D266" s="17">
        <v>153.47999999999999</v>
      </c>
      <c r="E266" s="17">
        <v>152.04</v>
      </c>
      <c r="F266" s="17">
        <v>153</v>
      </c>
      <c r="G266" s="43">
        <f t="shared" si="20"/>
        <v>153.96</v>
      </c>
      <c r="H266" s="43">
        <f t="shared" si="21"/>
        <v>151.08000000000001</v>
      </c>
      <c r="I266" s="44">
        <f t="shared" si="22"/>
        <v>66.666666666666345</v>
      </c>
      <c r="J266" s="44">
        <f t="shared" si="23"/>
        <v>76.789156920315321</v>
      </c>
      <c r="K266" s="44">
        <f t="shared" si="24"/>
        <v>81.524129575255671</v>
      </c>
      <c r="L266" s="13" t="s">
        <v>126</v>
      </c>
    </row>
    <row r="267" spans="1:12" x14ac:dyDescent="0.25">
      <c r="A267" s="15" t="s">
        <v>27</v>
      </c>
      <c r="B267" s="16">
        <v>42457</v>
      </c>
      <c r="C267" s="17">
        <v>152.04</v>
      </c>
      <c r="D267" s="17">
        <v>153</v>
      </c>
      <c r="E267" s="17">
        <v>151.08000000000001</v>
      </c>
      <c r="F267" s="17">
        <v>153</v>
      </c>
      <c r="G267" s="43">
        <f t="shared" si="20"/>
        <v>153.96</v>
      </c>
      <c r="H267" s="43">
        <f t="shared" si="21"/>
        <v>148.19</v>
      </c>
      <c r="I267" s="44">
        <f t="shared" si="22"/>
        <v>83.362218370883781</v>
      </c>
      <c r="J267" s="44">
        <f t="shared" si="23"/>
        <v>81.850402047139823</v>
      </c>
      <c r="K267" s="44">
        <f t="shared" si="24"/>
        <v>83.89161590272586</v>
      </c>
      <c r="L267" s="13" t="s">
        <v>126</v>
      </c>
    </row>
    <row r="268" spans="1:12" x14ac:dyDescent="0.25">
      <c r="A268" s="15" t="s">
        <v>27</v>
      </c>
      <c r="B268" s="16">
        <v>42454</v>
      </c>
      <c r="C268" s="17">
        <v>152.52000000000001</v>
      </c>
      <c r="D268" s="17">
        <v>153</v>
      </c>
      <c r="E268" s="17">
        <v>151.08000000000001</v>
      </c>
      <c r="F268" s="17">
        <v>152.04</v>
      </c>
      <c r="G268" s="43">
        <f t="shared" si="20"/>
        <v>153.96</v>
      </c>
      <c r="H268" s="43">
        <f t="shared" si="21"/>
        <v>147.22999999999999</v>
      </c>
      <c r="I268" s="44">
        <f t="shared" si="22"/>
        <v>71.471025260029563</v>
      </c>
      <c r="J268" s="44">
        <f t="shared" si="23"/>
        <v>81.094493885267866</v>
      </c>
      <c r="K268" s="44">
        <f t="shared" si="24"/>
        <v>84.912222830518886</v>
      </c>
      <c r="L268" s="13" t="s">
        <v>126</v>
      </c>
    </row>
    <row r="269" spans="1:12" x14ac:dyDescent="0.25">
      <c r="A269" s="15" t="s">
        <v>27</v>
      </c>
      <c r="B269" s="16">
        <v>42453</v>
      </c>
      <c r="C269" s="17">
        <v>152.04</v>
      </c>
      <c r="D269" s="17">
        <v>153</v>
      </c>
      <c r="E269" s="17">
        <v>151.08000000000001</v>
      </c>
      <c r="F269" s="17">
        <v>152.52000000000001</v>
      </c>
      <c r="G269" s="43">
        <f t="shared" si="20"/>
        <v>153.96</v>
      </c>
      <c r="H269" s="43">
        <f t="shared" si="21"/>
        <v>147.22999999999999</v>
      </c>
      <c r="I269" s="44">
        <f t="shared" si="22"/>
        <v>78.603268945022378</v>
      </c>
      <c r="J269" s="44">
        <f t="shared" si="23"/>
        <v>85.906228197887032</v>
      </c>
      <c r="K269" s="44">
        <f t="shared" si="24"/>
        <v>86.821087303144395</v>
      </c>
      <c r="L269" s="13" t="s">
        <v>126</v>
      </c>
    </row>
    <row r="270" spans="1:12" x14ac:dyDescent="0.25">
      <c r="A270" s="15" t="s">
        <v>27</v>
      </c>
      <c r="B270" s="16">
        <v>42452</v>
      </c>
      <c r="C270" s="17">
        <v>152.52000000000001</v>
      </c>
      <c r="D270" s="17">
        <v>153.47999999999999</v>
      </c>
      <c r="E270" s="17">
        <v>152.04</v>
      </c>
      <c r="F270" s="17">
        <v>153.47999999999999</v>
      </c>
      <c r="G270" s="43">
        <f t="shared" si="20"/>
        <v>153.96</v>
      </c>
      <c r="H270" s="43">
        <f t="shared" si="21"/>
        <v>147.22999999999999</v>
      </c>
      <c r="I270" s="44">
        <f t="shared" si="22"/>
        <v>92.867756315007171</v>
      </c>
      <c r="J270" s="44">
        <f t="shared" si="23"/>
        <v>89.557707824319351</v>
      </c>
      <c r="K270" s="44">
        <f t="shared" si="24"/>
        <v>87.278516855773091</v>
      </c>
      <c r="L270" s="13" t="s">
        <v>125</v>
      </c>
    </row>
    <row r="271" spans="1:12" x14ac:dyDescent="0.25">
      <c r="A271" s="15" t="s">
        <v>27</v>
      </c>
      <c r="B271" s="16">
        <v>42451</v>
      </c>
      <c r="C271" s="17">
        <v>153.47999999999999</v>
      </c>
      <c r="D271" s="17">
        <v>153.47999999999999</v>
      </c>
      <c r="E271" s="17">
        <v>151.08000000000001</v>
      </c>
      <c r="F271" s="17">
        <v>152.52000000000001</v>
      </c>
      <c r="G271" s="43">
        <f t="shared" si="20"/>
        <v>153.96</v>
      </c>
      <c r="H271" s="43">
        <f t="shared" si="21"/>
        <v>145.78</v>
      </c>
      <c r="I271" s="44">
        <f t="shared" si="22"/>
        <v>82.39608801955994</v>
      </c>
      <c r="J271" s="44">
        <f t="shared" si="23"/>
        <v>87.902683578975441</v>
      </c>
      <c r="K271" s="44">
        <f t="shared" si="24"/>
        <v>86.138921371499976</v>
      </c>
      <c r="L271" s="13" t="s">
        <v>125</v>
      </c>
    </row>
    <row r="272" spans="1:12" x14ac:dyDescent="0.25">
      <c r="A272" s="15" t="s">
        <v>27</v>
      </c>
      <c r="B272" s="16">
        <v>42450</v>
      </c>
      <c r="C272" s="17">
        <v>153.96</v>
      </c>
      <c r="D272" s="17">
        <v>153.96</v>
      </c>
      <c r="E272" s="17">
        <v>152.04</v>
      </c>
      <c r="F272" s="17">
        <v>153.96</v>
      </c>
      <c r="G272" s="43">
        <f t="shared" si="20"/>
        <v>153.96</v>
      </c>
      <c r="H272" s="43">
        <f t="shared" si="21"/>
        <v>144.82</v>
      </c>
      <c r="I272" s="44">
        <f t="shared" si="22"/>
        <v>100</v>
      </c>
      <c r="J272" s="44">
        <f t="shared" si="23"/>
        <v>90.655981358683192</v>
      </c>
      <c r="K272" s="44">
        <f t="shared" si="24"/>
        <v>85.257040267762235</v>
      </c>
      <c r="L272" s="13" t="s">
        <v>125</v>
      </c>
    </row>
    <row r="273" spans="1:12" x14ac:dyDescent="0.25">
      <c r="A273" s="15" t="s">
        <v>27</v>
      </c>
      <c r="B273" s="16">
        <v>42447</v>
      </c>
      <c r="C273" s="17">
        <v>152.52000000000001</v>
      </c>
      <c r="D273" s="17">
        <v>153.47999999999999</v>
      </c>
      <c r="E273" s="17">
        <v>152.52000000000001</v>
      </c>
      <c r="F273" s="17">
        <v>153.47999999999999</v>
      </c>
      <c r="G273" s="43">
        <f t="shared" si="20"/>
        <v>153.96</v>
      </c>
      <c r="H273" s="43">
        <f t="shared" si="21"/>
        <v>143.86000000000001</v>
      </c>
      <c r="I273" s="44">
        <f t="shared" si="22"/>
        <v>95.247524752475073</v>
      </c>
      <c r="J273" s="44">
        <f t="shared" si="23"/>
        <v>85.983972038024802</v>
      </c>
      <c r="K273" s="44">
        <f t="shared" si="24"/>
        <v>82.557569722301764</v>
      </c>
      <c r="L273" s="13" t="s">
        <v>125</v>
      </c>
    </row>
    <row r="274" spans="1:12" x14ac:dyDescent="0.25">
      <c r="A274" s="15" t="s">
        <v>27</v>
      </c>
      <c r="B274" s="16">
        <v>42446</v>
      </c>
      <c r="C274" s="17">
        <v>153.47999999999999</v>
      </c>
      <c r="D274" s="17">
        <v>153.96</v>
      </c>
      <c r="E274" s="17">
        <v>151.56</v>
      </c>
      <c r="F274" s="17">
        <v>152.52000000000001</v>
      </c>
      <c r="G274" s="43">
        <f t="shared" si="20"/>
        <v>153.96</v>
      </c>
      <c r="H274" s="43">
        <f t="shared" si="21"/>
        <v>143.86000000000001</v>
      </c>
      <c r="I274" s="44">
        <f t="shared" si="22"/>
        <v>85.742574257425758</v>
      </c>
      <c r="J274" s="44">
        <f t="shared" si="23"/>
        <v>81.352195680799682</v>
      </c>
      <c r="K274" s="44">
        <f t="shared" si="24"/>
        <v>80.844368564440259</v>
      </c>
      <c r="L274" s="13" t="s">
        <v>125</v>
      </c>
    </row>
    <row r="275" spans="1:12" x14ac:dyDescent="0.25">
      <c r="A275" s="15" t="s">
        <v>27</v>
      </c>
      <c r="B275" s="16">
        <v>42445</v>
      </c>
      <c r="C275" s="17">
        <v>149.63</v>
      </c>
      <c r="D275" s="17">
        <v>150.11000000000001</v>
      </c>
      <c r="E275" s="17">
        <v>148.19</v>
      </c>
      <c r="F275" s="17">
        <v>150.11000000000001</v>
      </c>
      <c r="G275" s="43">
        <f t="shared" si="20"/>
        <v>151.56</v>
      </c>
      <c r="H275" s="43">
        <f t="shared" si="21"/>
        <v>143.86000000000001</v>
      </c>
      <c r="I275" s="44">
        <f t="shared" si="22"/>
        <v>81.168831168831289</v>
      </c>
      <c r="J275" s="44">
        <f t="shared" si="23"/>
        <v>79.15700639248665</v>
      </c>
      <c r="K275" s="44">
        <f t="shared" si="24"/>
        <v>80.590455006260555</v>
      </c>
      <c r="L275" s="13" t="s">
        <v>126</v>
      </c>
    </row>
    <row r="276" spans="1:12" x14ac:dyDescent="0.25">
      <c r="A276" s="15" t="s">
        <v>27</v>
      </c>
      <c r="B276" s="16">
        <v>42444</v>
      </c>
      <c r="C276" s="17">
        <v>149.15</v>
      </c>
      <c r="D276" s="17">
        <v>150.59</v>
      </c>
      <c r="E276" s="17">
        <v>147.22999999999999</v>
      </c>
      <c r="F276" s="17">
        <v>148.66999999999999</v>
      </c>
      <c r="G276" s="43">
        <f t="shared" si="20"/>
        <v>151.56</v>
      </c>
      <c r="H276" s="43">
        <f t="shared" si="21"/>
        <v>143.86000000000001</v>
      </c>
      <c r="I276" s="44">
        <f t="shared" si="22"/>
        <v>62.467532467532216</v>
      </c>
      <c r="J276" s="44">
        <f t="shared" si="23"/>
        <v>78.151094004314331</v>
      </c>
      <c r="K276" s="44">
        <f t="shared" si="24"/>
        <v>81.3071793131475</v>
      </c>
      <c r="L276" s="13" t="s">
        <v>126</v>
      </c>
    </row>
    <row r="277" spans="1:12" x14ac:dyDescent="0.25">
      <c r="A277" s="15" t="s">
        <v>27</v>
      </c>
      <c r="B277" s="16">
        <v>42443</v>
      </c>
      <c r="C277" s="17">
        <v>150.59</v>
      </c>
      <c r="D277" s="17">
        <v>151.56</v>
      </c>
      <c r="E277" s="17">
        <v>149.63</v>
      </c>
      <c r="F277" s="17">
        <v>150.11000000000001</v>
      </c>
      <c r="G277" s="43">
        <f t="shared" si="20"/>
        <v>151.56</v>
      </c>
      <c r="H277" s="43">
        <f t="shared" si="21"/>
        <v>143.86000000000001</v>
      </c>
      <c r="I277" s="44">
        <f t="shared" si="22"/>
        <v>81.168831168831289</v>
      </c>
      <c r="J277" s="44">
        <f t="shared" si="23"/>
        <v>85.992874772705406</v>
      </c>
      <c r="K277" s="44">
        <f t="shared" si="24"/>
        <v>82.885221967564092</v>
      </c>
      <c r="L277" s="13" t="s">
        <v>125</v>
      </c>
    </row>
    <row r="278" spans="1:12" x14ac:dyDescent="0.25">
      <c r="A278" s="15" t="s">
        <v>27</v>
      </c>
      <c r="B278" s="16">
        <v>42440</v>
      </c>
      <c r="C278" s="17">
        <v>148.66999999999999</v>
      </c>
      <c r="D278" s="17">
        <v>149.15</v>
      </c>
      <c r="E278" s="17">
        <v>147.22999999999999</v>
      </c>
      <c r="F278" s="17">
        <v>149.15</v>
      </c>
      <c r="G278" s="43">
        <f t="shared" si="20"/>
        <v>149.15</v>
      </c>
      <c r="H278" s="43">
        <f t="shared" si="21"/>
        <v>142.9</v>
      </c>
      <c r="I278" s="44">
        <f t="shared" si="22"/>
        <v>100</v>
      </c>
      <c r="J278" s="44">
        <f t="shared" si="23"/>
        <v>88.404896574642464</v>
      </c>
      <c r="K278" s="44">
        <f t="shared" si="24"/>
        <v>81.331395564993443</v>
      </c>
      <c r="L278" s="13" t="s">
        <v>125</v>
      </c>
    </row>
    <row r="279" spans="1:12" x14ac:dyDescent="0.25">
      <c r="A279" s="15" t="s">
        <v>27</v>
      </c>
      <c r="B279" s="16">
        <v>42439</v>
      </c>
      <c r="C279" s="17">
        <v>147.22999999999999</v>
      </c>
      <c r="D279" s="17">
        <v>148.66999999999999</v>
      </c>
      <c r="E279" s="17">
        <v>145.78</v>
      </c>
      <c r="F279" s="17">
        <v>148.66999999999999</v>
      </c>
      <c r="G279" s="43">
        <f t="shared" si="20"/>
        <v>148.66999999999999</v>
      </c>
      <c r="H279" s="43">
        <f t="shared" si="21"/>
        <v>142.41999999999999</v>
      </c>
      <c r="I279" s="44">
        <f t="shared" si="22"/>
        <v>100</v>
      </c>
      <c r="J279" s="44">
        <f t="shared" si="23"/>
        <v>82.607344861963696</v>
      </c>
      <c r="K279" s="44">
        <f t="shared" si="24"/>
        <v>77.794645060168946</v>
      </c>
      <c r="L279" s="13" t="s">
        <v>125</v>
      </c>
    </row>
    <row r="280" spans="1:12" x14ac:dyDescent="0.25">
      <c r="A280" s="15" t="s">
        <v>27</v>
      </c>
      <c r="B280" s="16">
        <v>42438</v>
      </c>
      <c r="C280" s="17">
        <v>146.26</v>
      </c>
      <c r="D280" s="17">
        <v>147.22999999999999</v>
      </c>
      <c r="E280" s="17">
        <v>144.82</v>
      </c>
      <c r="F280" s="17">
        <v>147.22999999999999</v>
      </c>
      <c r="G280" s="43">
        <f t="shared" si="20"/>
        <v>148.66999999999999</v>
      </c>
      <c r="H280" s="43">
        <f t="shared" si="21"/>
        <v>142.41999999999999</v>
      </c>
      <c r="I280" s="44">
        <f t="shared" si="22"/>
        <v>76.960000000000036</v>
      </c>
      <c r="J280" s="44">
        <f t="shared" si="23"/>
        <v>73.911017292945544</v>
      </c>
      <c r="K280" s="44">
        <f t="shared" si="24"/>
        <v>75.388295159271578</v>
      </c>
      <c r="L280" s="13" t="s">
        <v>126</v>
      </c>
    </row>
    <row r="281" spans="1:12" x14ac:dyDescent="0.25">
      <c r="A281" s="15" t="s">
        <v>27</v>
      </c>
      <c r="B281" s="16">
        <v>42437</v>
      </c>
      <c r="C281" s="17">
        <v>145.30000000000001</v>
      </c>
      <c r="D281" s="17">
        <v>146.26</v>
      </c>
      <c r="E281" s="17">
        <v>143.86000000000001</v>
      </c>
      <c r="F281" s="17">
        <v>146.26</v>
      </c>
      <c r="G281" s="43">
        <f t="shared" si="20"/>
        <v>148.66999999999999</v>
      </c>
      <c r="H281" s="43">
        <f t="shared" si="21"/>
        <v>141.44999999999999</v>
      </c>
      <c r="I281" s="44">
        <f t="shared" si="22"/>
        <v>66.620498614958493</v>
      </c>
      <c r="J281" s="44">
        <f t="shared" si="23"/>
        <v>72.386525939418306</v>
      </c>
      <c r="K281" s="44">
        <f t="shared" si="24"/>
        <v>76.12693409243461</v>
      </c>
      <c r="L281" s="13" t="s">
        <v>126</v>
      </c>
    </row>
    <row r="282" spans="1:12" x14ac:dyDescent="0.25">
      <c r="A282" s="15" t="s">
        <v>27</v>
      </c>
      <c r="B282" s="16">
        <v>42436</v>
      </c>
      <c r="C282" s="17">
        <v>146.75</v>
      </c>
      <c r="D282" s="17">
        <v>147.71</v>
      </c>
      <c r="E282" s="17">
        <v>145.30000000000001</v>
      </c>
      <c r="F282" s="17">
        <v>146.26</v>
      </c>
      <c r="G282" s="43">
        <f t="shared" si="20"/>
        <v>148.66999999999999</v>
      </c>
      <c r="H282" s="43">
        <f t="shared" si="21"/>
        <v>141.44999999999999</v>
      </c>
      <c r="I282" s="44">
        <f t="shared" si="22"/>
        <v>66.620498614958493</v>
      </c>
      <c r="J282" s="44">
        <f t="shared" si="23"/>
        <v>75.269539601648205</v>
      </c>
      <c r="K282" s="44">
        <f t="shared" si="24"/>
        <v>77.997138168942769</v>
      </c>
      <c r="L282" s="13" t="s">
        <v>126</v>
      </c>
    </row>
    <row r="283" spans="1:12" x14ac:dyDescent="0.25">
      <c r="A283" s="15" t="s">
        <v>27</v>
      </c>
      <c r="B283" s="16">
        <v>42433</v>
      </c>
      <c r="C283" s="17">
        <v>147.22999999999999</v>
      </c>
      <c r="D283" s="17">
        <v>147.71</v>
      </c>
      <c r="E283" s="17">
        <v>145.78</v>
      </c>
      <c r="F283" s="17">
        <v>146.75</v>
      </c>
      <c r="G283" s="43">
        <f t="shared" si="20"/>
        <v>148.66999999999999</v>
      </c>
      <c r="H283" s="43">
        <f t="shared" si="21"/>
        <v>141.44999999999999</v>
      </c>
      <c r="I283" s="44">
        <f t="shared" si="22"/>
        <v>73.407202216066651</v>
      </c>
      <c r="J283" s="44">
        <f t="shared" si="23"/>
        <v>79.594060094993068</v>
      </c>
      <c r="K283" s="44">
        <f t="shared" si="24"/>
        <v>79.360937452590051</v>
      </c>
      <c r="L283" s="13" t="s">
        <v>125</v>
      </c>
    </row>
    <row r="284" spans="1:12" x14ac:dyDescent="0.25">
      <c r="A284" s="15" t="s">
        <v>27</v>
      </c>
      <c r="B284" s="16">
        <v>42432</v>
      </c>
      <c r="C284" s="17">
        <v>148.19</v>
      </c>
      <c r="D284" s="17">
        <v>148.66999999999999</v>
      </c>
      <c r="E284" s="17">
        <v>147.22999999999999</v>
      </c>
      <c r="F284" s="17">
        <v>148.19</v>
      </c>
      <c r="G284" s="43">
        <f t="shared" si="20"/>
        <v>148.66999999999999</v>
      </c>
      <c r="H284" s="43">
        <f t="shared" si="21"/>
        <v>141.44999999999999</v>
      </c>
      <c r="I284" s="44">
        <f t="shared" si="22"/>
        <v>93.351800554016762</v>
      </c>
      <c r="J284" s="44">
        <f t="shared" si="23"/>
        <v>82.687489034456291</v>
      </c>
      <c r="K284" s="44">
        <f t="shared" si="24"/>
        <v>79.244376131388549</v>
      </c>
      <c r="L284" s="13" t="s">
        <v>125</v>
      </c>
    </row>
    <row r="285" spans="1:12" x14ac:dyDescent="0.25">
      <c r="A285" s="15" t="s">
        <v>27</v>
      </c>
      <c r="B285" s="16">
        <v>42431</v>
      </c>
      <c r="C285" s="17">
        <v>148.19</v>
      </c>
      <c r="D285" s="17">
        <v>148.66999999999999</v>
      </c>
      <c r="E285" s="17">
        <v>147.22999999999999</v>
      </c>
      <c r="F285" s="17">
        <v>147.22999999999999</v>
      </c>
      <c r="G285" s="43">
        <f t="shared" si="20"/>
        <v>148.66999999999999</v>
      </c>
      <c r="H285" s="43">
        <f t="shared" si="21"/>
        <v>141.44999999999999</v>
      </c>
      <c r="I285" s="44">
        <f t="shared" si="22"/>
        <v>80.055401662049889</v>
      </c>
      <c r="J285" s="44">
        <f t="shared" si="23"/>
        <v>77.355333274676056</v>
      </c>
      <c r="K285" s="44">
        <f t="shared" si="24"/>
        <v>77.522819679854678</v>
      </c>
      <c r="L285" s="13" t="s">
        <v>126</v>
      </c>
    </row>
    <row r="286" spans="1:12" x14ac:dyDescent="0.25">
      <c r="A286" s="15" t="s">
        <v>27</v>
      </c>
      <c r="B286" s="16">
        <v>42430</v>
      </c>
      <c r="C286" s="17">
        <v>142.9</v>
      </c>
      <c r="D286" s="17">
        <v>146.26</v>
      </c>
      <c r="E286" s="17">
        <v>142.9</v>
      </c>
      <c r="F286" s="17">
        <v>146.26</v>
      </c>
      <c r="G286" s="43">
        <f t="shared" si="20"/>
        <v>146.75</v>
      </c>
      <c r="H286" s="43">
        <f t="shared" si="21"/>
        <v>141.44999999999999</v>
      </c>
      <c r="I286" s="44">
        <f t="shared" si="22"/>
        <v>90.754716981131921</v>
      </c>
      <c r="J286" s="44">
        <f t="shared" si="23"/>
        <v>76.005299080989147</v>
      </c>
      <c r="K286" s="44">
        <f t="shared" si="24"/>
        <v>77.606562882443995</v>
      </c>
      <c r="L286" s="13" t="s">
        <v>126</v>
      </c>
    </row>
    <row r="287" spans="1:12" x14ac:dyDescent="0.25">
      <c r="A287" s="15" t="s">
        <v>27</v>
      </c>
      <c r="B287" s="16">
        <v>42426</v>
      </c>
      <c r="C287" s="17">
        <v>145.30000000000001</v>
      </c>
      <c r="D287" s="17">
        <v>145.78</v>
      </c>
      <c r="E287" s="17">
        <v>142.41999999999999</v>
      </c>
      <c r="F287" s="17">
        <v>143.38</v>
      </c>
      <c r="G287" s="43">
        <f t="shared" si="20"/>
        <v>146.75</v>
      </c>
      <c r="H287" s="43">
        <f t="shared" si="21"/>
        <v>140.01</v>
      </c>
      <c r="I287" s="44">
        <f t="shared" si="22"/>
        <v>50</v>
      </c>
      <c r="J287" s="44">
        <f t="shared" si="23"/>
        <v>68.630590130917753</v>
      </c>
      <c r="K287" s="44">
        <f t="shared" si="24"/>
        <v>78.40719478317142</v>
      </c>
      <c r="L287" s="13" t="s">
        <v>126</v>
      </c>
    </row>
    <row r="288" spans="1:12" x14ac:dyDescent="0.25">
      <c r="A288" s="15" t="s">
        <v>27</v>
      </c>
      <c r="B288" s="16">
        <v>42425</v>
      </c>
      <c r="C288" s="17">
        <v>143.38</v>
      </c>
      <c r="D288" s="17">
        <v>145.30000000000001</v>
      </c>
      <c r="E288" s="17">
        <v>142.9</v>
      </c>
      <c r="F288" s="17">
        <v>144.82</v>
      </c>
      <c r="G288" s="43">
        <f t="shared" si="20"/>
        <v>146.75</v>
      </c>
      <c r="H288" s="43">
        <f t="shared" si="21"/>
        <v>136.63999999999999</v>
      </c>
      <c r="I288" s="44">
        <f t="shared" si="22"/>
        <v>80.909990108803115</v>
      </c>
      <c r="J288" s="44">
        <f t="shared" si="23"/>
        <v>77.945885196376636</v>
      </c>
      <c r="K288" s="44">
        <f t="shared" si="24"/>
        <v>83.295497109298267</v>
      </c>
      <c r="L288" s="13" t="s">
        <v>126</v>
      </c>
    </row>
    <row r="289" spans="1:12" x14ac:dyDescent="0.25">
      <c r="A289" s="15" t="s">
        <v>27</v>
      </c>
      <c r="B289" s="16">
        <v>42424</v>
      </c>
      <c r="C289" s="17">
        <v>143.86000000000001</v>
      </c>
      <c r="D289" s="17">
        <v>144.82</v>
      </c>
      <c r="E289" s="17">
        <v>141.44999999999999</v>
      </c>
      <c r="F289" s="17">
        <v>142.41999999999999</v>
      </c>
      <c r="G289" s="43">
        <f t="shared" si="20"/>
        <v>146.75</v>
      </c>
      <c r="H289" s="43">
        <f t="shared" si="21"/>
        <v>136.63999999999999</v>
      </c>
      <c r="I289" s="44">
        <f t="shared" si="22"/>
        <v>57.171117705242267</v>
      </c>
      <c r="J289" s="44">
        <f t="shared" si="23"/>
        <v>76.463832740163411</v>
      </c>
      <c r="K289" s="44">
        <f t="shared" si="24"/>
        <v>85.970303065759097</v>
      </c>
      <c r="L289" s="13" t="s">
        <v>126</v>
      </c>
    </row>
    <row r="290" spans="1:12" x14ac:dyDescent="0.25">
      <c r="A290" s="15" t="s">
        <v>27</v>
      </c>
      <c r="B290" s="16">
        <v>42423</v>
      </c>
      <c r="C290" s="17">
        <v>144.82</v>
      </c>
      <c r="D290" s="17">
        <v>145.30000000000001</v>
      </c>
      <c r="E290" s="17">
        <v>143.38</v>
      </c>
      <c r="F290" s="17">
        <v>143.86000000000001</v>
      </c>
      <c r="G290" s="43">
        <f t="shared" si="20"/>
        <v>146.75</v>
      </c>
      <c r="H290" s="43">
        <f t="shared" si="21"/>
        <v>136.16</v>
      </c>
      <c r="I290" s="44">
        <f t="shared" si="22"/>
        <v>72.71010387157709</v>
      </c>
      <c r="J290" s="44">
        <f t="shared" si="23"/>
        <v>86.110190257623998</v>
      </c>
      <c r="K290" s="44">
        <f t="shared" si="24"/>
        <v>90.723538228556947</v>
      </c>
      <c r="L290" s="13" t="s">
        <v>126</v>
      </c>
    </row>
    <row r="291" spans="1:12" x14ac:dyDescent="0.25">
      <c r="A291" s="15" t="s">
        <v>27</v>
      </c>
      <c r="B291" s="16">
        <v>42422</v>
      </c>
      <c r="C291" s="17">
        <v>143.86000000000001</v>
      </c>
      <c r="D291" s="17">
        <v>146.75</v>
      </c>
      <c r="E291" s="17">
        <v>143.86000000000001</v>
      </c>
      <c r="F291" s="17">
        <v>145.30000000000001</v>
      </c>
      <c r="G291" s="43">
        <f t="shared" si="20"/>
        <v>146.75</v>
      </c>
      <c r="H291" s="43">
        <f t="shared" si="21"/>
        <v>136.16</v>
      </c>
      <c r="I291" s="44">
        <f t="shared" si="22"/>
        <v>86.30783758262524</v>
      </c>
      <c r="J291" s="44">
        <f t="shared" si="23"/>
        <v>92.810233450647473</v>
      </c>
      <c r="K291" s="44">
        <f t="shared" si="24"/>
        <v>93.030212214023436</v>
      </c>
      <c r="L291" s="13" t="s">
        <v>126</v>
      </c>
    </row>
    <row r="292" spans="1:12" x14ac:dyDescent="0.25">
      <c r="A292" s="15" t="s">
        <v>27</v>
      </c>
      <c r="B292" s="16">
        <v>42419</v>
      </c>
      <c r="C292" s="17">
        <v>143.38</v>
      </c>
      <c r="D292" s="17">
        <v>145.30000000000001</v>
      </c>
      <c r="E292" s="17">
        <v>143.38</v>
      </c>
      <c r="F292" s="17">
        <v>145.30000000000001</v>
      </c>
      <c r="G292" s="43">
        <f t="shared" si="20"/>
        <v>145.30000000000001</v>
      </c>
      <c r="H292" s="43">
        <f t="shared" si="21"/>
        <v>135.68</v>
      </c>
      <c r="I292" s="44">
        <f t="shared" si="22"/>
        <v>100</v>
      </c>
      <c r="J292" s="44">
        <f t="shared" si="23"/>
        <v>96.061431384658604</v>
      </c>
      <c r="K292" s="44">
        <f t="shared" si="24"/>
        <v>93.140201595711432</v>
      </c>
      <c r="L292" s="13" t="s">
        <v>125</v>
      </c>
    </row>
    <row r="293" spans="1:12" x14ac:dyDescent="0.25">
      <c r="A293" s="15" t="s">
        <v>27</v>
      </c>
      <c r="B293" s="16">
        <v>42418</v>
      </c>
      <c r="C293" s="17">
        <v>144.34</v>
      </c>
      <c r="D293" s="17">
        <v>145.30000000000001</v>
      </c>
      <c r="E293" s="17">
        <v>143.86000000000001</v>
      </c>
      <c r="F293" s="17">
        <v>145.30000000000001</v>
      </c>
      <c r="G293" s="43">
        <f t="shared" si="20"/>
        <v>145.30000000000001</v>
      </c>
      <c r="H293" s="43">
        <f t="shared" si="21"/>
        <v>132.79</v>
      </c>
      <c r="I293" s="44">
        <f t="shared" si="22"/>
        <v>100</v>
      </c>
      <c r="J293" s="44">
        <f t="shared" si="23"/>
        <v>94.092147076987914</v>
      </c>
      <c r="K293" s="44">
        <f t="shared" si="24"/>
        <v>91.679586701237838</v>
      </c>
      <c r="L293" s="13" t="s">
        <v>125</v>
      </c>
    </row>
    <row r="294" spans="1:12" x14ac:dyDescent="0.25">
      <c r="A294" s="15" t="s">
        <v>27</v>
      </c>
      <c r="B294" s="16">
        <v>42417</v>
      </c>
      <c r="C294" s="17">
        <v>143.38</v>
      </c>
      <c r="D294" s="17">
        <v>143.38</v>
      </c>
      <c r="E294" s="17">
        <v>141.44999999999999</v>
      </c>
      <c r="F294" s="17">
        <v>142.41999999999999</v>
      </c>
      <c r="G294" s="43">
        <f t="shared" si="20"/>
        <v>143.38</v>
      </c>
      <c r="H294" s="43">
        <f t="shared" si="21"/>
        <v>132.79</v>
      </c>
      <c r="I294" s="44">
        <f t="shared" si="22"/>
        <v>90.934844192634486</v>
      </c>
      <c r="J294" s="44">
        <f t="shared" si="23"/>
        <v>91.13822061548187</v>
      </c>
      <c r="K294" s="44">
        <f t="shared" si="24"/>
        <v>90.4733065133628</v>
      </c>
      <c r="L294" s="13" t="s">
        <v>125</v>
      </c>
    </row>
    <row r="295" spans="1:12" x14ac:dyDescent="0.25">
      <c r="A295" s="15" t="s">
        <v>27</v>
      </c>
      <c r="B295" s="16">
        <v>42416</v>
      </c>
      <c r="C295" s="17">
        <v>140.49</v>
      </c>
      <c r="D295" s="17">
        <v>142.41999999999999</v>
      </c>
      <c r="E295" s="17">
        <v>140.01</v>
      </c>
      <c r="F295" s="17">
        <v>141.93</v>
      </c>
      <c r="G295" s="43">
        <f t="shared" si="20"/>
        <v>142.41999999999999</v>
      </c>
      <c r="H295" s="43">
        <f t="shared" si="21"/>
        <v>132.79</v>
      </c>
      <c r="I295" s="44">
        <f t="shared" si="22"/>
        <v>94.911734164070822</v>
      </c>
      <c r="J295" s="44">
        <f t="shared" si="23"/>
        <v>91.239908826905562</v>
      </c>
      <c r="K295" s="44">
        <f t="shared" si="24"/>
        <v>90.140849462303279</v>
      </c>
      <c r="L295" s="13" t="s">
        <v>125</v>
      </c>
    </row>
    <row r="296" spans="1:12" x14ac:dyDescent="0.25">
      <c r="A296" s="15" t="s">
        <v>27</v>
      </c>
      <c r="B296" s="16">
        <v>42415</v>
      </c>
      <c r="C296" s="17">
        <v>136.63999999999999</v>
      </c>
      <c r="D296" s="17">
        <v>140.97</v>
      </c>
      <c r="E296" s="17">
        <v>136.63999999999999</v>
      </c>
      <c r="F296" s="17">
        <v>139.53</v>
      </c>
      <c r="G296" s="43">
        <f t="shared" si="20"/>
        <v>140.97</v>
      </c>
      <c r="H296" s="43">
        <f t="shared" si="21"/>
        <v>131.83000000000001</v>
      </c>
      <c r="I296" s="44">
        <f t="shared" si="22"/>
        <v>84.245076586433271</v>
      </c>
      <c r="J296" s="44">
        <f t="shared" si="23"/>
        <v>89.40399615832294</v>
      </c>
      <c r="K296" s="44">
        <f t="shared" si="24"/>
        <v>89.591319780002138</v>
      </c>
      <c r="L296" s="13" t="s">
        <v>126</v>
      </c>
    </row>
    <row r="297" spans="1:12" x14ac:dyDescent="0.25">
      <c r="A297" s="15" t="s">
        <v>27</v>
      </c>
      <c r="B297" s="16">
        <v>42403</v>
      </c>
      <c r="C297" s="17">
        <v>139.53</v>
      </c>
      <c r="D297" s="17">
        <v>140.49</v>
      </c>
      <c r="E297" s="17">
        <v>139.05000000000001</v>
      </c>
      <c r="F297" s="17">
        <v>140.49</v>
      </c>
      <c r="G297" s="43">
        <f t="shared" si="20"/>
        <v>140.49</v>
      </c>
      <c r="H297" s="43">
        <f t="shared" si="21"/>
        <v>131.83000000000001</v>
      </c>
      <c r="I297" s="44">
        <f t="shared" si="22"/>
        <v>100</v>
      </c>
      <c r="J297" s="44">
        <f t="shared" si="23"/>
        <v>91.983455944267774</v>
      </c>
      <c r="K297" s="44">
        <f t="shared" si="24"/>
        <v>89.684981590841744</v>
      </c>
      <c r="L297" s="13" t="s">
        <v>125</v>
      </c>
    </row>
    <row r="298" spans="1:12" x14ac:dyDescent="0.25">
      <c r="A298" s="15" t="s">
        <v>27</v>
      </c>
      <c r="B298" s="16">
        <v>42402</v>
      </c>
      <c r="C298" s="17">
        <v>138.57</v>
      </c>
      <c r="D298" s="17">
        <v>139.05000000000001</v>
      </c>
      <c r="E298" s="17">
        <v>136.16</v>
      </c>
      <c r="F298" s="17">
        <v>137.12</v>
      </c>
      <c r="G298" s="43">
        <f t="shared" si="20"/>
        <v>139.05000000000001</v>
      </c>
      <c r="H298" s="43">
        <f t="shared" si="21"/>
        <v>130.87</v>
      </c>
      <c r="I298" s="44">
        <f t="shared" si="22"/>
        <v>76.405867970660083</v>
      </c>
      <c r="J298" s="44">
        <f t="shared" si="23"/>
        <v>87.975183916401676</v>
      </c>
      <c r="K298" s="44">
        <f t="shared" si="24"/>
        <v>88.535744414128743</v>
      </c>
      <c r="L298" s="13" t="s">
        <v>126</v>
      </c>
    </row>
    <row r="299" spans="1:12" x14ac:dyDescent="0.25">
      <c r="A299" s="15" t="s">
        <v>27</v>
      </c>
      <c r="B299" s="16">
        <v>42401</v>
      </c>
      <c r="C299" s="17">
        <v>138.57</v>
      </c>
      <c r="D299" s="17">
        <v>138.57</v>
      </c>
      <c r="E299" s="17">
        <v>136.16</v>
      </c>
      <c r="F299" s="17">
        <v>138.57</v>
      </c>
      <c r="G299" s="43">
        <f t="shared" si="20"/>
        <v>138.57</v>
      </c>
      <c r="H299" s="43">
        <f t="shared" si="21"/>
        <v>128.94</v>
      </c>
      <c r="I299" s="44">
        <f t="shared" si="22"/>
        <v>100</v>
      </c>
      <c r="J299" s="44">
        <f t="shared" si="23"/>
        <v>93.759841889272465</v>
      </c>
      <c r="K299" s="44">
        <f t="shared" si="24"/>
        <v>88.816024662992291</v>
      </c>
      <c r="L299" s="13" t="s">
        <v>125</v>
      </c>
    </row>
    <row r="300" spans="1:12" x14ac:dyDescent="0.25">
      <c r="A300" s="15" t="s">
        <v>27</v>
      </c>
      <c r="B300" s="16">
        <v>42399</v>
      </c>
      <c r="C300" s="17">
        <v>137.12</v>
      </c>
      <c r="D300" s="17">
        <v>137.6</v>
      </c>
      <c r="E300" s="17">
        <v>135.68</v>
      </c>
      <c r="F300" s="17">
        <v>136.63999999999999</v>
      </c>
      <c r="G300" s="43">
        <f t="shared" si="20"/>
        <v>137.6</v>
      </c>
      <c r="H300" s="43">
        <f t="shared" si="21"/>
        <v>128.46</v>
      </c>
      <c r="I300" s="44">
        <f t="shared" si="22"/>
        <v>89.496717724288729</v>
      </c>
      <c r="J300" s="44">
        <f t="shared" si="23"/>
        <v>90.639762833908705</v>
      </c>
      <c r="K300" s="44">
        <f t="shared" si="24"/>
        <v>86.344116049852204</v>
      </c>
      <c r="L300" s="13" t="s">
        <v>125</v>
      </c>
    </row>
    <row r="301" spans="1:12" x14ac:dyDescent="0.25">
      <c r="A301" s="15" t="s">
        <v>27</v>
      </c>
      <c r="B301" s="16">
        <v>42398</v>
      </c>
      <c r="C301" s="17">
        <v>133.27000000000001</v>
      </c>
      <c r="D301" s="17">
        <v>137.6</v>
      </c>
      <c r="E301" s="17">
        <v>132.79</v>
      </c>
      <c r="F301" s="17">
        <v>137.6</v>
      </c>
      <c r="G301" s="43">
        <f t="shared" si="20"/>
        <v>137.6</v>
      </c>
      <c r="H301" s="43">
        <f t="shared" si="21"/>
        <v>128.46</v>
      </c>
      <c r="I301" s="44">
        <f t="shared" si="22"/>
        <v>100</v>
      </c>
      <c r="J301" s="44">
        <f t="shared" si="23"/>
        <v>91.211285388718693</v>
      </c>
      <c r="K301" s="44">
        <f t="shared" si="24"/>
        <v>84.19629265782396</v>
      </c>
      <c r="L301" s="13" t="s">
        <v>125</v>
      </c>
    </row>
    <row r="302" spans="1:12" x14ac:dyDescent="0.25">
      <c r="A302" s="15" t="s">
        <v>27</v>
      </c>
      <c r="B302" s="16">
        <v>42397</v>
      </c>
      <c r="C302" s="17">
        <v>132.79</v>
      </c>
      <c r="D302" s="17">
        <v>135.19999999999999</v>
      </c>
      <c r="E302" s="17">
        <v>132.79</v>
      </c>
      <c r="F302" s="17">
        <v>134.72</v>
      </c>
      <c r="G302" s="43">
        <f t="shared" si="20"/>
        <v>135.19999999999999</v>
      </c>
      <c r="H302" s="43">
        <f t="shared" si="21"/>
        <v>128.46</v>
      </c>
      <c r="I302" s="44">
        <f t="shared" si="22"/>
        <v>92.878338278931878</v>
      </c>
      <c r="J302" s="44">
        <f t="shared" si="23"/>
        <v>86.816928083078039</v>
      </c>
      <c r="K302" s="44">
        <f t="shared" si="24"/>
        <v>80.688796292376608</v>
      </c>
      <c r="L302" s="13" t="s">
        <v>125</v>
      </c>
    </row>
    <row r="303" spans="1:12" x14ac:dyDescent="0.25">
      <c r="A303" s="15" t="s">
        <v>27</v>
      </c>
      <c r="B303" s="16">
        <v>42396</v>
      </c>
      <c r="C303" s="17">
        <v>133.75</v>
      </c>
      <c r="D303" s="17">
        <v>134.24</v>
      </c>
      <c r="E303" s="17">
        <v>133.27000000000001</v>
      </c>
      <c r="F303" s="17">
        <v>134.24</v>
      </c>
      <c r="G303" s="43">
        <f t="shared" si="20"/>
        <v>134.72</v>
      </c>
      <c r="H303" s="43">
        <f t="shared" si="21"/>
        <v>128.46</v>
      </c>
      <c r="I303" s="44">
        <f t="shared" si="22"/>
        <v>92.332268370607181</v>
      </c>
      <c r="J303" s="44">
        <f t="shared" si="23"/>
        <v>83.786222985151127</v>
      </c>
      <c r="K303" s="44">
        <f t="shared" si="24"/>
        <v>77.6247303970259</v>
      </c>
      <c r="L303" s="13" t="s">
        <v>125</v>
      </c>
    </row>
    <row r="304" spans="1:12" x14ac:dyDescent="0.25">
      <c r="A304" s="15" t="s">
        <v>27</v>
      </c>
      <c r="B304" s="16">
        <v>42395</v>
      </c>
      <c r="C304" s="17">
        <v>132.31</v>
      </c>
      <c r="D304" s="17">
        <v>133.75</v>
      </c>
      <c r="E304" s="17">
        <v>131.83000000000001</v>
      </c>
      <c r="F304" s="17">
        <v>132.31</v>
      </c>
      <c r="G304" s="43">
        <f t="shared" si="20"/>
        <v>134.72</v>
      </c>
      <c r="H304" s="43">
        <f t="shared" si="21"/>
        <v>125.58</v>
      </c>
      <c r="I304" s="44">
        <f t="shared" si="22"/>
        <v>73.63238512035015</v>
      </c>
      <c r="J304" s="44">
        <f t="shared" si="23"/>
        <v>79.513200292423107</v>
      </c>
      <c r="K304" s="44">
        <f t="shared" si="24"/>
        <v>74.543984102963293</v>
      </c>
      <c r="L304" s="13" t="s">
        <v>125</v>
      </c>
    </row>
    <row r="305" spans="1:12" x14ac:dyDescent="0.25">
      <c r="A305" s="15" t="s">
        <v>27</v>
      </c>
      <c r="B305" s="16">
        <v>42394</v>
      </c>
      <c r="C305" s="17">
        <v>134.72</v>
      </c>
      <c r="D305" s="17">
        <v>134.72</v>
      </c>
      <c r="E305" s="17">
        <v>133.75</v>
      </c>
      <c r="F305" s="17">
        <v>134.24</v>
      </c>
      <c r="G305" s="43">
        <f t="shared" si="20"/>
        <v>134.72</v>
      </c>
      <c r="H305" s="43">
        <f t="shared" si="21"/>
        <v>125.58</v>
      </c>
      <c r="I305" s="44">
        <f t="shared" si="22"/>
        <v>94.748358862144528</v>
      </c>
      <c r="J305" s="44">
        <f t="shared" si="23"/>
        <v>82.453607878459593</v>
      </c>
      <c r="K305" s="44">
        <f t="shared" si="24"/>
        <v>72.059376008233386</v>
      </c>
      <c r="L305" s="13" t="s">
        <v>125</v>
      </c>
    </row>
    <row r="306" spans="1:12" x14ac:dyDescent="0.25">
      <c r="A306" s="15" t="s">
        <v>27</v>
      </c>
      <c r="B306" s="16">
        <v>42391</v>
      </c>
      <c r="C306" s="17">
        <v>131.35</v>
      </c>
      <c r="D306" s="17">
        <v>133.27000000000001</v>
      </c>
      <c r="E306" s="17">
        <v>130.87</v>
      </c>
      <c r="F306" s="17">
        <v>133.27000000000001</v>
      </c>
      <c r="G306" s="43">
        <f t="shared" si="20"/>
        <v>133.27000000000001</v>
      </c>
      <c r="H306" s="43">
        <f t="shared" si="21"/>
        <v>125.58</v>
      </c>
      <c r="I306" s="44">
        <f t="shared" si="22"/>
        <v>100</v>
      </c>
      <c r="J306" s="44">
        <f t="shared" si="23"/>
        <v>76.30623238661714</v>
      </c>
      <c r="K306" s="44">
        <f t="shared" si="24"/>
        <v>66.862260073120282</v>
      </c>
      <c r="L306" s="13" t="s">
        <v>125</v>
      </c>
    </row>
    <row r="307" spans="1:12" x14ac:dyDescent="0.25">
      <c r="A307" s="15" t="s">
        <v>27</v>
      </c>
      <c r="B307" s="16">
        <v>42390</v>
      </c>
      <c r="C307" s="17">
        <v>128.94</v>
      </c>
      <c r="D307" s="17">
        <v>131.35</v>
      </c>
      <c r="E307" s="17">
        <v>128.94</v>
      </c>
      <c r="F307" s="17">
        <v>129.91</v>
      </c>
      <c r="G307" s="43">
        <f t="shared" si="20"/>
        <v>132.79</v>
      </c>
      <c r="H307" s="43">
        <f t="shared" si="21"/>
        <v>125.58</v>
      </c>
      <c r="I307" s="44">
        <f t="shared" si="22"/>
        <v>60.055478502080476</v>
      </c>
      <c r="J307" s="44">
        <f t="shared" si="23"/>
        <v>64.459348579925717</v>
      </c>
      <c r="K307" s="44">
        <f t="shared" si="24"/>
        <v>62.140273916371861</v>
      </c>
      <c r="L307" s="13" t="s">
        <v>125</v>
      </c>
    </row>
    <row r="308" spans="1:12" x14ac:dyDescent="0.25">
      <c r="A308" s="15" t="s">
        <v>27</v>
      </c>
      <c r="B308" s="16">
        <v>42389</v>
      </c>
      <c r="C308" s="17">
        <v>132.31</v>
      </c>
      <c r="D308" s="17">
        <v>132.31</v>
      </c>
      <c r="E308" s="17">
        <v>128.46</v>
      </c>
      <c r="F308" s="17">
        <v>129.41999999999999</v>
      </c>
      <c r="G308" s="43">
        <f t="shared" si="20"/>
        <v>132.79</v>
      </c>
      <c r="H308" s="43">
        <f t="shared" si="21"/>
        <v>125.58</v>
      </c>
      <c r="I308" s="44">
        <f t="shared" si="22"/>
        <v>53.259361997225973</v>
      </c>
      <c r="J308" s="44">
        <f t="shared" si="23"/>
        <v>66.661283618848344</v>
      </c>
      <c r="K308" s="44">
        <f t="shared" si="24"/>
        <v>60.980736584594936</v>
      </c>
      <c r="L308" s="13" t="s">
        <v>125</v>
      </c>
    </row>
    <row r="309" spans="1:12" x14ac:dyDescent="0.25">
      <c r="A309" s="15" t="s">
        <v>27</v>
      </c>
      <c r="B309" s="16">
        <v>42388</v>
      </c>
      <c r="C309" s="17">
        <v>132.31</v>
      </c>
      <c r="D309" s="17">
        <v>132.79</v>
      </c>
      <c r="E309" s="17">
        <v>130.87</v>
      </c>
      <c r="F309" s="17">
        <v>132.79</v>
      </c>
      <c r="G309" s="43">
        <f t="shared" si="20"/>
        <v>132.79</v>
      </c>
      <c r="H309" s="43">
        <f t="shared" si="21"/>
        <v>125.58</v>
      </c>
      <c r="I309" s="44">
        <f t="shared" si="22"/>
        <v>100</v>
      </c>
      <c r="J309" s="44">
        <f t="shared" si="23"/>
        <v>73.36224442965954</v>
      </c>
      <c r="K309" s="44">
        <f t="shared" si="24"/>
        <v>58.140463067468239</v>
      </c>
      <c r="L309" s="13" t="s">
        <v>125</v>
      </c>
    </row>
    <row r="310" spans="1:12" x14ac:dyDescent="0.25">
      <c r="A310" s="15" t="s">
        <v>27</v>
      </c>
      <c r="B310" s="16">
        <v>42387</v>
      </c>
      <c r="C310" s="17">
        <v>129.91</v>
      </c>
      <c r="D310" s="17">
        <v>132.79</v>
      </c>
      <c r="E310" s="17">
        <v>129.41999999999999</v>
      </c>
      <c r="F310" s="17">
        <v>131.83000000000001</v>
      </c>
      <c r="G310" s="43">
        <f t="shared" si="20"/>
        <v>132.79</v>
      </c>
      <c r="H310" s="43">
        <f t="shared" si="21"/>
        <v>125.58</v>
      </c>
      <c r="I310" s="44">
        <f t="shared" si="22"/>
        <v>86.685159500693757</v>
      </c>
      <c r="J310" s="44">
        <f t="shared" si="23"/>
        <v>60.043366644489332</v>
      </c>
      <c r="K310" s="44">
        <f t="shared" si="24"/>
        <v>50.529572386372593</v>
      </c>
      <c r="L310" s="13" t="s">
        <v>125</v>
      </c>
    </row>
    <row r="311" spans="1:12" x14ac:dyDescent="0.25">
      <c r="A311" s="15" t="s">
        <v>27</v>
      </c>
      <c r="B311" s="16">
        <v>42384</v>
      </c>
      <c r="C311" s="17">
        <v>132.31</v>
      </c>
      <c r="D311" s="17">
        <v>132.79</v>
      </c>
      <c r="E311" s="17">
        <v>130.38999999999999</v>
      </c>
      <c r="F311" s="17">
        <v>131.83000000000001</v>
      </c>
      <c r="G311" s="43">
        <f t="shared" si="20"/>
        <v>134.72</v>
      </c>
      <c r="H311" s="43">
        <f t="shared" si="21"/>
        <v>125.58</v>
      </c>
      <c r="I311" s="44">
        <f t="shared" si="22"/>
        <v>68.380743982494678</v>
      </c>
      <c r="J311" s="44">
        <f t="shared" si="23"/>
        <v>46.722470216387123</v>
      </c>
      <c r="K311" s="44">
        <f t="shared" si="24"/>
        <v>45.772675257314219</v>
      </c>
      <c r="L311" s="13" t="s">
        <v>125</v>
      </c>
    </row>
    <row r="312" spans="1:12" x14ac:dyDescent="0.25">
      <c r="A312" s="15" t="s">
        <v>27</v>
      </c>
      <c r="B312" s="16">
        <v>42383</v>
      </c>
      <c r="C312" s="17">
        <v>125.58</v>
      </c>
      <c r="D312" s="17">
        <v>127.02</v>
      </c>
      <c r="E312" s="17">
        <v>125.58</v>
      </c>
      <c r="F312" s="17">
        <v>126.54</v>
      </c>
      <c r="G312" s="43">
        <f t="shared" si="20"/>
        <v>138.08000000000001</v>
      </c>
      <c r="H312" s="43">
        <f t="shared" si="21"/>
        <v>125.58</v>
      </c>
      <c r="I312" s="44">
        <f t="shared" si="22"/>
        <v>7.6800000000000548</v>
      </c>
      <c r="J312" s="44">
        <f>K(I312,J313)</f>
        <v>35.893333333333345</v>
      </c>
      <c r="K312" s="44">
        <f>D(J312,K313)</f>
        <v>45.297777777777775</v>
      </c>
      <c r="L312" s="13" t="s">
        <v>126</v>
      </c>
    </row>
    <row r="313" spans="1:12" x14ac:dyDescent="0.25">
      <c r="A313" s="15" t="s">
        <v>27</v>
      </c>
      <c r="B313" s="16">
        <v>42382</v>
      </c>
      <c r="C313" s="17">
        <v>128.46</v>
      </c>
      <c r="D313" s="17">
        <v>130.38999999999999</v>
      </c>
      <c r="E313" s="17">
        <v>127.98</v>
      </c>
      <c r="F313" s="17">
        <v>128.46</v>
      </c>
      <c r="G313" s="43"/>
      <c r="H313" s="43"/>
      <c r="I313" s="44"/>
      <c r="J313" s="45">
        <v>50</v>
      </c>
      <c r="K313" s="45">
        <v>50</v>
      </c>
      <c r="L313" s="13"/>
    </row>
    <row r="314" spans="1:12" x14ac:dyDescent="0.25">
      <c r="A314" s="15" t="s">
        <v>27</v>
      </c>
      <c r="B314" s="16">
        <v>42381</v>
      </c>
      <c r="C314" s="17">
        <v>127.98</v>
      </c>
      <c r="D314" s="17">
        <v>128.94</v>
      </c>
      <c r="E314" s="17">
        <v>126.54</v>
      </c>
      <c r="F314" s="17">
        <v>127.98</v>
      </c>
      <c r="G314" s="43"/>
      <c r="H314" s="43"/>
      <c r="I314" s="44"/>
      <c r="J314" s="64" t="s">
        <v>127</v>
      </c>
      <c r="K314" s="65"/>
      <c r="L314" s="13"/>
    </row>
    <row r="315" spans="1:12" x14ac:dyDescent="0.25">
      <c r="A315" s="15" t="s">
        <v>27</v>
      </c>
      <c r="B315" s="16">
        <v>42380</v>
      </c>
      <c r="C315" s="17">
        <v>127.98</v>
      </c>
      <c r="D315" s="17">
        <v>129.41999999999999</v>
      </c>
      <c r="E315" s="17">
        <v>125.58</v>
      </c>
      <c r="F315" s="17">
        <v>127.98</v>
      </c>
      <c r="G315" s="43"/>
      <c r="H315" s="43"/>
      <c r="I315" s="44"/>
      <c r="J315" s="44"/>
      <c r="K315" s="44"/>
      <c r="L315" s="13"/>
    </row>
    <row r="316" spans="1:12" x14ac:dyDescent="0.25">
      <c r="A316" s="15" t="s">
        <v>27</v>
      </c>
      <c r="B316" s="16">
        <v>42377</v>
      </c>
      <c r="C316" s="17">
        <v>127.02</v>
      </c>
      <c r="D316" s="17">
        <v>129.91</v>
      </c>
      <c r="E316" s="17">
        <v>127.02</v>
      </c>
      <c r="F316" s="17">
        <v>128.94</v>
      </c>
      <c r="G316" s="43"/>
      <c r="H316" s="43"/>
      <c r="I316" s="44"/>
      <c r="J316" s="44"/>
      <c r="K316" s="44"/>
      <c r="L316" s="13"/>
    </row>
    <row r="317" spans="1:12" x14ac:dyDescent="0.25">
      <c r="A317" s="15" t="s">
        <v>27</v>
      </c>
      <c r="B317" s="16">
        <v>42376</v>
      </c>
      <c r="C317" s="17">
        <v>129.41999999999999</v>
      </c>
      <c r="D317" s="17">
        <v>129.91</v>
      </c>
      <c r="E317" s="17">
        <v>125.58</v>
      </c>
      <c r="F317" s="17">
        <v>127.98</v>
      </c>
      <c r="G317" s="43"/>
      <c r="H317" s="43"/>
      <c r="I317" s="44"/>
      <c r="J317" s="44"/>
      <c r="K317" s="44"/>
      <c r="L317" s="13"/>
    </row>
    <row r="318" spans="1:12" x14ac:dyDescent="0.25">
      <c r="A318" s="15" t="s">
        <v>27</v>
      </c>
      <c r="B318" s="16">
        <v>42375</v>
      </c>
      <c r="C318" s="17">
        <v>132.79</v>
      </c>
      <c r="D318" s="17">
        <v>132.79</v>
      </c>
      <c r="E318" s="17">
        <v>129.91</v>
      </c>
      <c r="F318" s="17">
        <v>130.38999999999999</v>
      </c>
      <c r="G318" s="43"/>
      <c r="H318" s="43"/>
      <c r="I318" s="44"/>
      <c r="J318" s="44"/>
      <c r="K318" s="44"/>
      <c r="L318" s="13"/>
    </row>
    <row r="319" spans="1:12" x14ac:dyDescent="0.25">
      <c r="A319" s="15" t="s">
        <v>27</v>
      </c>
      <c r="B319" s="16">
        <v>42374</v>
      </c>
      <c r="C319" s="17">
        <v>133.75</v>
      </c>
      <c r="D319" s="17">
        <v>134.72</v>
      </c>
      <c r="E319" s="17">
        <v>131.83000000000001</v>
      </c>
      <c r="F319" s="17">
        <v>132.79</v>
      </c>
      <c r="G319" s="43"/>
      <c r="H319" s="43"/>
      <c r="I319" s="44"/>
      <c r="J319" s="44"/>
      <c r="K319" s="44"/>
      <c r="L319" s="13"/>
    </row>
    <row r="320" spans="1:12" ht="17.25" thickBot="1" x14ac:dyDescent="0.3">
      <c r="A320" s="7" t="s">
        <v>27</v>
      </c>
      <c r="B320" s="8">
        <v>42373</v>
      </c>
      <c r="C320" s="9">
        <v>137.12</v>
      </c>
      <c r="D320" s="9">
        <v>138.08000000000001</v>
      </c>
      <c r="E320" s="9">
        <v>133.75</v>
      </c>
      <c r="F320" s="9">
        <v>134.24</v>
      </c>
      <c r="G320" s="43"/>
      <c r="H320" s="43"/>
      <c r="I320" s="44"/>
      <c r="J320" s="44"/>
      <c r="K320" s="44"/>
      <c r="L320" s="13"/>
    </row>
  </sheetData>
  <mergeCells count="1">
    <mergeCell ref="J314:K314"/>
  </mergeCells>
  <phoneticPr fontId="1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C000"/>
  </sheetPr>
  <dimension ref="A1:R21"/>
  <sheetViews>
    <sheetView workbookViewId="0">
      <selection activeCell="L11" sqref="L11"/>
    </sheetView>
  </sheetViews>
  <sheetFormatPr defaultRowHeight="16.5" x14ac:dyDescent="0.25"/>
  <cols>
    <col min="1" max="1" width="8.75" customWidth="1"/>
    <col min="2" max="2" width="9.75" customWidth="1"/>
    <col min="3" max="3" width="10" customWidth="1"/>
    <col min="4" max="4" width="11.25" customWidth="1"/>
    <col min="7" max="7" width="10.75" customWidth="1"/>
  </cols>
  <sheetData>
    <row r="1" spans="1:18" x14ac:dyDescent="0.25">
      <c r="A1" t="s">
        <v>11</v>
      </c>
      <c r="B1" t="s">
        <v>105</v>
      </c>
      <c r="C1" s="13" t="s">
        <v>104</v>
      </c>
      <c r="D1" s="13" t="s">
        <v>104</v>
      </c>
      <c r="E1" s="13" t="s">
        <v>104</v>
      </c>
      <c r="F1" s="13" t="s">
        <v>104</v>
      </c>
      <c r="G1" s="13" t="s">
        <v>104</v>
      </c>
      <c r="H1" s="13" t="s">
        <v>104</v>
      </c>
      <c r="I1" s="13" t="s">
        <v>104</v>
      </c>
      <c r="J1" s="13" t="s">
        <v>104</v>
      </c>
      <c r="K1" s="13" t="s">
        <v>104</v>
      </c>
      <c r="L1" s="13" t="s">
        <v>104</v>
      </c>
      <c r="M1" s="13" t="s">
        <v>104</v>
      </c>
      <c r="N1" s="13" t="s">
        <v>104</v>
      </c>
      <c r="O1" s="13" t="s">
        <v>104</v>
      </c>
      <c r="P1" s="13" t="s">
        <v>104</v>
      </c>
      <c r="Q1" s="13" t="s">
        <v>104</v>
      </c>
      <c r="R1" s="13" t="s">
        <v>104</v>
      </c>
    </row>
    <row r="2" spans="1:18" ht="17.25" thickBot="1" x14ac:dyDescent="0.3">
      <c r="A2" t="s">
        <v>106</v>
      </c>
    </row>
    <row r="3" spans="1:18" x14ac:dyDescent="0.25">
      <c r="A3" s="13" t="s">
        <v>107</v>
      </c>
      <c r="B3" s="3" t="s">
        <v>116</v>
      </c>
      <c r="C3" s="34" t="s">
        <v>112</v>
      </c>
      <c r="D3" s="35"/>
      <c r="E3" s="35" t="s">
        <v>12</v>
      </c>
      <c r="F3" s="36">
        <v>5</v>
      </c>
      <c r="G3" s="3"/>
      <c r="H3" s="3" t="s">
        <v>128</v>
      </c>
      <c r="I3" s="3" t="s">
        <v>129</v>
      </c>
      <c r="J3" t="s">
        <v>130</v>
      </c>
      <c r="L3" t="s">
        <v>125</v>
      </c>
    </row>
    <row r="4" spans="1:18" ht="17.25" thickBot="1" x14ac:dyDescent="0.3">
      <c r="A4" s="13" t="s">
        <v>107</v>
      </c>
      <c r="B4" s="3"/>
      <c r="C4" s="37"/>
      <c r="D4" s="38"/>
      <c r="E4" s="38" t="s">
        <v>10</v>
      </c>
      <c r="F4" s="39">
        <v>120</v>
      </c>
      <c r="G4" s="3"/>
      <c r="H4" s="3">
        <v>5</v>
      </c>
      <c r="I4" s="3">
        <v>6</v>
      </c>
      <c r="J4" t="str">
        <f>compare_two(H4,I4)</f>
        <v>空方趨勢</v>
      </c>
      <c r="M4" t="s">
        <v>25</v>
      </c>
    </row>
    <row r="5" spans="1:18" x14ac:dyDescent="0.25">
      <c r="A5" s="13" t="s">
        <v>107</v>
      </c>
      <c r="B5" s="3"/>
      <c r="C5" s="37"/>
      <c r="D5" s="38"/>
      <c r="E5" s="38"/>
      <c r="F5" s="39"/>
      <c r="G5" s="3"/>
      <c r="H5" s="3"/>
      <c r="I5" s="3"/>
      <c r="M5" s="20" t="s">
        <v>15</v>
      </c>
      <c r="N5" s="21"/>
      <c r="O5" s="21"/>
      <c r="P5" s="22"/>
    </row>
    <row r="6" spans="1:18" x14ac:dyDescent="0.25">
      <c r="A6" s="13" t="s">
        <v>107</v>
      </c>
      <c r="B6" s="3"/>
      <c r="C6" s="37" t="s">
        <v>111</v>
      </c>
      <c r="D6" s="38">
        <v>1</v>
      </c>
      <c r="E6" s="38" t="s">
        <v>13</v>
      </c>
      <c r="F6" s="39">
        <v>14</v>
      </c>
      <c r="G6" s="3"/>
      <c r="H6" s="3"/>
      <c r="I6" s="3"/>
      <c r="L6" t="s">
        <v>131</v>
      </c>
      <c r="M6" s="23" t="s">
        <v>16</v>
      </c>
      <c r="N6" s="24"/>
      <c r="O6" s="24"/>
      <c r="P6" s="25"/>
    </row>
    <row r="7" spans="1:18" x14ac:dyDescent="0.25">
      <c r="A7" s="13" t="s">
        <v>107</v>
      </c>
      <c r="B7" s="3"/>
      <c r="C7" s="37"/>
      <c r="D7" s="38"/>
      <c r="E7" s="38"/>
      <c r="F7" s="39"/>
      <c r="G7" s="3"/>
      <c r="H7" s="3"/>
      <c r="I7" s="3"/>
      <c r="L7" t="s">
        <v>132</v>
      </c>
      <c r="M7" s="23" t="s">
        <v>17</v>
      </c>
      <c r="N7" s="24"/>
      <c r="O7" s="24"/>
      <c r="P7" s="25"/>
    </row>
    <row r="8" spans="1:18" x14ac:dyDescent="0.25">
      <c r="A8" s="13" t="s">
        <v>107</v>
      </c>
      <c r="B8" s="3"/>
      <c r="C8" s="37" t="s">
        <v>110</v>
      </c>
      <c r="D8" s="38"/>
      <c r="E8" s="38" t="s">
        <v>14</v>
      </c>
      <c r="F8" s="39"/>
      <c r="G8" s="3"/>
      <c r="H8" s="3"/>
      <c r="I8" s="3"/>
      <c r="L8" t="s">
        <v>132</v>
      </c>
      <c r="M8" s="23" t="s">
        <v>18</v>
      </c>
      <c r="N8" s="24"/>
      <c r="O8" s="24"/>
      <c r="P8" s="25"/>
    </row>
    <row r="9" spans="1:18" x14ac:dyDescent="0.25">
      <c r="A9" s="13" t="s">
        <v>107</v>
      </c>
      <c r="B9" s="3"/>
      <c r="C9" s="37"/>
      <c r="D9" s="38"/>
      <c r="E9" s="38"/>
      <c r="F9" s="39"/>
      <c r="G9" s="3"/>
      <c r="H9" s="3"/>
      <c r="I9" s="3"/>
      <c r="L9" t="s">
        <v>132</v>
      </c>
      <c r="M9" s="23" t="s">
        <v>19</v>
      </c>
      <c r="N9" s="24"/>
      <c r="O9" s="24"/>
      <c r="P9" s="25"/>
    </row>
    <row r="10" spans="1:18" x14ac:dyDescent="0.25">
      <c r="A10" s="13" t="s">
        <v>107</v>
      </c>
      <c r="B10" s="3"/>
      <c r="C10" s="37" t="s">
        <v>114</v>
      </c>
      <c r="D10" s="38"/>
      <c r="E10" s="38" t="s">
        <v>108</v>
      </c>
      <c r="F10" s="39">
        <v>9</v>
      </c>
      <c r="G10" s="3"/>
      <c r="H10" s="3"/>
      <c r="I10" s="3"/>
      <c r="L10" t="s">
        <v>131</v>
      </c>
      <c r="M10" s="23" t="s">
        <v>20</v>
      </c>
      <c r="N10" s="24"/>
      <c r="O10" s="24"/>
      <c r="P10" s="25"/>
    </row>
    <row r="11" spans="1:18" x14ac:dyDescent="0.25">
      <c r="A11" s="13" t="s">
        <v>107</v>
      </c>
      <c r="B11" s="3"/>
      <c r="C11" s="37"/>
      <c r="D11" s="38"/>
      <c r="E11" s="38" t="s">
        <v>109</v>
      </c>
      <c r="F11" s="39">
        <v>45</v>
      </c>
      <c r="H11" s="3"/>
      <c r="I11" s="3"/>
      <c r="M11" s="23" t="s">
        <v>21</v>
      </c>
      <c r="N11" s="24"/>
      <c r="O11" s="24"/>
      <c r="P11" s="25"/>
    </row>
    <row r="12" spans="1:18" x14ac:dyDescent="0.25">
      <c r="A12" s="13" t="s">
        <v>107</v>
      </c>
      <c r="C12" s="37" t="s">
        <v>103</v>
      </c>
      <c r="D12" s="38"/>
      <c r="E12" s="38"/>
      <c r="F12" s="39">
        <v>1035</v>
      </c>
      <c r="H12" s="3"/>
      <c r="I12" s="3"/>
      <c r="M12" s="23" t="s">
        <v>22</v>
      </c>
      <c r="N12" s="24"/>
      <c r="O12" s="24"/>
      <c r="P12" s="25"/>
    </row>
    <row r="13" spans="1:18" x14ac:dyDescent="0.25">
      <c r="A13" s="13" t="s">
        <v>107</v>
      </c>
      <c r="C13" s="40" t="s">
        <v>115</v>
      </c>
      <c r="D13" s="38"/>
      <c r="E13" s="38"/>
      <c r="F13" s="39"/>
      <c r="H13" s="3"/>
      <c r="I13" s="3"/>
      <c r="M13" s="23" t="s">
        <v>23</v>
      </c>
      <c r="N13" s="24"/>
      <c r="O13" s="24"/>
      <c r="P13" s="25"/>
    </row>
    <row r="14" spans="1:18" x14ac:dyDescent="0.25">
      <c r="A14" s="13" t="s">
        <v>107</v>
      </c>
      <c r="C14" s="37" t="s">
        <v>113</v>
      </c>
      <c r="D14" s="38"/>
      <c r="E14" s="38"/>
      <c r="F14" s="39"/>
      <c r="H14" s="3"/>
      <c r="I14" s="3"/>
      <c r="M14" s="23" t="s">
        <v>24</v>
      </c>
      <c r="N14" s="24"/>
      <c r="O14" s="24"/>
      <c r="P14" s="25"/>
    </row>
    <row r="15" spans="1:18" ht="17.25" thickBot="1" x14ac:dyDescent="0.3">
      <c r="A15" s="13" t="s">
        <v>107</v>
      </c>
      <c r="C15" s="26"/>
      <c r="D15" s="27"/>
      <c r="E15" s="27"/>
      <c r="F15" s="28"/>
      <c r="H15" s="3"/>
      <c r="I15" s="3"/>
      <c r="M15" s="26"/>
      <c r="N15" s="27"/>
      <c r="O15" s="27"/>
      <c r="P15" s="28"/>
    </row>
    <row r="16" spans="1:18" x14ac:dyDescent="0.25">
      <c r="A16" s="13" t="s">
        <v>107</v>
      </c>
      <c r="H16" s="3"/>
      <c r="I16" s="3"/>
    </row>
    <row r="17" spans="1:9" x14ac:dyDescent="0.25">
      <c r="A17" s="13" t="s">
        <v>107</v>
      </c>
      <c r="H17" s="3"/>
      <c r="I17" s="3"/>
    </row>
    <row r="18" spans="1:9" x14ac:dyDescent="0.25">
      <c r="A18" s="13" t="s">
        <v>107</v>
      </c>
      <c r="H18" s="3"/>
      <c r="I18" s="3"/>
    </row>
    <row r="19" spans="1:9" x14ac:dyDescent="0.25">
      <c r="A19" s="13" t="s">
        <v>107</v>
      </c>
      <c r="G19" s="3"/>
      <c r="H19" s="3"/>
      <c r="I19" s="3"/>
    </row>
    <row r="20" spans="1:9" x14ac:dyDescent="0.25">
      <c r="A20" s="13" t="s">
        <v>107</v>
      </c>
    </row>
    <row r="21" spans="1:9" x14ac:dyDescent="0.25">
      <c r="A21" s="13" t="s">
        <v>107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階層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TN_加1">
                <anchor moveWithCells="1" sizeWithCells="1">
                  <from>
                    <xdr:col>3</xdr:col>
                    <xdr:colOff>9525</xdr:colOff>
                    <xdr:row>4</xdr:row>
                    <xdr:rowOff>209550</xdr:rowOff>
                  </from>
                  <to>
                    <xdr:col>4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TN_Compare">
                <anchor moveWithCells="1" sizeWithCells="1">
                  <from>
                    <xdr:col>3</xdr:col>
                    <xdr:colOff>9525</xdr:colOff>
                    <xdr:row>6</xdr:row>
                    <xdr:rowOff>200025</xdr:rowOff>
                  </from>
                  <to>
                    <xdr:col>4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8" tint="0.39997558519241921"/>
  </sheetPr>
  <dimension ref="A1:N737"/>
  <sheetViews>
    <sheetView workbookViewId="0">
      <selection activeCell="F17" sqref="F17"/>
    </sheetView>
  </sheetViews>
  <sheetFormatPr defaultRowHeight="16.5" x14ac:dyDescent="0.25"/>
  <cols>
    <col min="1" max="1" width="10.25" style="13" bestFit="1" customWidth="1"/>
    <col min="2" max="2" width="10.5" style="13" bestFit="1" customWidth="1"/>
    <col min="3" max="3" width="10" style="13" bestFit="1" customWidth="1"/>
    <col min="4" max="4" width="12.25" style="13" bestFit="1" customWidth="1"/>
    <col min="5" max="5" width="9" style="13"/>
    <col min="6" max="6" width="10.75" style="13" customWidth="1"/>
    <col min="7" max="9" width="9" style="13"/>
    <col min="10" max="10" width="13" style="13" customWidth="1"/>
    <col min="11" max="11" width="13.125" style="13" customWidth="1"/>
    <col min="12" max="12" width="13.375" style="13" customWidth="1"/>
    <col min="13" max="13" width="11.25" style="13" customWidth="1"/>
    <col min="14" max="14" width="12.375" style="13" customWidth="1"/>
    <col min="15" max="16384" width="9" style="13"/>
  </cols>
  <sheetData>
    <row r="1" spans="1:14" s="14" customFormat="1" x14ac:dyDescent="0.25">
      <c r="A1" s="18" t="s">
        <v>26</v>
      </c>
      <c r="B1" s="18" t="s">
        <v>1</v>
      </c>
      <c r="C1" s="18" t="s">
        <v>89</v>
      </c>
      <c r="D1" s="18" t="s">
        <v>27</v>
      </c>
      <c r="J1" s="14" t="s">
        <v>90</v>
      </c>
      <c r="K1" s="14" t="s">
        <v>91</v>
      </c>
      <c r="L1" s="14" t="s">
        <v>92</v>
      </c>
      <c r="M1" s="14" t="s">
        <v>93</v>
      </c>
      <c r="N1" s="14" t="s">
        <v>94</v>
      </c>
    </row>
    <row r="2" spans="1:14" x14ac:dyDescent="0.25">
      <c r="A2" s="15" t="s">
        <v>34</v>
      </c>
      <c r="B2" s="16">
        <v>41641</v>
      </c>
      <c r="C2" s="17">
        <v>0.37380000000000002</v>
      </c>
      <c r="D2" s="17">
        <v>-0.95240000000000002</v>
      </c>
      <c r="G2" s="13" t="s">
        <v>95</v>
      </c>
      <c r="H2" s="13" t="s">
        <v>96</v>
      </c>
      <c r="J2" s="13">
        <v>1</v>
      </c>
      <c r="K2" s="13">
        <v>0</v>
      </c>
      <c r="L2" s="33">
        <f>J2^2*G$4^2+K2^2*H$4^2+2*J2*K2*G11</f>
        <v>1.6920139967119567</v>
      </c>
      <c r="M2" s="33">
        <f t="shared" ref="M2:M12" si="0">N2^(1/2)</f>
        <v>0.23637893307145633</v>
      </c>
      <c r="N2" s="33">
        <f t="shared" ref="N2:N12" si="1">J2*G$3+K2*H$3</f>
        <v>5.5875000000000029E-2</v>
      </c>
    </row>
    <row r="3" spans="1:14" x14ac:dyDescent="0.25">
      <c r="A3" s="15" t="s">
        <v>34</v>
      </c>
      <c r="B3" s="16">
        <v>41642</v>
      </c>
      <c r="C3" s="17">
        <v>-1.2516</v>
      </c>
      <c r="D3" s="17">
        <v>-1.9323999999999999</v>
      </c>
      <c r="F3" s="13" t="s">
        <v>97</v>
      </c>
      <c r="G3" s="13">
        <f>AVERAGE(C2:C737)</f>
        <v>5.5875000000000029E-2</v>
      </c>
      <c r="H3" s="13">
        <f>AVERAGE(D2:D737)</f>
        <v>8.6244157608695721E-2</v>
      </c>
      <c r="J3" s="13">
        <v>0.9</v>
      </c>
      <c r="K3" s="13">
        <v>0.1</v>
      </c>
      <c r="L3" s="33">
        <f t="shared" ref="L3:L12" si="2">J3^2*G$4^2+K3^2*H$4^2+2*J3*K3*G12</f>
        <v>1.3919229787917784</v>
      </c>
      <c r="M3" s="33">
        <f t="shared" si="0"/>
        <v>0.24271776976741855</v>
      </c>
      <c r="N3" s="33">
        <f t="shared" si="1"/>
        <v>5.8911915760869599E-2</v>
      </c>
    </row>
    <row r="4" spans="1:14" x14ac:dyDescent="0.25">
      <c r="A4" s="15" t="s">
        <v>34</v>
      </c>
      <c r="B4" s="16">
        <v>41645</v>
      </c>
      <c r="C4" s="17">
        <v>-0.50509999999999999</v>
      </c>
      <c r="D4" s="17">
        <v>0</v>
      </c>
      <c r="F4" s="13" t="s">
        <v>98</v>
      </c>
      <c r="G4" s="13">
        <f>_xlfn.STDEV.P(C2:C737)</f>
        <v>1.3007743834777639</v>
      </c>
      <c r="H4" s="13">
        <f>_xlfn.STDEV.P(D2:D737)</f>
        <v>1.4625881667473393</v>
      </c>
      <c r="J4" s="13">
        <v>0.8</v>
      </c>
      <c r="K4" s="13">
        <v>0.2</v>
      </c>
      <c r="L4" s="33">
        <f t="shared" si="2"/>
        <v>1.1684555237160261</v>
      </c>
      <c r="M4" s="33">
        <f t="shared" si="0"/>
        <v>0.24889522197450711</v>
      </c>
      <c r="N4" s="33">
        <f t="shared" si="1"/>
        <v>6.1948831521739169E-2</v>
      </c>
    </row>
    <row r="5" spans="1:14" x14ac:dyDescent="0.25">
      <c r="A5" s="15" t="s">
        <v>34</v>
      </c>
      <c r="B5" s="16">
        <v>41646</v>
      </c>
      <c r="C5" s="17">
        <v>0</v>
      </c>
      <c r="D5" s="17">
        <v>-0.48899999999999999</v>
      </c>
      <c r="F5" s="13" t="s">
        <v>99</v>
      </c>
      <c r="G5" s="66">
        <f>G11/(G4*H4)</f>
        <v>0.51097610522378056</v>
      </c>
      <c r="H5" s="66"/>
      <c r="J5" s="13">
        <v>0.7</v>
      </c>
      <c r="K5" s="13">
        <v>0.3</v>
      </c>
      <c r="L5" s="33">
        <f t="shared" si="2"/>
        <v>1.0216116314846995</v>
      </c>
      <c r="M5" s="33">
        <f t="shared" si="0"/>
        <v>0.25492302226870117</v>
      </c>
      <c r="N5" s="33">
        <f t="shared" si="1"/>
        <v>6.4985747282608725E-2</v>
      </c>
    </row>
    <row r="6" spans="1:14" x14ac:dyDescent="0.25">
      <c r="A6" s="15" t="s">
        <v>34</v>
      </c>
      <c r="B6" s="16">
        <v>41647</v>
      </c>
      <c r="C6" s="17">
        <v>0.63090000000000002</v>
      </c>
      <c r="D6" s="17">
        <v>1.9418</v>
      </c>
      <c r="J6" s="13">
        <v>0.6</v>
      </c>
      <c r="K6" s="13">
        <v>0.4</v>
      </c>
      <c r="L6" s="33">
        <f t="shared" si="2"/>
        <v>0.95139130209779932</v>
      </c>
      <c r="M6" s="33">
        <f t="shared" si="0"/>
        <v>0.26081154699030928</v>
      </c>
      <c r="N6" s="33">
        <f t="shared" si="1"/>
        <v>6.8022663043478301E-2</v>
      </c>
    </row>
    <row r="7" spans="1:14" x14ac:dyDescent="0.25">
      <c r="A7" s="15" t="s">
        <v>34</v>
      </c>
      <c r="B7" s="16">
        <v>41648</v>
      </c>
      <c r="C7" s="17">
        <v>1.25</v>
      </c>
      <c r="D7" s="17">
        <v>-2.927</v>
      </c>
      <c r="J7" s="13">
        <v>0.5</v>
      </c>
      <c r="K7" s="13">
        <v>0.5</v>
      </c>
      <c r="L7" s="33">
        <f t="shared" si="2"/>
        <v>0.9577945355553249</v>
      </c>
      <c r="M7" s="33">
        <f t="shared" si="0"/>
        <v>0.26657002608010505</v>
      </c>
      <c r="N7" s="33">
        <f t="shared" si="1"/>
        <v>7.1059578804347878E-2</v>
      </c>
    </row>
    <row r="8" spans="1:14" x14ac:dyDescent="0.25">
      <c r="A8" s="15" t="s">
        <v>34</v>
      </c>
      <c r="B8" s="16">
        <v>41649</v>
      </c>
      <c r="C8" s="17">
        <v>0.86580000000000001</v>
      </c>
      <c r="D8" s="17">
        <v>0.98519999999999996</v>
      </c>
      <c r="F8" s="66" t="s">
        <v>100</v>
      </c>
      <c r="G8" s="66"/>
      <c r="H8" s="66"/>
      <c r="J8" s="13">
        <v>0.4</v>
      </c>
      <c r="K8" s="13">
        <v>0.6</v>
      </c>
      <c r="L8" s="33">
        <f t="shared" si="2"/>
        <v>1.0408213318572765</v>
      </c>
      <c r="M8" s="33">
        <f t="shared" si="0"/>
        <v>0.27220671293195076</v>
      </c>
      <c r="N8" s="33">
        <f t="shared" si="1"/>
        <v>7.4096494565217441E-2</v>
      </c>
    </row>
    <row r="9" spans="1:14" x14ac:dyDescent="0.25">
      <c r="A9" s="15" t="s">
        <v>34</v>
      </c>
      <c r="B9" s="16">
        <v>41652</v>
      </c>
      <c r="C9" s="17">
        <v>0.73619999999999997</v>
      </c>
      <c r="D9" s="17">
        <v>0.97560000000000002</v>
      </c>
      <c r="G9" s="13" t="s">
        <v>101</v>
      </c>
      <c r="H9" s="13" t="s">
        <v>102</v>
      </c>
      <c r="J9" s="13">
        <v>0.3</v>
      </c>
      <c r="K9" s="13">
        <v>0.7</v>
      </c>
      <c r="L9" s="33">
        <f t="shared" si="2"/>
        <v>1.2004716910036539</v>
      </c>
      <c r="M9" s="33">
        <f t="shared" si="0"/>
        <v>0.27772902319722909</v>
      </c>
      <c r="N9" s="33">
        <f t="shared" si="1"/>
        <v>7.7133410326087004E-2</v>
      </c>
    </row>
    <row r="10" spans="1:14" x14ac:dyDescent="0.25">
      <c r="A10" s="15" t="s">
        <v>34</v>
      </c>
      <c r="B10" s="16">
        <v>41653</v>
      </c>
      <c r="C10" s="17">
        <v>0.60940000000000005</v>
      </c>
      <c r="D10" s="17">
        <v>0.48430000000000001</v>
      </c>
      <c r="F10" s="13" t="s">
        <v>101</v>
      </c>
      <c r="G10" s="13">
        <f>COVAR(C2:C737,C2:C737)</f>
        <v>1.6920139967119561</v>
      </c>
      <c r="H10" s="13">
        <f>COVAR(C2:C737,D2:D737)</f>
        <v>0.97213062012567963</v>
      </c>
      <c r="J10" s="13">
        <v>0.2</v>
      </c>
      <c r="K10" s="13">
        <v>0.8</v>
      </c>
      <c r="L10" s="33">
        <f t="shared" si="2"/>
        <v>1.4367456129944578</v>
      </c>
      <c r="M10" s="33">
        <f t="shared" si="0"/>
        <v>0.28314364920823598</v>
      </c>
      <c r="N10" s="33">
        <f t="shared" si="1"/>
        <v>8.0170326086956581E-2</v>
      </c>
    </row>
    <row r="11" spans="1:14" x14ac:dyDescent="0.25">
      <c r="A11" s="15" t="s">
        <v>34</v>
      </c>
      <c r="B11" s="16">
        <v>41654</v>
      </c>
      <c r="C11" s="17">
        <v>1.2077</v>
      </c>
      <c r="D11" s="17">
        <v>1.4389000000000001</v>
      </c>
      <c r="F11" s="13" t="s">
        <v>102</v>
      </c>
      <c r="G11" s="13">
        <f>COVAR(D2:D737,C2:C737)</f>
        <v>0.97213062012567963</v>
      </c>
      <c r="H11" s="13">
        <f>COVAR(D2:D737,D2:D737)</f>
        <v>2.1391641455093464</v>
      </c>
      <c r="J11" s="13">
        <v>0.1</v>
      </c>
      <c r="K11" s="13">
        <v>0.9</v>
      </c>
      <c r="L11" s="33">
        <f t="shared" si="2"/>
        <v>1.7496430978296873</v>
      </c>
      <c r="M11" s="33">
        <f t="shared" si="0"/>
        <v>0.2884566550589987</v>
      </c>
      <c r="N11" s="33">
        <f t="shared" si="1"/>
        <v>8.3207241847826158E-2</v>
      </c>
    </row>
    <row r="12" spans="1:14" x14ac:dyDescent="0.25">
      <c r="A12" s="15" t="s">
        <v>34</v>
      </c>
      <c r="B12" s="16">
        <v>41655</v>
      </c>
      <c r="C12" s="17">
        <v>0.7177</v>
      </c>
      <c r="D12" s="17">
        <v>1.8868</v>
      </c>
      <c r="J12" s="13">
        <v>0</v>
      </c>
      <c r="K12" s="13">
        <v>1</v>
      </c>
      <c r="L12" s="33">
        <f t="shared" si="2"/>
        <v>2.1391641455093429</v>
      </c>
      <c r="M12" s="33">
        <f t="shared" si="0"/>
        <v>0.29367355619581365</v>
      </c>
      <c r="N12" s="33">
        <f t="shared" si="1"/>
        <v>8.6244157608695721E-2</v>
      </c>
    </row>
    <row r="13" spans="1:14" x14ac:dyDescent="0.25">
      <c r="A13" s="15" t="s">
        <v>34</v>
      </c>
      <c r="B13" s="16">
        <v>41656</v>
      </c>
      <c r="C13" s="17">
        <v>-0.1193</v>
      </c>
      <c r="D13" s="17">
        <v>0.4662</v>
      </c>
    </row>
    <row r="14" spans="1:14" x14ac:dyDescent="0.25">
      <c r="A14" s="15" t="s">
        <v>34</v>
      </c>
      <c r="B14" s="16">
        <v>41659</v>
      </c>
      <c r="C14" s="17">
        <v>1.6568000000000001</v>
      </c>
      <c r="D14" s="17">
        <v>0</v>
      </c>
    </row>
    <row r="15" spans="1:14" x14ac:dyDescent="0.25">
      <c r="A15" s="15" t="s">
        <v>34</v>
      </c>
      <c r="B15" s="16">
        <v>41660</v>
      </c>
      <c r="C15" s="17">
        <v>-0.82499999999999996</v>
      </c>
      <c r="D15" s="17">
        <v>-0.93459999999999999</v>
      </c>
    </row>
    <row r="16" spans="1:14" x14ac:dyDescent="0.25">
      <c r="A16" s="15" t="s">
        <v>34</v>
      </c>
      <c r="B16" s="16">
        <v>41661</v>
      </c>
      <c r="C16" s="17">
        <v>-0.35570000000000002</v>
      </c>
      <c r="D16" s="17">
        <v>0.93459999999999999</v>
      </c>
    </row>
    <row r="17" spans="1:4" x14ac:dyDescent="0.25">
      <c r="A17" s="15" t="s">
        <v>34</v>
      </c>
      <c r="B17" s="16">
        <v>41662</v>
      </c>
      <c r="C17" s="17">
        <v>-0.3569</v>
      </c>
      <c r="D17" s="17">
        <v>0</v>
      </c>
    </row>
    <row r="18" spans="1:4" x14ac:dyDescent="0.25">
      <c r="A18" s="15" t="s">
        <v>34</v>
      </c>
      <c r="B18" s="16">
        <v>41663</v>
      </c>
      <c r="C18" s="17">
        <v>1.3026</v>
      </c>
      <c r="D18" s="17">
        <v>0.46400000000000002</v>
      </c>
    </row>
    <row r="19" spans="1:4" x14ac:dyDescent="0.25">
      <c r="A19" s="15" t="s">
        <v>34</v>
      </c>
      <c r="B19" s="16">
        <v>41666</v>
      </c>
      <c r="C19" s="17">
        <v>-0.1177</v>
      </c>
      <c r="D19" s="17">
        <v>-2.8170999999999999</v>
      </c>
    </row>
    <row r="20" spans="1:4" x14ac:dyDescent="0.25">
      <c r="A20" s="15" t="s">
        <v>34</v>
      </c>
      <c r="B20" s="16">
        <v>41675</v>
      </c>
      <c r="C20" s="17">
        <v>-4.3327999999999998</v>
      </c>
      <c r="D20" s="17">
        <v>-4.3803000000000001</v>
      </c>
    </row>
    <row r="21" spans="1:4" x14ac:dyDescent="0.25">
      <c r="A21" s="15" t="s">
        <v>34</v>
      </c>
      <c r="B21" s="16">
        <v>41676</v>
      </c>
      <c r="C21" s="17">
        <v>0.73529999999999995</v>
      </c>
      <c r="D21" s="17">
        <v>1.4815</v>
      </c>
    </row>
    <row r="22" spans="1:4" x14ac:dyDescent="0.25">
      <c r="A22" s="15" t="s">
        <v>34</v>
      </c>
      <c r="B22" s="16">
        <v>41677</v>
      </c>
      <c r="C22" s="17">
        <v>-0.61240000000000006</v>
      </c>
      <c r="D22" s="17">
        <v>1.9418</v>
      </c>
    </row>
    <row r="23" spans="1:4" x14ac:dyDescent="0.25">
      <c r="A23" s="15" t="s">
        <v>34</v>
      </c>
      <c r="B23" s="16">
        <v>41680</v>
      </c>
      <c r="C23" s="17">
        <v>0.3679</v>
      </c>
      <c r="D23" s="17">
        <v>-0.96619999999999995</v>
      </c>
    </row>
    <row r="24" spans="1:4" x14ac:dyDescent="0.25">
      <c r="A24" s="15" t="s">
        <v>34</v>
      </c>
      <c r="B24" s="16">
        <v>41681</v>
      </c>
      <c r="C24" s="17">
        <v>-1.6040000000000001</v>
      </c>
      <c r="D24" s="17">
        <v>1.4458</v>
      </c>
    </row>
    <row r="25" spans="1:4" x14ac:dyDescent="0.25">
      <c r="A25" s="15" t="s">
        <v>34</v>
      </c>
      <c r="B25" s="16">
        <v>41682</v>
      </c>
      <c r="C25" s="17">
        <v>2.3357000000000001</v>
      </c>
      <c r="D25" s="17">
        <v>0.4773</v>
      </c>
    </row>
    <row r="26" spans="1:4" x14ac:dyDescent="0.25">
      <c r="A26" s="15" t="s">
        <v>34</v>
      </c>
      <c r="B26" s="16">
        <v>41683</v>
      </c>
      <c r="C26" s="17">
        <v>0.48480000000000001</v>
      </c>
      <c r="D26" s="17">
        <v>0</v>
      </c>
    </row>
    <row r="27" spans="1:4" x14ac:dyDescent="0.25">
      <c r="A27" s="15" t="s">
        <v>34</v>
      </c>
      <c r="B27" s="16">
        <v>41684</v>
      </c>
      <c r="C27" s="17">
        <v>0.9627</v>
      </c>
      <c r="D27" s="17">
        <v>2.3530000000000002</v>
      </c>
    </row>
    <row r="28" spans="1:4" x14ac:dyDescent="0.25">
      <c r="A28" s="15" t="s">
        <v>34</v>
      </c>
      <c r="B28" s="16">
        <v>41687</v>
      </c>
      <c r="C28" s="17">
        <v>0</v>
      </c>
      <c r="D28" s="17">
        <v>0.92589999999999995</v>
      </c>
    </row>
    <row r="29" spans="1:4" x14ac:dyDescent="0.25">
      <c r="A29" s="15" t="s">
        <v>34</v>
      </c>
      <c r="B29" s="16">
        <v>41688</v>
      </c>
      <c r="C29" s="17">
        <v>0.35859999999999997</v>
      </c>
      <c r="D29" s="17">
        <v>-0.46189999999999998</v>
      </c>
    </row>
    <row r="30" spans="1:4" x14ac:dyDescent="0.25">
      <c r="A30" s="15" t="s">
        <v>34</v>
      </c>
      <c r="B30" s="16">
        <v>41689</v>
      </c>
      <c r="C30" s="17">
        <v>0.2384</v>
      </c>
      <c r="D30" s="17">
        <v>0</v>
      </c>
    </row>
    <row r="31" spans="1:4" x14ac:dyDescent="0.25">
      <c r="A31" s="15" t="s">
        <v>34</v>
      </c>
      <c r="B31" s="16">
        <v>41690</v>
      </c>
      <c r="C31" s="17">
        <v>-1.4389000000000001</v>
      </c>
      <c r="D31" s="17">
        <v>-1.3986000000000001</v>
      </c>
    </row>
    <row r="32" spans="1:4" x14ac:dyDescent="0.25">
      <c r="A32" s="15" t="s">
        <v>34</v>
      </c>
      <c r="B32" s="16">
        <v>41691</v>
      </c>
      <c r="C32" s="17">
        <v>1.0810999999999999</v>
      </c>
      <c r="D32" s="17">
        <v>0.93459999999999999</v>
      </c>
    </row>
    <row r="33" spans="1:4" x14ac:dyDescent="0.25">
      <c r="A33" s="15" t="s">
        <v>34</v>
      </c>
      <c r="B33" s="16">
        <v>41694</v>
      </c>
      <c r="C33" s="17">
        <v>-1.2019</v>
      </c>
      <c r="D33" s="17">
        <v>-0.4662</v>
      </c>
    </row>
    <row r="34" spans="1:4" x14ac:dyDescent="0.25">
      <c r="A34" s="15" t="s">
        <v>34</v>
      </c>
      <c r="B34" s="16">
        <v>41695</v>
      </c>
      <c r="C34" s="17">
        <v>0.1208</v>
      </c>
      <c r="D34" s="17">
        <v>0.93020000000000003</v>
      </c>
    </row>
    <row r="35" spans="1:4" x14ac:dyDescent="0.25">
      <c r="A35" s="15" t="s">
        <v>34</v>
      </c>
      <c r="B35" s="16">
        <v>41696</v>
      </c>
      <c r="C35" s="17">
        <v>0.96150000000000002</v>
      </c>
      <c r="D35" s="17">
        <v>-0.46400000000000002</v>
      </c>
    </row>
    <row r="36" spans="1:4" x14ac:dyDescent="0.25">
      <c r="A36" s="15" t="s">
        <v>34</v>
      </c>
      <c r="B36" s="16">
        <v>41697</v>
      </c>
      <c r="C36" s="17">
        <v>0.4773</v>
      </c>
      <c r="D36" s="17">
        <v>0.46400000000000002</v>
      </c>
    </row>
    <row r="37" spans="1:4" x14ac:dyDescent="0.25">
      <c r="A37" s="15" t="s">
        <v>34</v>
      </c>
      <c r="B37" s="16">
        <v>41701</v>
      </c>
      <c r="C37" s="17">
        <v>-1.0771999999999999</v>
      </c>
      <c r="D37" s="17">
        <v>0</v>
      </c>
    </row>
    <row r="38" spans="1:4" x14ac:dyDescent="0.25">
      <c r="A38" s="15" t="s">
        <v>34</v>
      </c>
      <c r="B38" s="16">
        <v>41702</v>
      </c>
      <c r="C38" s="17">
        <v>-0.36170000000000002</v>
      </c>
      <c r="D38" s="17">
        <v>-0.46400000000000002</v>
      </c>
    </row>
    <row r="39" spans="1:4" x14ac:dyDescent="0.25">
      <c r="A39" s="15" t="s">
        <v>34</v>
      </c>
      <c r="B39" s="16">
        <v>41703</v>
      </c>
      <c r="C39" s="17">
        <v>0.24129999999999999</v>
      </c>
      <c r="D39" s="17">
        <v>2.2989999999999999</v>
      </c>
    </row>
    <row r="40" spans="1:4" x14ac:dyDescent="0.25">
      <c r="A40" s="15" t="s">
        <v>34</v>
      </c>
      <c r="B40" s="16">
        <v>41704</v>
      </c>
      <c r="C40" s="17">
        <v>1.6727000000000001</v>
      </c>
      <c r="D40" s="17">
        <v>2.6907000000000001</v>
      </c>
    </row>
    <row r="41" spans="1:4" x14ac:dyDescent="0.25">
      <c r="A41" s="15" t="s">
        <v>34</v>
      </c>
      <c r="B41" s="16">
        <v>41705</v>
      </c>
      <c r="C41" s="17">
        <v>0.3548</v>
      </c>
      <c r="D41" s="17">
        <v>1.3187</v>
      </c>
    </row>
    <row r="42" spans="1:4" x14ac:dyDescent="0.25">
      <c r="A42" s="15" t="s">
        <v>34</v>
      </c>
      <c r="B42" s="16">
        <v>41708</v>
      </c>
      <c r="C42" s="17">
        <v>-0.1181</v>
      </c>
      <c r="D42" s="17">
        <v>-1.3187</v>
      </c>
    </row>
    <row r="43" spans="1:4" x14ac:dyDescent="0.25">
      <c r="A43" s="15" t="s">
        <v>34</v>
      </c>
      <c r="B43" s="16">
        <v>41709</v>
      </c>
      <c r="C43" s="17">
        <v>-0.47389999999999999</v>
      </c>
      <c r="D43" s="17">
        <v>0.88109999999999999</v>
      </c>
    </row>
    <row r="44" spans="1:4" x14ac:dyDescent="0.25">
      <c r="A44" s="15" t="s">
        <v>34</v>
      </c>
      <c r="B44" s="16">
        <v>41710</v>
      </c>
      <c r="C44" s="17">
        <v>0.59209999999999996</v>
      </c>
      <c r="D44" s="17">
        <v>-0.88109999999999999</v>
      </c>
    </row>
    <row r="45" spans="1:4" x14ac:dyDescent="0.25">
      <c r="A45" s="15" t="s">
        <v>34</v>
      </c>
      <c r="B45" s="16">
        <v>41711</v>
      </c>
      <c r="C45" s="17">
        <v>1.6394</v>
      </c>
      <c r="D45" s="17">
        <v>3.0503</v>
      </c>
    </row>
    <row r="46" spans="1:4" x14ac:dyDescent="0.25">
      <c r="A46" s="15" t="s">
        <v>34</v>
      </c>
      <c r="B46" s="16">
        <v>41712</v>
      </c>
      <c r="C46" s="17">
        <v>-0.69930000000000003</v>
      </c>
      <c r="D46" s="17">
        <v>-1.2959000000000001</v>
      </c>
    </row>
    <row r="47" spans="1:4" x14ac:dyDescent="0.25">
      <c r="A47" s="15" t="s">
        <v>34</v>
      </c>
      <c r="B47" s="16">
        <v>41715</v>
      </c>
      <c r="C47" s="17">
        <v>1.3937999999999999</v>
      </c>
      <c r="D47" s="17">
        <v>-0.87339999999999995</v>
      </c>
    </row>
    <row r="48" spans="1:4" x14ac:dyDescent="0.25">
      <c r="A48" s="15" t="s">
        <v>34</v>
      </c>
      <c r="B48" s="16">
        <v>41716</v>
      </c>
      <c r="C48" s="17">
        <v>-0.81069999999999998</v>
      </c>
      <c r="D48" s="17">
        <v>0.43759999999999999</v>
      </c>
    </row>
    <row r="49" spans="1:4" x14ac:dyDescent="0.25">
      <c r="A49" s="15" t="s">
        <v>34</v>
      </c>
      <c r="B49" s="16">
        <v>41717</v>
      </c>
      <c r="C49" s="17">
        <v>-0.81730000000000003</v>
      </c>
      <c r="D49" s="17">
        <v>0</v>
      </c>
    </row>
    <row r="50" spans="1:4" x14ac:dyDescent="0.25">
      <c r="A50" s="15" t="s">
        <v>34</v>
      </c>
      <c r="B50" s="16">
        <v>41718</v>
      </c>
      <c r="C50" s="17">
        <v>-1.0607</v>
      </c>
      <c r="D50" s="17">
        <v>-2.2075999999999998</v>
      </c>
    </row>
    <row r="51" spans="1:4" x14ac:dyDescent="0.25">
      <c r="A51" s="15" t="s">
        <v>34</v>
      </c>
      <c r="B51" s="16">
        <v>41719</v>
      </c>
      <c r="C51" s="17">
        <v>0.3548</v>
      </c>
      <c r="D51" s="17">
        <v>0.44540000000000002</v>
      </c>
    </row>
    <row r="52" spans="1:4" x14ac:dyDescent="0.25">
      <c r="A52" s="15" t="s">
        <v>34</v>
      </c>
      <c r="B52" s="16">
        <v>41722</v>
      </c>
      <c r="C52" s="17">
        <v>1.5232000000000001</v>
      </c>
      <c r="D52" s="17">
        <v>0</v>
      </c>
    </row>
    <row r="53" spans="1:4" x14ac:dyDescent="0.25">
      <c r="A53" s="15" t="s">
        <v>34</v>
      </c>
      <c r="B53" s="16">
        <v>41723</v>
      </c>
      <c r="C53" s="17">
        <v>-0.34939999999999999</v>
      </c>
      <c r="D53" s="17">
        <v>0.88500000000000001</v>
      </c>
    </row>
    <row r="54" spans="1:4" x14ac:dyDescent="0.25">
      <c r="A54" s="15" t="s">
        <v>34</v>
      </c>
      <c r="B54" s="16">
        <v>41724</v>
      </c>
      <c r="C54" s="17">
        <v>0.34939999999999999</v>
      </c>
      <c r="D54" s="17">
        <v>1.7467999999999999</v>
      </c>
    </row>
    <row r="55" spans="1:4" x14ac:dyDescent="0.25">
      <c r="A55" s="15" t="s">
        <v>34</v>
      </c>
      <c r="B55" s="16">
        <v>41725</v>
      </c>
      <c r="C55" s="17">
        <v>0.34820000000000001</v>
      </c>
      <c r="D55" s="17">
        <v>0.432</v>
      </c>
    </row>
    <row r="56" spans="1:4" x14ac:dyDescent="0.25">
      <c r="A56" s="15" t="s">
        <v>34</v>
      </c>
      <c r="B56" s="16">
        <v>41726</v>
      </c>
      <c r="C56" s="17">
        <v>0</v>
      </c>
      <c r="D56" s="17">
        <v>1.2847999999999999</v>
      </c>
    </row>
    <row r="57" spans="1:4" x14ac:dyDescent="0.25">
      <c r="A57" s="15" t="s">
        <v>34</v>
      </c>
      <c r="B57" s="16">
        <v>41729</v>
      </c>
      <c r="C57" s="17">
        <v>0</v>
      </c>
      <c r="D57" s="17">
        <v>0.84750000000000003</v>
      </c>
    </row>
    <row r="58" spans="1:4" x14ac:dyDescent="0.25">
      <c r="A58" s="15" t="s">
        <v>34</v>
      </c>
      <c r="B58" s="16">
        <v>41730</v>
      </c>
      <c r="C58" s="17">
        <v>-0.1159</v>
      </c>
      <c r="D58" s="17">
        <v>0.84030000000000005</v>
      </c>
    </row>
    <row r="59" spans="1:4" x14ac:dyDescent="0.25">
      <c r="A59" s="15" t="s">
        <v>34</v>
      </c>
      <c r="B59" s="16">
        <v>41731</v>
      </c>
      <c r="C59" s="17">
        <v>0</v>
      </c>
      <c r="D59" s="17">
        <v>0.41749999999999998</v>
      </c>
    </row>
    <row r="60" spans="1:4" x14ac:dyDescent="0.25">
      <c r="A60" s="15" t="s">
        <v>34</v>
      </c>
      <c r="B60" s="16">
        <v>41732</v>
      </c>
      <c r="C60" s="17">
        <v>0</v>
      </c>
      <c r="D60" s="17">
        <v>-1.2579</v>
      </c>
    </row>
    <row r="61" spans="1:4" x14ac:dyDescent="0.25">
      <c r="A61" s="15" t="s">
        <v>34</v>
      </c>
      <c r="B61" s="16">
        <v>41736</v>
      </c>
      <c r="C61" s="17">
        <v>0.1159</v>
      </c>
      <c r="D61" s="17">
        <v>-0.84750000000000003</v>
      </c>
    </row>
    <row r="62" spans="1:4" x14ac:dyDescent="0.25">
      <c r="A62" s="15" t="s">
        <v>34</v>
      </c>
      <c r="B62" s="16">
        <v>41737</v>
      </c>
      <c r="C62" s="17">
        <v>0.1158</v>
      </c>
      <c r="D62" s="17">
        <v>1.2685</v>
      </c>
    </row>
    <row r="63" spans="1:4" x14ac:dyDescent="0.25">
      <c r="A63" s="15" t="s">
        <v>34</v>
      </c>
      <c r="B63" s="16">
        <v>41738</v>
      </c>
      <c r="C63" s="17">
        <v>0.1157</v>
      </c>
      <c r="D63" s="17">
        <v>0</v>
      </c>
    </row>
    <row r="64" spans="1:4" x14ac:dyDescent="0.25">
      <c r="A64" s="15" t="s">
        <v>34</v>
      </c>
      <c r="B64" s="16">
        <v>41739</v>
      </c>
      <c r="C64" s="17">
        <v>0.34620000000000001</v>
      </c>
      <c r="D64" s="17">
        <v>0.41930000000000001</v>
      </c>
    </row>
    <row r="65" spans="1:4" x14ac:dyDescent="0.25">
      <c r="A65" s="15" t="s">
        <v>34</v>
      </c>
      <c r="B65" s="16">
        <v>41740</v>
      </c>
      <c r="C65" s="17">
        <v>-0.80969999999999998</v>
      </c>
      <c r="D65" s="17">
        <v>0.41749999999999998</v>
      </c>
    </row>
    <row r="66" spans="1:4" x14ac:dyDescent="0.25">
      <c r="A66" s="15" t="s">
        <v>34</v>
      </c>
      <c r="B66" s="16">
        <v>41743</v>
      </c>
      <c r="C66" s="17">
        <v>0.57899999999999996</v>
      </c>
      <c r="D66" s="17">
        <v>0.4158</v>
      </c>
    </row>
    <row r="67" spans="1:4" x14ac:dyDescent="0.25">
      <c r="A67" s="15" t="s">
        <v>34</v>
      </c>
      <c r="B67" s="16">
        <v>41744</v>
      </c>
      <c r="C67" s="17">
        <v>0.6905</v>
      </c>
      <c r="D67" s="17">
        <v>1.6460999999999999</v>
      </c>
    </row>
    <row r="68" spans="1:4" x14ac:dyDescent="0.25">
      <c r="A68" s="15" t="s">
        <v>34</v>
      </c>
      <c r="B68" s="16">
        <v>41745</v>
      </c>
      <c r="C68" s="17">
        <v>0.34339999999999998</v>
      </c>
      <c r="D68" s="17">
        <v>-1.232</v>
      </c>
    </row>
    <row r="69" spans="1:4" x14ac:dyDescent="0.25">
      <c r="A69" s="15" t="s">
        <v>34</v>
      </c>
      <c r="B69" s="16">
        <v>41746</v>
      </c>
      <c r="C69" s="17">
        <v>0.45610000000000001</v>
      </c>
      <c r="D69" s="17">
        <v>-0.82989999999999997</v>
      </c>
    </row>
    <row r="70" spans="1:4" x14ac:dyDescent="0.25">
      <c r="A70" s="15" t="s">
        <v>34</v>
      </c>
      <c r="B70" s="16">
        <v>41747</v>
      </c>
      <c r="C70" s="17">
        <v>0.1137</v>
      </c>
      <c r="D70" s="17">
        <v>2.4693000000000001</v>
      </c>
    </row>
    <row r="71" spans="1:4" x14ac:dyDescent="0.25">
      <c r="A71" s="15" t="s">
        <v>34</v>
      </c>
      <c r="B71" s="16">
        <v>41750</v>
      </c>
      <c r="C71" s="17">
        <v>-0.1137</v>
      </c>
      <c r="D71" s="17">
        <v>-1.2270000000000001</v>
      </c>
    </row>
    <row r="72" spans="1:4" x14ac:dyDescent="0.25">
      <c r="A72" s="15" t="s">
        <v>34</v>
      </c>
      <c r="B72" s="16">
        <v>41751</v>
      </c>
      <c r="C72" s="17">
        <v>-0.1138</v>
      </c>
      <c r="D72" s="17">
        <v>0</v>
      </c>
    </row>
    <row r="73" spans="1:4" x14ac:dyDescent="0.25">
      <c r="A73" s="15" t="s">
        <v>34</v>
      </c>
      <c r="B73" s="16">
        <v>41752</v>
      </c>
      <c r="C73" s="17">
        <v>0.90700000000000003</v>
      </c>
      <c r="D73" s="17">
        <v>-0.41239999999999999</v>
      </c>
    </row>
    <row r="74" spans="1:4" x14ac:dyDescent="0.25">
      <c r="A74" s="15" t="s">
        <v>34</v>
      </c>
      <c r="B74" s="16">
        <v>41753</v>
      </c>
      <c r="C74" s="17">
        <v>0</v>
      </c>
      <c r="D74" s="17">
        <v>0</v>
      </c>
    </row>
    <row r="75" spans="1:4" x14ac:dyDescent="0.25">
      <c r="A75" s="15" t="s">
        <v>34</v>
      </c>
      <c r="B75" s="16">
        <v>41754</v>
      </c>
      <c r="C75" s="17">
        <v>-1.8224</v>
      </c>
      <c r="D75" s="17">
        <v>-2.0878000000000001</v>
      </c>
    </row>
    <row r="76" spans="1:4" x14ac:dyDescent="0.25">
      <c r="A76" s="15" t="s">
        <v>34</v>
      </c>
      <c r="B76" s="16">
        <v>41757</v>
      </c>
      <c r="C76" s="17">
        <v>-0.69199999999999995</v>
      </c>
      <c r="D76" s="17">
        <v>0.42109999999999997</v>
      </c>
    </row>
    <row r="77" spans="1:4" x14ac:dyDescent="0.25">
      <c r="A77" s="15" t="s">
        <v>34</v>
      </c>
      <c r="B77" s="16">
        <v>41758</v>
      </c>
      <c r="C77" s="17">
        <v>1.6073999999999999</v>
      </c>
      <c r="D77" s="17">
        <v>1.2525999999999999</v>
      </c>
    </row>
    <row r="78" spans="1:4" x14ac:dyDescent="0.25">
      <c r="A78" s="15" t="s">
        <v>34</v>
      </c>
      <c r="B78" s="16">
        <v>41759</v>
      </c>
      <c r="C78" s="17">
        <v>-1.3762000000000001</v>
      </c>
      <c r="D78" s="17">
        <v>-1.6737</v>
      </c>
    </row>
    <row r="79" spans="1:4" x14ac:dyDescent="0.25">
      <c r="A79" s="15" t="s">
        <v>34</v>
      </c>
      <c r="B79" s="16">
        <v>41761</v>
      </c>
      <c r="C79" s="17">
        <v>2.5087000000000002</v>
      </c>
      <c r="D79" s="17">
        <v>-0.42280000000000001</v>
      </c>
    </row>
    <row r="80" spans="1:4" x14ac:dyDescent="0.25">
      <c r="A80" s="15" t="s">
        <v>34</v>
      </c>
      <c r="B80" s="16">
        <v>41764</v>
      </c>
      <c r="C80" s="17">
        <v>-0.11269999999999999</v>
      </c>
      <c r="D80" s="17">
        <v>-0.85109999999999997</v>
      </c>
    </row>
    <row r="81" spans="1:4" x14ac:dyDescent="0.25">
      <c r="A81" s="15" t="s">
        <v>34</v>
      </c>
      <c r="B81" s="16">
        <v>41765</v>
      </c>
      <c r="C81" s="17">
        <v>0.33760000000000001</v>
      </c>
      <c r="D81" s="17">
        <v>0.85109999999999997</v>
      </c>
    </row>
    <row r="82" spans="1:4" x14ac:dyDescent="0.25">
      <c r="A82" s="15" t="s">
        <v>34</v>
      </c>
      <c r="B82" s="16">
        <v>41766</v>
      </c>
      <c r="C82" s="17">
        <v>-0.22500000000000001</v>
      </c>
      <c r="D82" s="17">
        <v>0.42280000000000001</v>
      </c>
    </row>
    <row r="83" spans="1:4" x14ac:dyDescent="0.25">
      <c r="A83" s="15" t="s">
        <v>34</v>
      </c>
      <c r="B83" s="16">
        <v>41767</v>
      </c>
      <c r="C83" s="17">
        <v>0.33729999999999999</v>
      </c>
      <c r="D83" s="17">
        <v>0.84030000000000005</v>
      </c>
    </row>
    <row r="84" spans="1:4" x14ac:dyDescent="0.25">
      <c r="A84" s="15" t="s">
        <v>34</v>
      </c>
      <c r="B84" s="16">
        <v>41768</v>
      </c>
      <c r="C84" s="17">
        <v>0.33610000000000001</v>
      </c>
      <c r="D84" s="17">
        <v>0.41749999999999998</v>
      </c>
    </row>
    <row r="85" spans="1:4" x14ac:dyDescent="0.25">
      <c r="A85" s="15" t="s">
        <v>34</v>
      </c>
      <c r="B85" s="16">
        <v>41771</v>
      </c>
      <c r="C85" s="17">
        <v>-1.9198999999999999</v>
      </c>
      <c r="D85" s="17">
        <v>-1.2579</v>
      </c>
    </row>
    <row r="86" spans="1:4" x14ac:dyDescent="0.25">
      <c r="A86" s="15" t="s">
        <v>34</v>
      </c>
      <c r="B86" s="16">
        <v>41772</v>
      </c>
      <c r="C86" s="17">
        <v>0.2278</v>
      </c>
      <c r="D86" s="17">
        <v>1.6737</v>
      </c>
    </row>
    <row r="87" spans="1:4" x14ac:dyDescent="0.25">
      <c r="A87" s="15" t="s">
        <v>34</v>
      </c>
      <c r="B87" s="16">
        <v>41773</v>
      </c>
      <c r="C87" s="17">
        <v>0.3407</v>
      </c>
      <c r="D87" s="17">
        <v>1.2371000000000001</v>
      </c>
    </row>
    <row r="88" spans="1:4" x14ac:dyDescent="0.25">
      <c r="A88" s="15" t="s">
        <v>34</v>
      </c>
      <c r="B88" s="16">
        <v>41774</v>
      </c>
      <c r="C88" s="17">
        <v>0.45250000000000001</v>
      </c>
      <c r="D88" s="17">
        <v>0</v>
      </c>
    </row>
    <row r="89" spans="1:4" x14ac:dyDescent="0.25">
      <c r="A89" s="15" t="s">
        <v>34</v>
      </c>
      <c r="B89" s="16">
        <v>41775</v>
      </c>
      <c r="C89" s="17">
        <v>0.22550000000000001</v>
      </c>
      <c r="D89" s="17">
        <v>0</v>
      </c>
    </row>
    <row r="90" spans="1:4" x14ac:dyDescent="0.25">
      <c r="A90" s="15" t="s">
        <v>34</v>
      </c>
      <c r="B90" s="16">
        <v>41778</v>
      </c>
      <c r="C90" s="17">
        <v>1.1197999999999999</v>
      </c>
      <c r="D90" s="17">
        <v>-0.82299999999999995</v>
      </c>
    </row>
    <row r="91" spans="1:4" x14ac:dyDescent="0.25">
      <c r="A91" s="15" t="s">
        <v>34</v>
      </c>
      <c r="B91" s="16">
        <v>41779</v>
      </c>
      <c r="C91" s="17">
        <v>0.88690000000000002</v>
      </c>
      <c r="D91" s="17">
        <v>0</v>
      </c>
    </row>
    <row r="92" spans="1:4" x14ac:dyDescent="0.25">
      <c r="A92" s="15" t="s">
        <v>34</v>
      </c>
      <c r="B92" s="16">
        <v>41780</v>
      </c>
      <c r="C92" s="17">
        <v>-0.66449999999999998</v>
      </c>
      <c r="D92" s="17">
        <v>-0.41410000000000002</v>
      </c>
    </row>
    <row r="93" spans="1:4" x14ac:dyDescent="0.25">
      <c r="A93" s="15" t="s">
        <v>34</v>
      </c>
      <c r="B93" s="16">
        <v>41781</v>
      </c>
      <c r="C93" s="17">
        <v>2.1979000000000002</v>
      </c>
      <c r="D93" s="17">
        <v>1.2371000000000001</v>
      </c>
    </row>
    <row r="94" spans="1:4" x14ac:dyDescent="0.25">
      <c r="A94" s="15" t="s">
        <v>34</v>
      </c>
      <c r="B94" s="16">
        <v>41782</v>
      </c>
      <c r="C94" s="17">
        <v>1.0810999999999999</v>
      </c>
      <c r="D94" s="17">
        <v>0</v>
      </c>
    </row>
    <row r="95" spans="1:4" x14ac:dyDescent="0.25">
      <c r="A95" s="15" t="s">
        <v>34</v>
      </c>
      <c r="B95" s="16">
        <v>41785</v>
      </c>
      <c r="C95" s="17">
        <v>-0.53910000000000002</v>
      </c>
      <c r="D95" s="17">
        <v>0.81630000000000003</v>
      </c>
    </row>
    <row r="96" spans="1:4" x14ac:dyDescent="0.25">
      <c r="A96" s="15" t="s">
        <v>34</v>
      </c>
      <c r="B96" s="16">
        <v>41786</v>
      </c>
      <c r="C96" s="17">
        <v>0.32379999999999998</v>
      </c>
      <c r="D96" s="17">
        <v>0.40570000000000001</v>
      </c>
    </row>
    <row r="97" spans="1:4" x14ac:dyDescent="0.25">
      <c r="A97" s="15" t="s">
        <v>34</v>
      </c>
      <c r="B97" s="16">
        <v>41787</v>
      </c>
      <c r="C97" s="17">
        <v>0.64449999999999996</v>
      </c>
      <c r="D97" s="17">
        <v>0.40400000000000003</v>
      </c>
    </row>
    <row r="98" spans="1:4" x14ac:dyDescent="0.25">
      <c r="A98" s="15" t="s">
        <v>34</v>
      </c>
      <c r="B98" s="16">
        <v>41788</v>
      </c>
      <c r="C98" s="17">
        <v>0.107</v>
      </c>
      <c r="D98" s="17">
        <v>-1.6261000000000001</v>
      </c>
    </row>
    <row r="99" spans="1:4" x14ac:dyDescent="0.25">
      <c r="A99" s="15" t="s">
        <v>34</v>
      </c>
      <c r="B99" s="16">
        <v>41789</v>
      </c>
      <c r="C99" s="17">
        <v>-1.1834</v>
      </c>
      <c r="D99" s="17">
        <v>-2.0705</v>
      </c>
    </row>
    <row r="100" spans="1:4" x14ac:dyDescent="0.25">
      <c r="A100" s="15" t="s">
        <v>34</v>
      </c>
      <c r="B100" s="16">
        <v>41793</v>
      </c>
      <c r="C100" s="17">
        <v>0.64729999999999999</v>
      </c>
      <c r="D100" s="17">
        <v>2.4794999999999998</v>
      </c>
    </row>
    <row r="101" spans="1:4" x14ac:dyDescent="0.25">
      <c r="A101" s="15" t="s">
        <v>34</v>
      </c>
      <c r="B101" s="16">
        <v>41794</v>
      </c>
      <c r="C101" s="17">
        <v>0.1075</v>
      </c>
      <c r="D101" s="17">
        <v>0.81299999999999994</v>
      </c>
    </row>
    <row r="102" spans="1:4" x14ac:dyDescent="0.25">
      <c r="A102" s="15" t="s">
        <v>34</v>
      </c>
      <c r="B102" s="16">
        <v>41795</v>
      </c>
      <c r="C102" s="17">
        <v>-0.21510000000000001</v>
      </c>
      <c r="D102" s="17">
        <v>-0.40570000000000001</v>
      </c>
    </row>
    <row r="103" spans="1:4" x14ac:dyDescent="0.25">
      <c r="A103" s="15" t="s">
        <v>34</v>
      </c>
      <c r="B103" s="16">
        <v>41796</v>
      </c>
      <c r="C103" s="17">
        <v>0.32240000000000002</v>
      </c>
      <c r="D103" s="17">
        <v>-0.4073</v>
      </c>
    </row>
    <row r="104" spans="1:4" x14ac:dyDescent="0.25">
      <c r="A104" s="15" t="s">
        <v>34</v>
      </c>
      <c r="B104" s="16">
        <v>41799</v>
      </c>
      <c r="C104" s="17">
        <v>0.32140000000000002</v>
      </c>
      <c r="D104" s="17">
        <v>0.4073</v>
      </c>
    </row>
    <row r="105" spans="1:4" x14ac:dyDescent="0.25">
      <c r="A105" s="15" t="s">
        <v>34</v>
      </c>
      <c r="B105" s="16">
        <v>41800</v>
      </c>
      <c r="C105" s="17">
        <v>0.63970000000000005</v>
      </c>
      <c r="D105" s="17">
        <v>1.2121</v>
      </c>
    </row>
    <row r="106" spans="1:4" x14ac:dyDescent="0.25">
      <c r="A106" s="15" t="s">
        <v>34</v>
      </c>
      <c r="B106" s="16">
        <v>41801</v>
      </c>
      <c r="C106" s="17">
        <v>-0.31929999999999997</v>
      </c>
      <c r="D106" s="17">
        <v>0.40079999999999999</v>
      </c>
    </row>
    <row r="107" spans="1:4" x14ac:dyDescent="0.25">
      <c r="A107" s="15" t="s">
        <v>34</v>
      </c>
      <c r="B107" s="16">
        <v>41802</v>
      </c>
      <c r="C107" s="17">
        <v>-0.4274</v>
      </c>
      <c r="D107" s="17">
        <v>-1.2073</v>
      </c>
    </row>
    <row r="108" spans="1:4" x14ac:dyDescent="0.25">
      <c r="A108" s="15" t="s">
        <v>34</v>
      </c>
      <c r="B108" s="16">
        <v>41803</v>
      </c>
      <c r="C108" s="17">
        <v>-0.21440000000000001</v>
      </c>
      <c r="D108" s="17">
        <v>-0.40570000000000001</v>
      </c>
    </row>
    <row r="109" spans="1:4" x14ac:dyDescent="0.25">
      <c r="A109" s="15" t="s">
        <v>34</v>
      </c>
      <c r="B109" s="16">
        <v>41806</v>
      </c>
      <c r="C109" s="17">
        <v>-0.53790000000000004</v>
      </c>
      <c r="D109" s="17">
        <v>0.80969999999999998</v>
      </c>
    </row>
    <row r="110" spans="1:4" x14ac:dyDescent="0.25">
      <c r="A110" s="15" t="s">
        <v>34</v>
      </c>
      <c r="B110" s="16">
        <v>41807</v>
      </c>
      <c r="C110" s="17">
        <v>1.3926000000000001</v>
      </c>
      <c r="D110" s="17">
        <v>0.80320000000000003</v>
      </c>
    </row>
    <row r="111" spans="1:4" x14ac:dyDescent="0.25">
      <c r="A111" s="15" t="s">
        <v>34</v>
      </c>
      <c r="B111" s="16">
        <v>41808</v>
      </c>
      <c r="C111" s="17">
        <v>0.10630000000000001</v>
      </c>
      <c r="D111" s="17">
        <v>0.3992</v>
      </c>
    </row>
    <row r="112" spans="1:4" x14ac:dyDescent="0.25">
      <c r="A112" s="15" t="s">
        <v>34</v>
      </c>
      <c r="B112" s="16">
        <v>41809</v>
      </c>
      <c r="C112" s="17">
        <v>-0.21279999999999999</v>
      </c>
      <c r="D112" s="17">
        <v>0.39760000000000001</v>
      </c>
    </row>
    <row r="113" spans="1:4" x14ac:dyDescent="0.25">
      <c r="A113" s="15" t="s">
        <v>34</v>
      </c>
      <c r="B113" s="16">
        <v>41810</v>
      </c>
      <c r="C113" s="17">
        <v>0.42509999999999998</v>
      </c>
      <c r="D113" s="17">
        <v>-1.1976</v>
      </c>
    </row>
    <row r="114" spans="1:4" x14ac:dyDescent="0.25">
      <c r="A114" s="15" t="s">
        <v>34</v>
      </c>
      <c r="B114" s="16">
        <v>41813</v>
      </c>
      <c r="C114" s="17">
        <v>3.4396</v>
      </c>
      <c r="D114" s="17">
        <v>-1.2121</v>
      </c>
    </row>
    <row r="115" spans="1:4" x14ac:dyDescent="0.25">
      <c r="A115" s="15" t="s">
        <v>34</v>
      </c>
      <c r="B115" s="16">
        <v>41814</v>
      </c>
      <c r="C115" s="17">
        <v>0.6129</v>
      </c>
      <c r="D115" s="17">
        <v>0</v>
      </c>
    </row>
    <row r="116" spans="1:4" x14ac:dyDescent="0.25">
      <c r="A116" s="15" t="s">
        <v>34</v>
      </c>
      <c r="B116" s="16">
        <v>41815</v>
      </c>
      <c r="C116" s="17">
        <v>-1.7463</v>
      </c>
      <c r="D116" s="17">
        <v>0.40570000000000001</v>
      </c>
    </row>
    <row r="117" spans="1:4" x14ac:dyDescent="0.25">
      <c r="A117" s="15" t="s">
        <v>34</v>
      </c>
      <c r="B117" s="16">
        <v>41816</v>
      </c>
      <c r="C117" s="17">
        <v>2.0514000000000001</v>
      </c>
      <c r="D117" s="17">
        <v>0.80649999999999999</v>
      </c>
    </row>
    <row r="118" spans="1:4" x14ac:dyDescent="0.25">
      <c r="A118" s="15" t="s">
        <v>34</v>
      </c>
      <c r="B118" s="16">
        <v>41817</v>
      </c>
      <c r="C118" s="17">
        <v>0.10150000000000001</v>
      </c>
      <c r="D118" s="17">
        <v>0.8</v>
      </c>
    </row>
    <row r="119" spans="1:4" x14ac:dyDescent="0.25">
      <c r="A119" s="15" t="s">
        <v>34</v>
      </c>
      <c r="B119" s="16">
        <v>41820</v>
      </c>
      <c r="C119" s="17">
        <v>1.4098999999999999</v>
      </c>
      <c r="D119" s="17">
        <v>0.79369999999999996</v>
      </c>
    </row>
    <row r="120" spans="1:4" x14ac:dyDescent="0.25">
      <c r="A120" s="15" t="s">
        <v>34</v>
      </c>
      <c r="B120" s="16">
        <v>41821</v>
      </c>
      <c r="C120" s="17">
        <v>1.9802999999999999</v>
      </c>
      <c r="D120" s="17">
        <v>1.1788000000000001</v>
      </c>
    </row>
    <row r="121" spans="1:4" x14ac:dyDescent="0.25">
      <c r="A121" s="15" t="s">
        <v>34</v>
      </c>
      <c r="B121" s="16">
        <v>41822</v>
      </c>
      <c r="C121" s="17">
        <v>0.97560000000000002</v>
      </c>
      <c r="D121" s="17">
        <v>3.4552</v>
      </c>
    </row>
    <row r="122" spans="1:4" x14ac:dyDescent="0.25">
      <c r="A122" s="15" t="s">
        <v>34</v>
      </c>
      <c r="B122" s="16">
        <v>41823</v>
      </c>
      <c r="C122" s="17">
        <v>0.96619999999999995</v>
      </c>
      <c r="D122" s="17">
        <v>1.4982</v>
      </c>
    </row>
    <row r="123" spans="1:4" x14ac:dyDescent="0.25">
      <c r="A123" s="15" t="s">
        <v>34</v>
      </c>
      <c r="B123" s="16">
        <v>41824</v>
      </c>
      <c r="C123" s="17">
        <v>-0.96619999999999995</v>
      </c>
      <c r="D123" s="17">
        <v>0.37109999999999999</v>
      </c>
    </row>
    <row r="124" spans="1:4" x14ac:dyDescent="0.25">
      <c r="A124" s="15" t="s">
        <v>34</v>
      </c>
      <c r="B124" s="16">
        <v>41827</v>
      </c>
      <c r="C124" s="17">
        <v>0.48430000000000001</v>
      </c>
      <c r="D124" s="17">
        <v>0.73799999999999999</v>
      </c>
    </row>
    <row r="125" spans="1:4" x14ac:dyDescent="0.25">
      <c r="A125" s="15" t="s">
        <v>34</v>
      </c>
      <c r="B125" s="16">
        <v>41828</v>
      </c>
      <c r="C125" s="17">
        <v>0.96150000000000002</v>
      </c>
      <c r="D125" s="17">
        <v>-1.1091</v>
      </c>
    </row>
    <row r="126" spans="1:4" x14ac:dyDescent="0.25">
      <c r="A126" s="15" t="s">
        <v>34</v>
      </c>
      <c r="B126" s="16">
        <v>41829</v>
      </c>
      <c r="C126" s="17">
        <v>0.4773</v>
      </c>
      <c r="D126" s="17">
        <v>-0.37240000000000001</v>
      </c>
    </row>
    <row r="127" spans="1:4" x14ac:dyDescent="0.25">
      <c r="A127" s="15" t="s">
        <v>34</v>
      </c>
      <c r="B127" s="16">
        <v>41830</v>
      </c>
      <c r="C127" s="17">
        <v>3.2789999999999999</v>
      </c>
      <c r="D127" s="17">
        <v>0.37240000000000001</v>
      </c>
    </row>
    <row r="128" spans="1:4" x14ac:dyDescent="0.25">
      <c r="A128" s="15" t="s">
        <v>34</v>
      </c>
      <c r="B128" s="16">
        <v>41831</v>
      </c>
      <c r="C128" s="17">
        <v>0.45979999999999999</v>
      </c>
      <c r="D128" s="17">
        <v>1.476</v>
      </c>
    </row>
    <row r="129" spans="1:4" x14ac:dyDescent="0.25">
      <c r="A129" s="15" t="s">
        <v>34</v>
      </c>
      <c r="B129" s="16">
        <v>41834</v>
      </c>
      <c r="C129" s="17">
        <v>0.91320000000000001</v>
      </c>
      <c r="D129" s="17">
        <v>-0.73540000000000005</v>
      </c>
    </row>
    <row r="130" spans="1:4" x14ac:dyDescent="0.25">
      <c r="A130" s="15" t="s">
        <v>34</v>
      </c>
      <c r="B130" s="16">
        <v>41835</v>
      </c>
      <c r="C130" s="17">
        <v>0.90500000000000003</v>
      </c>
      <c r="D130" s="17">
        <v>0.37659999999999999</v>
      </c>
    </row>
    <row r="131" spans="1:4" x14ac:dyDescent="0.25">
      <c r="A131" s="15" t="s">
        <v>34</v>
      </c>
      <c r="B131" s="16">
        <v>41836</v>
      </c>
      <c r="C131" s="17">
        <v>-3.2039</v>
      </c>
      <c r="D131" s="17">
        <v>-1.8976</v>
      </c>
    </row>
    <row r="132" spans="1:4" x14ac:dyDescent="0.25">
      <c r="A132" s="15" t="s">
        <v>34</v>
      </c>
      <c r="B132" s="16">
        <v>41837</v>
      </c>
      <c r="C132" s="17">
        <v>-0.93459999999999999</v>
      </c>
      <c r="D132" s="17">
        <v>-4.7068000000000003</v>
      </c>
    </row>
    <row r="133" spans="1:4" x14ac:dyDescent="0.25">
      <c r="A133" s="15" t="s">
        <v>34</v>
      </c>
      <c r="B133" s="16">
        <v>41838</v>
      </c>
      <c r="C133" s="17">
        <v>0.93459999999999999</v>
      </c>
      <c r="D133" s="17">
        <v>-0.80649999999999999</v>
      </c>
    </row>
    <row r="134" spans="1:4" x14ac:dyDescent="0.25">
      <c r="A134" s="15" t="s">
        <v>34</v>
      </c>
      <c r="B134" s="16">
        <v>41841</v>
      </c>
      <c r="C134" s="17">
        <v>2.7524999999999999</v>
      </c>
      <c r="D134" s="17">
        <v>0</v>
      </c>
    </row>
    <row r="135" spans="1:4" x14ac:dyDescent="0.25">
      <c r="A135" s="15" t="s">
        <v>34</v>
      </c>
      <c r="B135" s="16">
        <v>41842</v>
      </c>
      <c r="C135" s="17">
        <v>-0.45350000000000001</v>
      </c>
      <c r="D135" s="17">
        <v>0.80649999999999999</v>
      </c>
    </row>
    <row r="136" spans="1:4" x14ac:dyDescent="0.25">
      <c r="A136" s="15" t="s">
        <v>34</v>
      </c>
      <c r="B136" s="16">
        <v>41844</v>
      </c>
      <c r="C136" s="17">
        <v>0.45350000000000001</v>
      </c>
      <c r="D136" s="17">
        <v>0.40079999999999999</v>
      </c>
    </row>
    <row r="137" spans="1:4" x14ac:dyDescent="0.25">
      <c r="A137" s="15" t="s">
        <v>34</v>
      </c>
      <c r="B137" s="16">
        <v>41845</v>
      </c>
      <c r="C137" s="17">
        <v>-2.2884000000000002</v>
      </c>
      <c r="D137" s="17">
        <v>-1.6129</v>
      </c>
    </row>
    <row r="138" spans="1:4" x14ac:dyDescent="0.25">
      <c r="A138" s="15" t="s">
        <v>34</v>
      </c>
      <c r="B138" s="16">
        <v>41848</v>
      </c>
      <c r="C138" s="17">
        <v>-2.8170999999999999</v>
      </c>
      <c r="D138" s="17">
        <v>-1.2270000000000001</v>
      </c>
    </row>
    <row r="139" spans="1:4" x14ac:dyDescent="0.25">
      <c r="A139" s="15" t="s">
        <v>34</v>
      </c>
      <c r="B139" s="16">
        <v>41849</v>
      </c>
      <c r="C139" s="17">
        <v>0</v>
      </c>
      <c r="D139" s="17">
        <v>2.0367000000000002</v>
      </c>
    </row>
    <row r="140" spans="1:4" x14ac:dyDescent="0.25">
      <c r="A140" s="15" t="s">
        <v>34</v>
      </c>
      <c r="B140" s="16">
        <v>41850</v>
      </c>
      <c r="C140" s="17">
        <v>-0.4773</v>
      </c>
      <c r="D140" s="17">
        <v>0.40239999999999998</v>
      </c>
    </row>
    <row r="141" spans="1:4" x14ac:dyDescent="0.25">
      <c r="A141" s="15" t="s">
        <v>34</v>
      </c>
      <c r="B141" s="16">
        <v>41851</v>
      </c>
      <c r="C141" s="17">
        <v>-0.96150000000000002</v>
      </c>
      <c r="D141" s="17">
        <v>-2.8515000000000001</v>
      </c>
    </row>
    <row r="142" spans="1:4" x14ac:dyDescent="0.25">
      <c r="A142" s="15" t="s">
        <v>34</v>
      </c>
      <c r="B142" s="16">
        <v>41852</v>
      </c>
      <c r="C142" s="17">
        <v>-1.4599</v>
      </c>
      <c r="D142" s="17">
        <v>-0.82989999999999997</v>
      </c>
    </row>
    <row r="143" spans="1:4" x14ac:dyDescent="0.25">
      <c r="A143" s="15" t="s">
        <v>34</v>
      </c>
      <c r="B143" s="16">
        <v>41855</v>
      </c>
      <c r="C143" s="17">
        <v>3.3738000000000001</v>
      </c>
      <c r="D143" s="17">
        <v>2.8748999999999998</v>
      </c>
    </row>
    <row r="144" spans="1:4" x14ac:dyDescent="0.25">
      <c r="A144" s="15" t="s">
        <v>34</v>
      </c>
      <c r="B144" s="16">
        <v>41856</v>
      </c>
      <c r="C144" s="17">
        <v>-3.3738000000000001</v>
      </c>
      <c r="D144" s="17">
        <v>-3.2925</v>
      </c>
    </row>
    <row r="145" spans="1:4" x14ac:dyDescent="0.25">
      <c r="A145" s="15" t="s">
        <v>34</v>
      </c>
      <c r="B145" s="16">
        <v>41857</v>
      </c>
      <c r="C145" s="17">
        <v>1.4599</v>
      </c>
      <c r="D145" s="17">
        <v>0.83330000000000004</v>
      </c>
    </row>
    <row r="146" spans="1:4" x14ac:dyDescent="0.25">
      <c r="A146" s="15" t="s">
        <v>34</v>
      </c>
      <c r="B146" s="16">
        <v>41858</v>
      </c>
      <c r="C146" s="17">
        <v>0</v>
      </c>
      <c r="D146" s="17">
        <v>0.82650000000000001</v>
      </c>
    </row>
    <row r="147" spans="1:4" x14ac:dyDescent="0.25">
      <c r="A147" s="15" t="s">
        <v>34</v>
      </c>
      <c r="B147" s="16">
        <v>41859</v>
      </c>
      <c r="C147" s="17">
        <v>-0.97089999999999999</v>
      </c>
      <c r="D147" s="17">
        <v>-0.82650000000000001</v>
      </c>
    </row>
    <row r="148" spans="1:4" x14ac:dyDescent="0.25">
      <c r="A148" s="15" t="s">
        <v>34</v>
      </c>
      <c r="B148" s="16">
        <v>41862</v>
      </c>
      <c r="C148" s="17">
        <v>1.4528000000000001</v>
      </c>
      <c r="D148" s="17">
        <v>0</v>
      </c>
    </row>
    <row r="149" spans="1:4" x14ac:dyDescent="0.25">
      <c r="A149" s="15" t="s">
        <v>34</v>
      </c>
      <c r="B149" s="16">
        <v>41863</v>
      </c>
      <c r="C149" s="17">
        <v>0.47960000000000003</v>
      </c>
      <c r="D149" s="17">
        <v>0.82650000000000001</v>
      </c>
    </row>
    <row r="150" spans="1:4" x14ac:dyDescent="0.25">
      <c r="A150" s="15" t="s">
        <v>34</v>
      </c>
      <c r="B150" s="16">
        <v>41864</v>
      </c>
      <c r="C150" s="17">
        <v>1.4252</v>
      </c>
      <c r="D150" s="17">
        <v>0.81969999999999998</v>
      </c>
    </row>
    <row r="151" spans="1:4" x14ac:dyDescent="0.25">
      <c r="A151" s="15" t="s">
        <v>34</v>
      </c>
      <c r="B151" s="16">
        <v>41865</v>
      </c>
      <c r="C151" s="17">
        <v>2.7909000000000002</v>
      </c>
      <c r="D151" s="17">
        <v>1.2171000000000001</v>
      </c>
    </row>
    <row r="152" spans="1:4" x14ac:dyDescent="0.25">
      <c r="A152" s="15" t="s">
        <v>34</v>
      </c>
      <c r="B152" s="16">
        <v>41866</v>
      </c>
      <c r="C152" s="17">
        <v>-1.3856999999999999</v>
      </c>
      <c r="D152" s="17">
        <v>0</v>
      </c>
    </row>
    <row r="153" spans="1:4" x14ac:dyDescent="0.25">
      <c r="A153" s="15" t="s">
        <v>34</v>
      </c>
      <c r="B153" s="16">
        <v>41869</v>
      </c>
      <c r="C153" s="17">
        <v>0</v>
      </c>
      <c r="D153" s="17">
        <v>-0.80969999999999998</v>
      </c>
    </row>
    <row r="154" spans="1:4" x14ac:dyDescent="0.25">
      <c r="A154" s="15" t="s">
        <v>34</v>
      </c>
      <c r="B154" s="16">
        <v>41870</v>
      </c>
      <c r="C154" s="17">
        <v>0.92589999999999995</v>
      </c>
      <c r="D154" s="17">
        <v>0.80969999999999998</v>
      </c>
    </row>
    <row r="155" spans="1:4" x14ac:dyDescent="0.25">
      <c r="A155" s="15" t="s">
        <v>34</v>
      </c>
      <c r="B155" s="16">
        <v>41871</v>
      </c>
      <c r="C155" s="17">
        <v>0</v>
      </c>
      <c r="D155" s="17">
        <v>1.2023999999999999</v>
      </c>
    </row>
    <row r="156" spans="1:4" x14ac:dyDescent="0.25">
      <c r="A156" s="15" t="s">
        <v>34</v>
      </c>
      <c r="B156" s="16">
        <v>41872</v>
      </c>
      <c r="C156" s="17">
        <v>0</v>
      </c>
      <c r="D156" s="17">
        <v>-0.8</v>
      </c>
    </row>
    <row r="157" spans="1:4" x14ac:dyDescent="0.25">
      <c r="A157" s="15" t="s">
        <v>34</v>
      </c>
      <c r="B157" s="16">
        <v>41873</v>
      </c>
      <c r="C157" s="17">
        <v>1.373</v>
      </c>
      <c r="D157" s="17">
        <v>0.8</v>
      </c>
    </row>
    <row r="158" spans="1:4" x14ac:dyDescent="0.25">
      <c r="A158" s="15" t="s">
        <v>34</v>
      </c>
      <c r="B158" s="16">
        <v>41876</v>
      </c>
      <c r="C158" s="17">
        <v>0.45350000000000001</v>
      </c>
      <c r="D158" s="17">
        <v>-0.3992</v>
      </c>
    </row>
    <row r="159" spans="1:4" x14ac:dyDescent="0.25">
      <c r="A159" s="15" t="s">
        <v>34</v>
      </c>
      <c r="B159" s="16">
        <v>41877</v>
      </c>
      <c r="C159" s="17">
        <v>-0.45350000000000001</v>
      </c>
      <c r="D159" s="17">
        <v>-0.40079999999999999</v>
      </c>
    </row>
    <row r="160" spans="1:4" x14ac:dyDescent="0.25">
      <c r="A160" s="15" t="s">
        <v>34</v>
      </c>
      <c r="B160" s="16">
        <v>41878</v>
      </c>
      <c r="C160" s="17">
        <v>1.8019000000000001</v>
      </c>
      <c r="D160" s="17">
        <v>0.8</v>
      </c>
    </row>
    <row r="161" spans="1:4" x14ac:dyDescent="0.25">
      <c r="A161" s="15" t="s">
        <v>34</v>
      </c>
      <c r="B161" s="16">
        <v>41879</v>
      </c>
      <c r="C161" s="17">
        <v>3.5436000000000001</v>
      </c>
      <c r="D161" s="17">
        <v>-0.3992</v>
      </c>
    </row>
    <row r="162" spans="1:4" x14ac:dyDescent="0.25">
      <c r="A162" s="15" t="s">
        <v>34</v>
      </c>
      <c r="B162" s="16">
        <v>41880</v>
      </c>
      <c r="C162" s="17">
        <v>0</v>
      </c>
      <c r="D162" s="17">
        <v>-0.80320000000000003</v>
      </c>
    </row>
    <row r="163" spans="1:4" x14ac:dyDescent="0.25">
      <c r="A163" s="15" t="s">
        <v>34</v>
      </c>
      <c r="B163" s="16">
        <v>41883</v>
      </c>
      <c r="C163" s="17">
        <v>-0.4914</v>
      </c>
      <c r="D163" s="17">
        <v>3.5647000000000002</v>
      </c>
    </row>
    <row r="164" spans="1:4" x14ac:dyDescent="0.25">
      <c r="A164" s="15" t="s">
        <v>34</v>
      </c>
      <c r="B164" s="16">
        <v>41884</v>
      </c>
      <c r="C164" s="17">
        <v>-0.99009999999999998</v>
      </c>
      <c r="D164" s="17">
        <v>-1.9646999999999999</v>
      </c>
    </row>
    <row r="165" spans="1:4" x14ac:dyDescent="0.25">
      <c r="A165" s="15" t="s">
        <v>34</v>
      </c>
      <c r="B165" s="16">
        <v>41885</v>
      </c>
      <c r="C165" s="17">
        <v>0.49630000000000002</v>
      </c>
      <c r="D165" s="17">
        <v>1.5748</v>
      </c>
    </row>
    <row r="166" spans="1:4" x14ac:dyDescent="0.25">
      <c r="A166" s="15" t="s">
        <v>34</v>
      </c>
      <c r="B166" s="16">
        <v>41886</v>
      </c>
      <c r="C166" s="17">
        <v>-1.0951</v>
      </c>
      <c r="D166" s="17">
        <v>-0.39140000000000003</v>
      </c>
    </row>
    <row r="167" spans="1:4" x14ac:dyDescent="0.25">
      <c r="A167" s="15" t="s">
        <v>34</v>
      </c>
      <c r="B167" s="16">
        <v>41887</v>
      </c>
      <c r="C167" s="17">
        <v>0.5988</v>
      </c>
      <c r="D167" s="17">
        <v>-0.39290000000000003</v>
      </c>
    </row>
    <row r="168" spans="1:4" x14ac:dyDescent="0.25">
      <c r="A168" s="15" t="s">
        <v>34</v>
      </c>
      <c r="B168" s="16">
        <v>41891</v>
      </c>
      <c r="C168" s="17">
        <v>1.4815</v>
      </c>
      <c r="D168" s="17">
        <v>0</v>
      </c>
    </row>
    <row r="169" spans="1:4" x14ac:dyDescent="0.25">
      <c r="A169" s="15" t="s">
        <v>34</v>
      </c>
      <c r="B169" s="16">
        <v>41892</v>
      </c>
      <c r="C169" s="17">
        <v>-0.98519999999999996</v>
      </c>
      <c r="D169" s="17">
        <v>-1.5872999999999999</v>
      </c>
    </row>
    <row r="170" spans="1:4" x14ac:dyDescent="0.25">
      <c r="A170" s="15" t="s">
        <v>34</v>
      </c>
      <c r="B170" s="16">
        <v>41893</v>
      </c>
      <c r="C170" s="17">
        <v>-0.995</v>
      </c>
      <c r="D170" s="17">
        <v>0</v>
      </c>
    </row>
    <row r="171" spans="1:4" x14ac:dyDescent="0.25">
      <c r="A171" s="15" t="s">
        <v>34</v>
      </c>
      <c r="B171" s="16">
        <v>41894</v>
      </c>
      <c r="C171" s="17">
        <v>-0.6018</v>
      </c>
      <c r="D171" s="17">
        <v>-1.6129</v>
      </c>
    </row>
    <row r="172" spans="1:4" x14ac:dyDescent="0.25">
      <c r="A172" s="15" t="s">
        <v>34</v>
      </c>
      <c r="B172" s="16">
        <v>41897</v>
      </c>
      <c r="C172" s="17">
        <v>1.5968</v>
      </c>
      <c r="D172" s="17">
        <v>0.40570000000000001</v>
      </c>
    </row>
    <row r="173" spans="1:4" x14ac:dyDescent="0.25">
      <c r="A173" s="15" t="s">
        <v>34</v>
      </c>
      <c r="B173" s="16">
        <v>41898</v>
      </c>
      <c r="C173" s="17">
        <v>-1.4963</v>
      </c>
      <c r="D173" s="17">
        <v>-0.81299999999999994</v>
      </c>
    </row>
    <row r="174" spans="1:4" x14ac:dyDescent="0.25">
      <c r="A174" s="15" t="s">
        <v>34</v>
      </c>
      <c r="B174" s="16">
        <v>41899</v>
      </c>
      <c r="C174" s="17">
        <v>1.4963</v>
      </c>
      <c r="D174" s="17">
        <v>1.6194999999999999</v>
      </c>
    </row>
    <row r="175" spans="1:4" x14ac:dyDescent="0.25">
      <c r="A175" s="15" t="s">
        <v>34</v>
      </c>
      <c r="B175" s="16">
        <v>41900</v>
      </c>
      <c r="C175" s="17">
        <v>0.98519999999999996</v>
      </c>
      <c r="D175" s="17">
        <v>0.40079999999999999</v>
      </c>
    </row>
    <row r="176" spans="1:4" x14ac:dyDescent="0.25">
      <c r="A176" s="15" t="s">
        <v>34</v>
      </c>
      <c r="B176" s="16">
        <v>41901</v>
      </c>
      <c r="C176" s="17">
        <v>-0.98519999999999996</v>
      </c>
      <c r="D176" s="17">
        <v>0</v>
      </c>
    </row>
    <row r="177" spans="1:4" x14ac:dyDescent="0.25">
      <c r="A177" s="15" t="s">
        <v>34</v>
      </c>
      <c r="B177" s="16">
        <v>41904</v>
      </c>
      <c r="C177" s="17">
        <v>-0.49630000000000002</v>
      </c>
      <c r="D177" s="17">
        <v>-2.4293</v>
      </c>
    </row>
    <row r="178" spans="1:4" x14ac:dyDescent="0.25">
      <c r="A178" s="15" t="s">
        <v>34</v>
      </c>
      <c r="B178" s="16">
        <v>41905</v>
      </c>
      <c r="C178" s="17">
        <v>0</v>
      </c>
      <c r="D178" s="17">
        <v>0.40899999999999997</v>
      </c>
    </row>
    <row r="179" spans="1:4" x14ac:dyDescent="0.25">
      <c r="A179" s="15" t="s">
        <v>34</v>
      </c>
      <c r="B179" s="16">
        <v>41906</v>
      </c>
      <c r="C179" s="17">
        <v>0</v>
      </c>
      <c r="D179" s="17">
        <v>0.4073</v>
      </c>
    </row>
    <row r="180" spans="1:4" x14ac:dyDescent="0.25">
      <c r="A180" s="15" t="s">
        <v>34</v>
      </c>
      <c r="B180" s="16">
        <v>41907</v>
      </c>
      <c r="C180" s="17">
        <v>-0.49880000000000002</v>
      </c>
      <c r="D180" s="17">
        <v>-0.81630000000000003</v>
      </c>
    </row>
    <row r="181" spans="1:4" x14ac:dyDescent="0.25">
      <c r="A181" s="15" t="s">
        <v>34</v>
      </c>
      <c r="B181" s="16">
        <v>41908</v>
      </c>
      <c r="C181" s="17">
        <v>-2.9428999999999998</v>
      </c>
      <c r="D181" s="17">
        <v>-0.82299999999999995</v>
      </c>
    </row>
    <row r="182" spans="1:4" x14ac:dyDescent="0.25">
      <c r="A182" s="15" t="s">
        <v>34</v>
      </c>
      <c r="B182" s="16">
        <v>41911</v>
      </c>
      <c r="C182" s="17">
        <v>0.51359999999999995</v>
      </c>
      <c r="D182" s="17">
        <v>-0.41410000000000002</v>
      </c>
    </row>
    <row r="183" spans="1:4" x14ac:dyDescent="0.25">
      <c r="A183" s="15" t="s">
        <v>34</v>
      </c>
      <c r="B183" s="16">
        <v>41912</v>
      </c>
      <c r="C183" s="17">
        <v>-1.6529</v>
      </c>
      <c r="D183" s="17">
        <v>-0.4158</v>
      </c>
    </row>
    <row r="184" spans="1:4" x14ac:dyDescent="0.25">
      <c r="A184" s="15" t="s">
        <v>34</v>
      </c>
      <c r="B184" s="16">
        <v>41913</v>
      </c>
      <c r="C184" s="17">
        <v>2.4693000000000001</v>
      </c>
      <c r="D184" s="17">
        <v>1.2423</v>
      </c>
    </row>
    <row r="185" spans="1:4" x14ac:dyDescent="0.25">
      <c r="A185" s="15" t="s">
        <v>34</v>
      </c>
      <c r="B185" s="16">
        <v>41914</v>
      </c>
      <c r="C185" s="17">
        <v>-0.91879999999999995</v>
      </c>
      <c r="D185" s="17">
        <v>-0.41239999999999999</v>
      </c>
    </row>
    <row r="186" spans="1:4" x14ac:dyDescent="0.25">
      <c r="A186" s="15" t="s">
        <v>34</v>
      </c>
      <c r="B186" s="16">
        <v>41915</v>
      </c>
      <c r="C186" s="17">
        <v>1.8292999999999999</v>
      </c>
      <c r="D186" s="17">
        <v>2.8515000000000001</v>
      </c>
    </row>
    <row r="187" spans="1:4" x14ac:dyDescent="0.25">
      <c r="A187" s="15" t="s">
        <v>34</v>
      </c>
      <c r="B187" s="16">
        <v>41918</v>
      </c>
      <c r="C187" s="17">
        <v>-0.80889999999999995</v>
      </c>
      <c r="D187" s="17">
        <v>1.1976</v>
      </c>
    </row>
    <row r="188" spans="1:4" x14ac:dyDescent="0.25">
      <c r="A188" s="15" t="s">
        <v>34</v>
      </c>
      <c r="B188" s="16">
        <v>41919</v>
      </c>
      <c r="C188" s="17">
        <v>-0.91790000000000005</v>
      </c>
      <c r="D188" s="17">
        <v>-0.79679999999999995</v>
      </c>
    </row>
    <row r="189" spans="1:4" x14ac:dyDescent="0.25">
      <c r="A189" s="15" t="s">
        <v>34</v>
      </c>
      <c r="B189" s="16">
        <v>41920</v>
      </c>
      <c r="C189" s="17">
        <v>-0.9264</v>
      </c>
      <c r="D189" s="17">
        <v>-2.0203000000000002</v>
      </c>
    </row>
    <row r="190" spans="1:4" x14ac:dyDescent="0.25">
      <c r="A190" s="15" t="s">
        <v>34</v>
      </c>
      <c r="B190" s="16">
        <v>41921</v>
      </c>
      <c r="C190" s="17">
        <v>0.9264</v>
      </c>
      <c r="D190" s="17">
        <v>2.0203000000000002</v>
      </c>
    </row>
    <row r="191" spans="1:4" x14ac:dyDescent="0.25">
      <c r="A191" s="15" t="s">
        <v>34</v>
      </c>
      <c r="B191" s="16">
        <v>41925</v>
      </c>
      <c r="C191" s="17">
        <v>-1.8614999999999999</v>
      </c>
      <c r="D191" s="17">
        <v>-3.6663999999999999</v>
      </c>
    </row>
    <row r="192" spans="1:4" x14ac:dyDescent="0.25">
      <c r="A192" s="15" t="s">
        <v>34</v>
      </c>
      <c r="B192" s="16">
        <v>41926</v>
      </c>
      <c r="C192" s="17">
        <v>0.20860000000000001</v>
      </c>
      <c r="D192" s="17">
        <v>0.41410000000000002</v>
      </c>
    </row>
    <row r="193" spans="1:4" x14ac:dyDescent="0.25">
      <c r="A193" s="15" t="s">
        <v>34</v>
      </c>
      <c r="B193" s="16">
        <v>41927</v>
      </c>
      <c r="C193" s="17">
        <v>-2.6387</v>
      </c>
      <c r="D193" s="17">
        <v>0.41239999999999999</v>
      </c>
    </row>
    <row r="194" spans="1:4" x14ac:dyDescent="0.25">
      <c r="A194" s="15" t="s">
        <v>34</v>
      </c>
      <c r="B194" s="16">
        <v>41928</v>
      </c>
      <c r="C194" s="17">
        <v>-1.4000999999999999</v>
      </c>
      <c r="D194" s="17">
        <v>0</v>
      </c>
    </row>
    <row r="195" spans="1:4" x14ac:dyDescent="0.25">
      <c r="A195" s="15" t="s">
        <v>34</v>
      </c>
      <c r="B195" s="16">
        <v>41929</v>
      </c>
      <c r="C195" s="17">
        <v>-3.5324</v>
      </c>
      <c r="D195" s="17">
        <v>1.6327</v>
      </c>
    </row>
    <row r="196" spans="1:4" x14ac:dyDescent="0.25">
      <c r="A196" s="15" t="s">
        <v>34</v>
      </c>
      <c r="B196" s="16">
        <v>41932</v>
      </c>
      <c r="C196" s="17">
        <v>4.6111000000000004</v>
      </c>
      <c r="D196" s="17">
        <v>2.0041000000000002</v>
      </c>
    </row>
    <row r="197" spans="1:4" x14ac:dyDescent="0.25">
      <c r="A197" s="15" t="s">
        <v>34</v>
      </c>
      <c r="B197" s="16">
        <v>41933</v>
      </c>
      <c r="C197" s="17">
        <v>0.32140000000000002</v>
      </c>
      <c r="D197" s="17">
        <v>-0.79679999999999995</v>
      </c>
    </row>
    <row r="198" spans="1:4" x14ac:dyDescent="0.25">
      <c r="A198" s="15" t="s">
        <v>34</v>
      </c>
      <c r="B198" s="16">
        <v>41934</v>
      </c>
      <c r="C198" s="17">
        <v>0.5333</v>
      </c>
      <c r="D198" s="17">
        <v>3.1499000000000001</v>
      </c>
    </row>
    <row r="199" spans="1:4" x14ac:dyDescent="0.25">
      <c r="A199" s="15" t="s">
        <v>34</v>
      </c>
      <c r="B199" s="16">
        <v>41935</v>
      </c>
      <c r="C199" s="17">
        <v>1.0582</v>
      </c>
      <c r="D199" s="17">
        <v>-1.1696</v>
      </c>
    </row>
    <row r="200" spans="1:4" x14ac:dyDescent="0.25">
      <c r="A200" s="15" t="s">
        <v>34</v>
      </c>
      <c r="B200" s="16">
        <v>41936</v>
      </c>
      <c r="C200" s="17">
        <v>-1.9129</v>
      </c>
      <c r="D200" s="17">
        <v>-1.5810999999999999</v>
      </c>
    </row>
    <row r="201" spans="1:4" x14ac:dyDescent="0.25">
      <c r="A201" s="15" t="s">
        <v>34</v>
      </c>
      <c r="B201" s="16">
        <v>41939</v>
      </c>
      <c r="C201" s="17">
        <v>0.85470000000000002</v>
      </c>
      <c r="D201" s="17">
        <v>1.9724999999999999</v>
      </c>
    </row>
    <row r="202" spans="1:4" x14ac:dyDescent="0.25">
      <c r="A202" s="15" t="s">
        <v>34</v>
      </c>
      <c r="B202" s="16">
        <v>41940</v>
      </c>
      <c r="C202" s="17">
        <v>1.5831</v>
      </c>
      <c r="D202" s="17">
        <v>0</v>
      </c>
    </row>
    <row r="203" spans="1:4" x14ac:dyDescent="0.25">
      <c r="A203" s="15" t="s">
        <v>34</v>
      </c>
      <c r="B203" s="16">
        <v>41941</v>
      </c>
      <c r="C203" s="17">
        <v>-0.52490000000000003</v>
      </c>
      <c r="D203" s="17">
        <v>0.7782</v>
      </c>
    </row>
    <row r="204" spans="1:4" x14ac:dyDescent="0.25">
      <c r="A204" s="15" t="s">
        <v>34</v>
      </c>
      <c r="B204" s="16">
        <v>41942</v>
      </c>
      <c r="C204" s="17">
        <v>0.21029999999999999</v>
      </c>
      <c r="D204" s="17">
        <v>-0.38840000000000002</v>
      </c>
    </row>
    <row r="205" spans="1:4" x14ac:dyDescent="0.25">
      <c r="A205" s="15" t="s">
        <v>34</v>
      </c>
      <c r="B205" s="16">
        <v>41943</v>
      </c>
      <c r="C205" s="17">
        <v>0.83679999999999999</v>
      </c>
      <c r="D205" s="17">
        <v>1.5444</v>
      </c>
    </row>
    <row r="206" spans="1:4" x14ac:dyDescent="0.25">
      <c r="A206" s="15" t="s">
        <v>34</v>
      </c>
      <c r="B206" s="16">
        <v>41946</v>
      </c>
      <c r="C206" s="17">
        <v>2.1638999999999999</v>
      </c>
      <c r="D206" s="17">
        <v>0.38240000000000002</v>
      </c>
    </row>
    <row r="207" spans="1:4" x14ac:dyDescent="0.25">
      <c r="A207" s="15" t="s">
        <v>34</v>
      </c>
      <c r="B207" s="16">
        <v>41947</v>
      </c>
      <c r="C207" s="17">
        <v>-0.61350000000000005</v>
      </c>
      <c r="D207" s="17">
        <v>0.76049999999999995</v>
      </c>
    </row>
    <row r="208" spans="1:4" x14ac:dyDescent="0.25">
      <c r="A208" s="15" t="s">
        <v>34</v>
      </c>
      <c r="B208" s="16">
        <v>41948</v>
      </c>
      <c r="C208" s="17">
        <v>0.71540000000000004</v>
      </c>
      <c r="D208" s="17">
        <v>0</v>
      </c>
    </row>
    <row r="209" spans="1:4" x14ac:dyDescent="0.25">
      <c r="A209" s="15" t="s">
        <v>34</v>
      </c>
      <c r="B209" s="16">
        <v>41949</v>
      </c>
      <c r="C209" s="17">
        <v>-2.37</v>
      </c>
      <c r="D209" s="17">
        <v>0</v>
      </c>
    </row>
    <row r="210" spans="1:4" x14ac:dyDescent="0.25">
      <c r="A210" s="15" t="s">
        <v>34</v>
      </c>
      <c r="B210" s="16">
        <v>41950</v>
      </c>
      <c r="C210" s="17">
        <v>0.41620000000000001</v>
      </c>
      <c r="D210" s="17">
        <v>-0.76049999999999995</v>
      </c>
    </row>
    <row r="211" spans="1:4" x14ac:dyDescent="0.25">
      <c r="A211" s="15" t="s">
        <v>34</v>
      </c>
      <c r="B211" s="16">
        <v>41953</v>
      </c>
      <c r="C211" s="17">
        <v>2.0556000000000001</v>
      </c>
      <c r="D211" s="17">
        <v>2.6366999999999998</v>
      </c>
    </row>
    <row r="212" spans="1:4" x14ac:dyDescent="0.25">
      <c r="A212" s="15" t="s">
        <v>34</v>
      </c>
      <c r="B212" s="16">
        <v>41954</v>
      </c>
      <c r="C212" s="17">
        <v>-0.61219999999999997</v>
      </c>
      <c r="D212" s="17">
        <v>-0.37240000000000001</v>
      </c>
    </row>
    <row r="213" spans="1:4" x14ac:dyDescent="0.25">
      <c r="A213" s="15" t="s">
        <v>34</v>
      </c>
      <c r="B213" s="16">
        <v>41955</v>
      </c>
      <c r="C213" s="17">
        <v>-1.7553000000000001</v>
      </c>
      <c r="D213" s="17">
        <v>-1.5038</v>
      </c>
    </row>
    <row r="214" spans="1:4" x14ac:dyDescent="0.25">
      <c r="A214" s="15" t="s">
        <v>34</v>
      </c>
      <c r="B214" s="16">
        <v>41956</v>
      </c>
      <c r="C214" s="17">
        <v>2.0619000000000001</v>
      </c>
      <c r="D214" s="17">
        <v>1.5038</v>
      </c>
    </row>
    <row r="215" spans="1:4" x14ac:dyDescent="0.25">
      <c r="A215" s="15" t="s">
        <v>34</v>
      </c>
      <c r="B215" s="16">
        <v>41957</v>
      </c>
      <c r="C215" s="17">
        <v>-1.232</v>
      </c>
      <c r="D215" s="17">
        <v>0.74350000000000005</v>
      </c>
    </row>
    <row r="216" spans="1:4" x14ac:dyDescent="0.25">
      <c r="A216" s="15" t="s">
        <v>34</v>
      </c>
      <c r="B216" s="16">
        <v>41960</v>
      </c>
      <c r="C216" s="17">
        <v>-1.2474000000000001</v>
      </c>
      <c r="D216" s="17">
        <v>-1.4925999999999999</v>
      </c>
    </row>
    <row r="217" spans="1:4" x14ac:dyDescent="0.25">
      <c r="A217" s="15" t="s">
        <v>34</v>
      </c>
      <c r="B217" s="16">
        <v>41961</v>
      </c>
      <c r="C217" s="17">
        <v>-0.1047</v>
      </c>
      <c r="D217" s="17">
        <v>-1.1342000000000001</v>
      </c>
    </row>
    <row r="218" spans="1:4" x14ac:dyDescent="0.25">
      <c r="A218" s="15" t="s">
        <v>34</v>
      </c>
      <c r="B218" s="16">
        <v>41962</v>
      </c>
      <c r="C218" s="17">
        <v>0.5222</v>
      </c>
      <c r="D218" s="17">
        <v>3.3647999999999998</v>
      </c>
    </row>
    <row r="219" spans="1:4" x14ac:dyDescent="0.25">
      <c r="A219" s="15" t="s">
        <v>34</v>
      </c>
      <c r="B219" s="16">
        <v>41963</v>
      </c>
      <c r="C219" s="17">
        <v>0.72650000000000003</v>
      </c>
      <c r="D219" s="17">
        <v>2.1819000000000002</v>
      </c>
    </row>
    <row r="220" spans="1:4" x14ac:dyDescent="0.25">
      <c r="A220" s="15" t="s">
        <v>34</v>
      </c>
      <c r="B220" s="16">
        <v>41964</v>
      </c>
      <c r="C220" s="17">
        <v>-0.41449999999999998</v>
      </c>
      <c r="D220" s="17">
        <v>-0.3604</v>
      </c>
    </row>
    <row r="221" spans="1:4" x14ac:dyDescent="0.25">
      <c r="A221" s="15" t="s">
        <v>34</v>
      </c>
      <c r="B221" s="16">
        <v>41967</v>
      </c>
      <c r="C221" s="17">
        <v>0.20749999999999999</v>
      </c>
      <c r="D221" s="17">
        <v>0</v>
      </c>
    </row>
    <row r="222" spans="1:4" x14ac:dyDescent="0.25">
      <c r="A222" s="15" t="s">
        <v>34</v>
      </c>
      <c r="B222" s="16">
        <v>41968</v>
      </c>
      <c r="C222" s="17">
        <v>-0.1037</v>
      </c>
      <c r="D222" s="17">
        <v>0.3604</v>
      </c>
    </row>
    <row r="223" spans="1:4" x14ac:dyDescent="0.25">
      <c r="A223" s="15" t="s">
        <v>34</v>
      </c>
      <c r="B223" s="16">
        <v>41969</v>
      </c>
      <c r="C223" s="17">
        <v>0.92930000000000001</v>
      </c>
      <c r="D223" s="17">
        <v>0</v>
      </c>
    </row>
    <row r="224" spans="1:4" x14ac:dyDescent="0.25">
      <c r="A224" s="15" t="s">
        <v>34</v>
      </c>
      <c r="B224" s="16">
        <v>41970</v>
      </c>
      <c r="C224" s="17">
        <v>-0.20580000000000001</v>
      </c>
      <c r="D224" s="17">
        <v>0.71679999999999999</v>
      </c>
    </row>
    <row r="225" spans="1:4" x14ac:dyDescent="0.25">
      <c r="A225" s="15" t="s">
        <v>34</v>
      </c>
      <c r="B225" s="16">
        <v>41971</v>
      </c>
      <c r="C225" s="17">
        <v>-0.10299999999999999</v>
      </c>
      <c r="D225" s="17">
        <v>1.0657000000000001</v>
      </c>
    </row>
    <row r="226" spans="1:4" x14ac:dyDescent="0.25">
      <c r="A226" s="15" t="s">
        <v>34</v>
      </c>
      <c r="B226" s="16">
        <v>41974</v>
      </c>
      <c r="C226" s="17">
        <v>-1.7681</v>
      </c>
      <c r="D226" s="17">
        <v>-1.0657000000000001</v>
      </c>
    </row>
    <row r="227" spans="1:4" x14ac:dyDescent="0.25">
      <c r="A227" s="15" t="s">
        <v>34</v>
      </c>
      <c r="B227" s="16">
        <v>41975</v>
      </c>
      <c r="C227" s="17">
        <v>-2.7660999999999998</v>
      </c>
      <c r="D227" s="17">
        <v>-1.8019000000000001</v>
      </c>
    </row>
    <row r="228" spans="1:4" x14ac:dyDescent="0.25">
      <c r="A228" s="15" t="s">
        <v>34</v>
      </c>
      <c r="B228" s="16">
        <v>41976</v>
      </c>
      <c r="C228" s="17">
        <v>1.9231</v>
      </c>
      <c r="D228" s="17">
        <v>0.36299999999999999</v>
      </c>
    </row>
    <row r="229" spans="1:4" x14ac:dyDescent="0.25">
      <c r="A229" s="15" t="s">
        <v>34</v>
      </c>
      <c r="B229" s="16">
        <v>41977</v>
      </c>
      <c r="C229" s="17">
        <v>0.84299999999999997</v>
      </c>
      <c r="D229" s="17">
        <v>0.72199999999999998</v>
      </c>
    </row>
    <row r="230" spans="1:4" x14ac:dyDescent="0.25">
      <c r="A230" s="15" t="s">
        <v>34</v>
      </c>
      <c r="B230" s="16">
        <v>41978</v>
      </c>
      <c r="C230" s="17">
        <v>-2.2282000000000002</v>
      </c>
      <c r="D230" s="17">
        <v>-1.085</v>
      </c>
    </row>
    <row r="231" spans="1:4" x14ac:dyDescent="0.25">
      <c r="A231" s="15" t="s">
        <v>34</v>
      </c>
      <c r="B231" s="16">
        <v>41981</v>
      </c>
      <c r="C231" s="17">
        <v>-1.4047000000000001</v>
      </c>
      <c r="D231" s="17">
        <v>0.36299999999999999</v>
      </c>
    </row>
    <row r="232" spans="1:4" x14ac:dyDescent="0.25">
      <c r="A232" s="15" t="s">
        <v>34</v>
      </c>
      <c r="B232" s="16">
        <v>41982</v>
      </c>
      <c r="C232" s="17">
        <v>-2.0891000000000002</v>
      </c>
      <c r="D232" s="17">
        <v>0</v>
      </c>
    </row>
    <row r="233" spans="1:4" x14ac:dyDescent="0.25">
      <c r="A233" s="15" t="s">
        <v>34</v>
      </c>
      <c r="B233" s="16">
        <v>41983</v>
      </c>
      <c r="C233" s="17">
        <v>-0.44540000000000002</v>
      </c>
      <c r="D233" s="17">
        <v>-1.4599</v>
      </c>
    </row>
    <row r="234" spans="1:4" x14ac:dyDescent="0.25">
      <c r="A234" s="15" t="s">
        <v>34</v>
      </c>
      <c r="B234" s="16">
        <v>41984</v>
      </c>
      <c r="C234" s="17">
        <v>0.33429999999999999</v>
      </c>
      <c r="D234" s="17">
        <v>-1.1091</v>
      </c>
    </row>
    <row r="235" spans="1:4" x14ac:dyDescent="0.25">
      <c r="A235" s="15" t="s">
        <v>34</v>
      </c>
      <c r="B235" s="16">
        <v>41985</v>
      </c>
      <c r="C235" s="17">
        <v>-0.33429999999999999</v>
      </c>
      <c r="D235" s="17">
        <v>0.37109999999999999</v>
      </c>
    </row>
    <row r="236" spans="1:4" x14ac:dyDescent="0.25">
      <c r="A236" s="15" t="s">
        <v>34</v>
      </c>
      <c r="B236" s="16">
        <v>41988</v>
      </c>
      <c r="C236" s="17">
        <v>-2.1433</v>
      </c>
      <c r="D236" s="17">
        <v>0.73799999999999999</v>
      </c>
    </row>
    <row r="237" spans="1:4" x14ac:dyDescent="0.25">
      <c r="A237" s="15" t="s">
        <v>34</v>
      </c>
      <c r="B237" s="16">
        <v>41989</v>
      </c>
      <c r="C237" s="17">
        <v>-1.9575</v>
      </c>
      <c r="D237" s="17">
        <v>-2.2305999999999999</v>
      </c>
    </row>
    <row r="238" spans="1:4" x14ac:dyDescent="0.25">
      <c r="A238" s="15" t="s">
        <v>34</v>
      </c>
      <c r="B238" s="16">
        <v>41990</v>
      </c>
      <c r="C238" s="17">
        <v>-1.9964999999999999</v>
      </c>
      <c r="D238" s="17">
        <v>-1.8976</v>
      </c>
    </row>
    <row r="239" spans="1:4" x14ac:dyDescent="0.25">
      <c r="A239" s="15" t="s">
        <v>34</v>
      </c>
      <c r="B239" s="16">
        <v>41991</v>
      </c>
      <c r="C239" s="17">
        <v>0.59140000000000004</v>
      </c>
      <c r="D239" s="17">
        <v>0.76339999999999997</v>
      </c>
    </row>
    <row r="240" spans="1:4" x14ac:dyDescent="0.25">
      <c r="A240" s="15" t="s">
        <v>34</v>
      </c>
      <c r="B240" s="16">
        <v>41992</v>
      </c>
      <c r="C240" s="17">
        <v>0.93899999999999995</v>
      </c>
      <c r="D240" s="17">
        <v>4.8247</v>
      </c>
    </row>
    <row r="241" spans="1:4" x14ac:dyDescent="0.25">
      <c r="A241" s="15" t="s">
        <v>34</v>
      </c>
      <c r="B241" s="16">
        <v>41995</v>
      </c>
      <c r="C241" s="17">
        <v>2.7652000000000001</v>
      </c>
      <c r="D241" s="17">
        <v>0.36170000000000002</v>
      </c>
    </row>
    <row r="242" spans="1:4" x14ac:dyDescent="0.25">
      <c r="A242" s="15" t="s">
        <v>34</v>
      </c>
      <c r="B242" s="16">
        <v>41996</v>
      </c>
      <c r="C242" s="17">
        <v>-0.79859999999999998</v>
      </c>
      <c r="D242" s="17">
        <v>-0.72460000000000002</v>
      </c>
    </row>
    <row r="243" spans="1:4" x14ac:dyDescent="0.25">
      <c r="A243" s="15" t="s">
        <v>34</v>
      </c>
      <c r="B243" s="16">
        <v>41997</v>
      </c>
      <c r="C243" s="17">
        <v>0.57110000000000005</v>
      </c>
      <c r="D243" s="17">
        <v>0.36299999999999999</v>
      </c>
    </row>
    <row r="244" spans="1:4" x14ac:dyDescent="0.25">
      <c r="A244" s="15" t="s">
        <v>34</v>
      </c>
      <c r="B244" s="16">
        <v>41998</v>
      </c>
      <c r="C244" s="17">
        <v>0</v>
      </c>
      <c r="D244" s="17">
        <v>-0.36299999999999999</v>
      </c>
    </row>
    <row r="245" spans="1:4" x14ac:dyDescent="0.25">
      <c r="A245" s="15" t="s">
        <v>34</v>
      </c>
      <c r="B245" s="16">
        <v>41999</v>
      </c>
      <c r="C245" s="17">
        <v>0.22750000000000001</v>
      </c>
      <c r="D245" s="17">
        <v>1.085</v>
      </c>
    </row>
    <row r="246" spans="1:4" x14ac:dyDescent="0.25">
      <c r="A246" s="15" t="s">
        <v>34</v>
      </c>
      <c r="B246" s="16">
        <v>42000</v>
      </c>
      <c r="C246" s="17">
        <v>0.45350000000000001</v>
      </c>
      <c r="D246" s="17">
        <v>-0.3604</v>
      </c>
    </row>
    <row r="247" spans="1:4" x14ac:dyDescent="0.25">
      <c r="A247" s="15" t="s">
        <v>34</v>
      </c>
      <c r="B247" s="16">
        <v>42002</v>
      </c>
      <c r="C247" s="17">
        <v>-0.68100000000000005</v>
      </c>
      <c r="D247" s="17">
        <v>1.7889999999999999</v>
      </c>
    </row>
    <row r="248" spans="1:4" x14ac:dyDescent="0.25">
      <c r="A248" s="15" t="s">
        <v>34</v>
      </c>
      <c r="B248" s="16">
        <v>42003</v>
      </c>
      <c r="C248" s="17">
        <v>0</v>
      </c>
      <c r="D248" s="17">
        <v>-0.7117</v>
      </c>
    </row>
    <row r="249" spans="1:4" x14ac:dyDescent="0.25">
      <c r="A249" s="15" t="s">
        <v>34</v>
      </c>
      <c r="B249" s="16">
        <v>42004</v>
      </c>
      <c r="C249" s="17">
        <v>0.1138</v>
      </c>
      <c r="D249" s="17">
        <v>0.7117</v>
      </c>
    </row>
    <row r="250" spans="1:4" x14ac:dyDescent="0.25">
      <c r="A250" s="15" t="s">
        <v>34</v>
      </c>
      <c r="B250" s="16">
        <v>42009</v>
      </c>
      <c r="C250" s="17">
        <v>-0.79949999999999999</v>
      </c>
      <c r="D250" s="17">
        <v>-1.0694999999999999</v>
      </c>
    </row>
    <row r="251" spans="1:4" x14ac:dyDescent="0.25">
      <c r="A251" s="15" t="s">
        <v>34</v>
      </c>
      <c r="B251" s="16">
        <v>42010</v>
      </c>
      <c r="C251" s="17">
        <v>-3.1453000000000002</v>
      </c>
      <c r="D251" s="17">
        <v>-4.3963000000000001</v>
      </c>
    </row>
    <row r="252" spans="1:4" x14ac:dyDescent="0.25">
      <c r="A252" s="15" t="s">
        <v>34</v>
      </c>
      <c r="B252" s="16">
        <v>42011</v>
      </c>
      <c r="C252" s="17">
        <v>0.82499999999999996</v>
      </c>
      <c r="D252" s="17">
        <v>0.37380000000000002</v>
      </c>
    </row>
    <row r="253" spans="1:4" x14ac:dyDescent="0.25">
      <c r="A253" s="15" t="s">
        <v>34</v>
      </c>
      <c r="B253" s="16">
        <v>42012</v>
      </c>
      <c r="C253" s="17">
        <v>1.9757</v>
      </c>
      <c r="D253" s="17">
        <v>2.9413999999999998</v>
      </c>
    </row>
    <row r="254" spans="1:4" x14ac:dyDescent="0.25">
      <c r="A254" s="15" t="s">
        <v>34</v>
      </c>
      <c r="B254" s="16">
        <v>42013</v>
      </c>
      <c r="C254" s="17">
        <v>-0.46139999999999998</v>
      </c>
      <c r="D254" s="17">
        <v>-2.9413999999999998</v>
      </c>
    </row>
    <row r="255" spans="1:4" x14ac:dyDescent="0.25">
      <c r="A255" s="15" t="s">
        <v>34</v>
      </c>
      <c r="B255" s="16">
        <v>42016</v>
      </c>
      <c r="C255" s="17">
        <v>-0.92920000000000003</v>
      </c>
      <c r="D255" s="17">
        <v>-1.5038</v>
      </c>
    </row>
    <row r="256" spans="1:4" x14ac:dyDescent="0.25">
      <c r="A256" s="15" t="s">
        <v>34</v>
      </c>
      <c r="B256" s="16">
        <v>42017</v>
      </c>
      <c r="C256" s="17">
        <v>0.69769999999999999</v>
      </c>
      <c r="D256" s="17">
        <v>0.37809999999999999</v>
      </c>
    </row>
    <row r="257" spans="1:4" x14ac:dyDescent="0.25">
      <c r="A257" s="15" t="s">
        <v>34</v>
      </c>
      <c r="B257" s="16">
        <v>42018</v>
      </c>
      <c r="C257" s="17">
        <v>-1.1655</v>
      </c>
      <c r="D257" s="17">
        <v>-1.9048</v>
      </c>
    </row>
    <row r="258" spans="1:4" x14ac:dyDescent="0.25">
      <c r="A258" s="15" t="s">
        <v>34</v>
      </c>
      <c r="B258" s="16">
        <v>42019</v>
      </c>
      <c r="C258" s="17">
        <v>-0.58789999999999998</v>
      </c>
      <c r="D258" s="17">
        <v>1.1472</v>
      </c>
    </row>
    <row r="259" spans="1:4" x14ac:dyDescent="0.25">
      <c r="A259" s="15" t="s">
        <v>34</v>
      </c>
      <c r="B259" s="16">
        <v>42020</v>
      </c>
      <c r="C259" s="17">
        <v>-0.82889999999999997</v>
      </c>
      <c r="D259" s="17">
        <v>4.0974000000000004</v>
      </c>
    </row>
    <row r="260" spans="1:4" x14ac:dyDescent="0.25">
      <c r="A260" s="15" t="s">
        <v>34</v>
      </c>
      <c r="B260" s="16">
        <v>42023</v>
      </c>
      <c r="C260" s="17">
        <v>-0.4768</v>
      </c>
      <c r="D260" s="17">
        <v>1.4493</v>
      </c>
    </row>
    <row r="261" spans="1:4" x14ac:dyDescent="0.25">
      <c r="A261" s="15" t="s">
        <v>34</v>
      </c>
      <c r="B261" s="16">
        <v>42024</v>
      </c>
      <c r="C261" s="17">
        <v>1.1877</v>
      </c>
      <c r="D261" s="17">
        <v>-0.72199999999999998</v>
      </c>
    </row>
    <row r="262" spans="1:4" x14ac:dyDescent="0.25">
      <c r="A262" s="15" t="s">
        <v>34</v>
      </c>
      <c r="B262" s="16">
        <v>42025</v>
      </c>
      <c r="C262" s="17">
        <v>0.70589999999999997</v>
      </c>
      <c r="D262" s="17">
        <v>2.1505999999999998</v>
      </c>
    </row>
    <row r="263" spans="1:4" x14ac:dyDescent="0.25">
      <c r="A263" s="15" t="s">
        <v>34</v>
      </c>
      <c r="B263" s="16">
        <v>42026</v>
      </c>
      <c r="C263" s="17">
        <v>0.23419999999999999</v>
      </c>
      <c r="D263" s="17">
        <v>-0.7117</v>
      </c>
    </row>
    <row r="264" spans="1:4" x14ac:dyDescent="0.25">
      <c r="A264" s="15" t="s">
        <v>34</v>
      </c>
      <c r="B264" s="16">
        <v>42027</v>
      </c>
      <c r="C264" s="17">
        <v>2.6545000000000001</v>
      </c>
      <c r="D264" s="17">
        <v>3.5091000000000001</v>
      </c>
    </row>
    <row r="265" spans="1:4" x14ac:dyDescent="0.25">
      <c r="A265" s="15" t="s">
        <v>34</v>
      </c>
      <c r="B265" s="16">
        <v>42030</v>
      </c>
      <c r="C265" s="17">
        <v>1.1325000000000001</v>
      </c>
      <c r="D265" s="17">
        <v>0</v>
      </c>
    </row>
    <row r="266" spans="1:4" x14ac:dyDescent="0.25">
      <c r="A266" s="15" t="s">
        <v>34</v>
      </c>
      <c r="B266" s="16">
        <v>42031</v>
      </c>
      <c r="C266" s="17">
        <v>0</v>
      </c>
      <c r="D266" s="17">
        <v>1.3698999999999999</v>
      </c>
    </row>
    <row r="267" spans="1:4" x14ac:dyDescent="0.25">
      <c r="A267" s="15" t="s">
        <v>34</v>
      </c>
      <c r="B267" s="16">
        <v>42032</v>
      </c>
      <c r="C267" s="17">
        <v>-1.0186999999999999</v>
      </c>
      <c r="D267" s="17">
        <v>-0.3407</v>
      </c>
    </row>
    <row r="268" spans="1:4" x14ac:dyDescent="0.25">
      <c r="A268" s="15" t="s">
        <v>34</v>
      </c>
      <c r="B268" s="16">
        <v>42033</v>
      </c>
      <c r="C268" s="17">
        <v>-1.3746</v>
      </c>
      <c r="D268" s="17">
        <v>-2.069</v>
      </c>
    </row>
    <row r="269" spans="1:4" x14ac:dyDescent="0.25">
      <c r="A269" s="15" t="s">
        <v>34</v>
      </c>
      <c r="B269" s="16">
        <v>42034</v>
      </c>
      <c r="C269" s="17">
        <v>0</v>
      </c>
      <c r="D269" s="17">
        <v>-1.7575000000000001</v>
      </c>
    </row>
    <row r="270" spans="1:4" x14ac:dyDescent="0.25">
      <c r="A270" s="15" t="s">
        <v>34</v>
      </c>
      <c r="B270" s="16">
        <v>42037</v>
      </c>
      <c r="C270" s="17">
        <v>-0.23089999999999999</v>
      </c>
      <c r="D270" s="17">
        <v>1.0582</v>
      </c>
    </row>
    <row r="271" spans="1:4" x14ac:dyDescent="0.25">
      <c r="A271" s="15" t="s">
        <v>34</v>
      </c>
      <c r="B271" s="16">
        <v>42038</v>
      </c>
      <c r="C271" s="17">
        <v>1.0350999999999999</v>
      </c>
      <c r="D271" s="17">
        <v>1.3937999999999999</v>
      </c>
    </row>
    <row r="272" spans="1:4" x14ac:dyDescent="0.25">
      <c r="A272" s="15" t="s">
        <v>34</v>
      </c>
      <c r="B272" s="16">
        <v>42039</v>
      </c>
      <c r="C272" s="17">
        <v>0.1144</v>
      </c>
      <c r="D272" s="17">
        <v>1.0327</v>
      </c>
    </row>
    <row r="273" spans="1:4" x14ac:dyDescent="0.25">
      <c r="A273" s="15" t="s">
        <v>34</v>
      </c>
      <c r="B273" s="16">
        <v>42040</v>
      </c>
      <c r="C273" s="17">
        <v>-0.2288</v>
      </c>
      <c r="D273" s="17">
        <v>-0.34310000000000002</v>
      </c>
    </row>
    <row r="274" spans="1:4" x14ac:dyDescent="0.25">
      <c r="A274" s="15" t="s">
        <v>34</v>
      </c>
      <c r="B274" s="16">
        <v>42041</v>
      </c>
      <c r="C274" s="17">
        <v>0</v>
      </c>
      <c r="D274" s="17">
        <v>-1.7331000000000001</v>
      </c>
    </row>
    <row r="275" spans="1:4" x14ac:dyDescent="0.25">
      <c r="A275" s="15" t="s">
        <v>34</v>
      </c>
      <c r="B275" s="16">
        <v>42044</v>
      </c>
      <c r="C275" s="17">
        <v>-0.34420000000000001</v>
      </c>
      <c r="D275" s="17">
        <v>-0.70179999999999998</v>
      </c>
    </row>
    <row r="276" spans="1:4" x14ac:dyDescent="0.25">
      <c r="A276" s="15" t="s">
        <v>34</v>
      </c>
      <c r="B276" s="16">
        <v>42045</v>
      </c>
      <c r="C276" s="17">
        <v>-1.7392000000000001</v>
      </c>
      <c r="D276" s="17">
        <v>0.35149999999999998</v>
      </c>
    </row>
    <row r="277" spans="1:4" x14ac:dyDescent="0.25">
      <c r="A277" s="15" t="s">
        <v>34</v>
      </c>
      <c r="B277" s="16">
        <v>42046</v>
      </c>
      <c r="C277" s="17">
        <v>-0.82210000000000005</v>
      </c>
      <c r="D277" s="17">
        <v>3.7869999999999999</v>
      </c>
    </row>
    <row r="278" spans="1:4" x14ac:dyDescent="0.25">
      <c r="A278" s="15" t="s">
        <v>34</v>
      </c>
      <c r="B278" s="16">
        <v>42047</v>
      </c>
      <c r="C278" s="17">
        <v>1.6375</v>
      </c>
      <c r="D278" s="17">
        <v>0.33729999999999999</v>
      </c>
    </row>
    <row r="279" spans="1:4" x14ac:dyDescent="0.25">
      <c r="A279" s="15" t="s">
        <v>34</v>
      </c>
      <c r="B279" s="16">
        <v>42048</v>
      </c>
      <c r="C279" s="17">
        <v>-0.46510000000000001</v>
      </c>
      <c r="D279" s="17">
        <v>0</v>
      </c>
    </row>
    <row r="280" spans="1:4" x14ac:dyDescent="0.25">
      <c r="A280" s="15" t="s">
        <v>34</v>
      </c>
      <c r="B280" s="16">
        <v>42059</v>
      </c>
      <c r="C280" s="17">
        <v>0</v>
      </c>
      <c r="D280" s="17">
        <v>1.6695</v>
      </c>
    </row>
    <row r="281" spans="1:4" x14ac:dyDescent="0.25">
      <c r="A281" s="15" t="s">
        <v>34</v>
      </c>
      <c r="B281" s="16">
        <v>42060</v>
      </c>
      <c r="C281" s="17">
        <v>0.58109999999999995</v>
      </c>
      <c r="D281" s="17">
        <v>2.2913999999999999</v>
      </c>
    </row>
    <row r="282" spans="1:4" x14ac:dyDescent="0.25">
      <c r="A282" s="15" t="s">
        <v>34</v>
      </c>
      <c r="B282" s="16">
        <v>42061</v>
      </c>
      <c r="C282" s="17">
        <v>0.92269999999999996</v>
      </c>
      <c r="D282" s="17">
        <v>-2.6231</v>
      </c>
    </row>
    <row r="283" spans="1:4" x14ac:dyDescent="0.25">
      <c r="A283" s="15" t="s">
        <v>34</v>
      </c>
      <c r="B283" s="16">
        <v>42065</v>
      </c>
      <c r="C283" s="17">
        <v>0</v>
      </c>
      <c r="D283" s="17">
        <v>-1.0017</v>
      </c>
    </row>
    <row r="284" spans="1:4" x14ac:dyDescent="0.25">
      <c r="A284" s="15" t="s">
        <v>34</v>
      </c>
      <c r="B284" s="16">
        <v>42066</v>
      </c>
      <c r="C284" s="17">
        <v>-0.92269999999999996</v>
      </c>
      <c r="D284" s="17">
        <v>1.0017</v>
      </c>
    </row>
    <row r="285" spans="1:4" x14ac:dyDescent="0.25">
      <c r="A285" s="15" t="s">
        <v>34</v>
      </c>
      <c r="B285" s="16">
        <v>42067</v>
      </c>
      <c r="C285" s="17">
        <v>2.2911000000000001</v>
      </c>
      <c r="D285" s="17">
        <v>0</v>
      </c>
    </row>
    <row r="286" spans="1:4" x14ac:dyDescent="0.25">
      <c r="A286" s="15" t="s">
        <v>34</v>
      </c>
      <c r="B286" s="16">
        <v>42068</v>
      </c>
      <c r="C286" s="17">
        <v>0.22620000000000001</v>
      </c>
      <c r="D286" s="17">
        <v>-0.33279999999999998</v>
      </c>
    </row>
    <row r="287" spans="1:4" x14ac:dyDescent="0.25">
      <c r="A287" s="15" t="s">
        <v>34</v>
      </c>
      <c r="B287" s="16">
        <v>42069</v>
      </c>
      <c r="C287" s="17">
        <v>0.33839999999999998</v>
      </c>
      <c r="D287" s="17">
        <v>-0.66890000000000005</v>
      </c>
    </row>
    <row r="288" spans="1:4" x14ac:dyDescent="0.25">
      <c r="A288" s="15" t="s">
        <v>34</v>
      </c>
      <c r="B288" s="16">
        <v>42072</v>
      </c>
      <c r="C288" s="17">
        <v>-1.1325000000000001</v>
      </c>
      <c r="D288" s="17">
        <v>-2.3769999999999998</v>
      </c>
    </row>
    <row r="289" spans="1:4" x14ac:dyDescent="0.25">
      <c r="A289" s="15" t="s">
        <v>34</v>
      </c>
      <c r="B289" s="16">
        <v>42073</v>
      </c>
      <c r="C289" s="17">
        <v>-0.80049999999999999</v>
      </c>
      <c r="D289" s="17">
        <v>-1.0363</v>
      </c>
    </row>
    <row r="290" spans="1:4" x14ac:dyDescent="0.25">
      <c r="A290" s="15" t="s">
        <v>34</v>
      </c>
      <c r="B290" s="16">
        <v>42074</v>
      </c>
      <c r="C290" s="17">
        <v>0.22939999999999999</v>
      </c>
      <c r="D290" s="17">
        <v>1.3793</v>
      </c>
    </row>
    <row r="291" spans="1:4" x14ac:dyDescent="0.25">
      <c r="A291" s="15" t="s">
        <v>34</v>
      </c>
      <c r="B291" s="16">
        <v>42075</v>
      </c>
      <c r="C291" s="17">
        <v>-0.22939999999999999</v>
      </c>
      <c r="D291" s="17">
        <v>1.3606</v>
      </c>
    </row>
    <row r="292" spans="1:4" x14ac:dyDescent="0.25">
      <c r="A292" s="15" t="s">
        <v>34</v>
      </c>
      <c r="B292" s="16">
        <v>42076</v>
      </c>
      <c r="C292" s="17">
        <v>1.028</v>
      </c>
      <c r="D292" s="17">
        <v>0.6734</v>
      </c>
    </row>
    <row r="293" spans="1:4" x14ac:dyDescent="0.25">
      <c r="A293" s="15" t="s">
        <v>34</v>
      </c>
      <c r="B293" s="16">
        <v>42079</v>
      </c>
      <c r="C293" s="17">
        <v>-0.79859999999999998</v>
      </c>
      <c r="D293" s="17">
        <v>-2.0339999999999998</v>
      </c>
    </row>
    <row r="294" spans="1:4" x14ac:dyDescent="0.25">
      <c r="A294" s="15" t="s">
        <v>34</v>
      </c>
      <c r="B294" s="16">
        <v>42080</v>
      </c>
      <c r="C294" s="17">
        <v>0</v>
      </c>
      <c r="D294" s="17">
        <v>2.0339999999999998</v>
      </c>
    </row>
    <row r="295" spans="1:4" x14ac:dyDescent="0.25">
      <c r="A295" s="15" t="s">
        <v>34</v>
      </c>
      <c r="B295" s="16">
        <v>42081</v>
      </c>
      <c r="C295" s="17">
        <v>0.68489999999999995</v>
      </c>
      <c r="D295" s="17">
        <v>2.9754</v>
      </c>
    </row>
    <row r="296" spans="1:4" x14ac:dyDescent="0.25">
      <c r="A296" s="15" t="s">
        <v>34</v>
      </c>
      <c r="B296" s="16">
        <v>42082</v>
      </c>
      <c r="C296" s="17">
        <v>3.5758000000000001</v>
      </c>
      <c r="D296" s="17">
        <v>0.32519999999999999</v>
      </c>
    </row>
    <row r="297" spans="1:4" x14ac:dyDescent="0.25">
      <c r="A297" s="15" t="s">
        <v>34</v>
      </c>
      <c r="B297" s="16">
        <v>42083</v>
      </c>
      <c r="C297" s="17">
        <v>2.0642</v>
      </c>
      <c r="D297" s="17">
        <v>0</v>
      </c>
    </row>
    <row r="298" spans="1:4" x14ac:dyDescent="0.25">
      <c r="A298" s="15" t="s">
        <v>34</v>
      </c>
      <c r="B298" s="16">
        <v>42086</v>
      </c>
      <c r="C298" s="17">
        <v>0.53620000000000001</v>
      </c>
      <c r="D298" s="17">
        <v>-0.32519999999999999</v>
      </c>
    </row>
    <row r="299" spans="1:4" x14ac:dyDescent="0.25">
      <c r="A299" s="15" t="s">
        <v>34</v>
      </c>
      <c r="B299" s="16">
        <v>42087</v>
      </c>
      <c r="C299" s="17">
        <v>-0.21410000000000001</v>
      </c>
      <c r="D299" s="17">
        <v>-1.3115000000000001</v>
      </c>
    </row>
    <row r="300" spans="1:4" x14ac:dyDescent="0.25">
      <c r="A300" s="15" t="s">
        <v>34</v>
      </c>
      <c r="B300" s="16">
        <v>42088</v>
      </c>
      <c r="C300" s="17">
        <v>1.1720999999999999</v>
      </c>
      <c r="D300" s="17">
        <v>-0.3306</v>
      </c>
    </row>
    <row r="301" spans="1:4" x14ac:dyDescent="0.25">
      <c r="A301" s="15" t="s">
        <v>34</v>
      </c>
      <c r="B301" s="16">
        <v>42089</v>
      </c>
      <c r="C301" s="17">
        <v>0</v>
      </c>
      <c r="D301" s="17">
        <v>-3.7103999999999999</v>
      </c>
    </row>
    <row r="302" spans="1:4" x14ac:dyDescent="0.25">
      <c r="A302" s="15" t="s">
        <v>34</v>
      </c>
      <c r="B302" s="16">
        <v>42090</v>
      </c>
      <c r="C302" s="17">
        <v>-1.4942</v>
      </c>
      <c r="D302" s="17">
        <v>-2.0834000000000001</v>
      </c>
    </row>
    <row r="303" spans="1:4" x14ac:dyDescent="0.25">
      <c r="A303" s="15" t="s">
        <v>34</v>
      </c>
      <c r="B303" s="16">
        <v>42093</v>
      </c>
      <c r="C303" s="17">
        <v>1.0694999999999999</v>
      </c>
      <c r="D303" s="17">
        <v>0</v>
      </c>
    </row>
    <row r="304" spans="1:4" x14ac:dyDescent="0.25">
      <c r="A304" s="15" t="s">
        <v>34</v>
      </c>
      <c r="B304" s="16">
        <v>42094</v>
      </c>
      <c r="C304" s="17">
        <v>-2.5863999999999998</v>
      </c>
      <c r="D304" s="17">
        <v>2.0834000000000001</v>
      </c>
    </row>
    <row r="305" spans="1:4" x14ac:dyDescent="0.25">
      <c r="A305" s="15" t="s">
        <v>34</v>
      </c>
      <c r="B305" s="16">
        <v>42095</v>
      </c>
      <c r="C305" s="17">
        <v>0.1091</v>
      </c>
      <c r="D305" s="17">
        <v>-1.0363</v>
      </c>
    </row>
    <row r="306" spans="1:4" x14ac:dyDescent="0.25">
      <c r="A306" s="15" t="s">
        <v>34</v>
      </c>
      <c r="B306" s="16">
        <v>42096</v>
      </c>
      <c r="C306" s="17">
        <v>1.6225000000000001</v>
      </c>
      <c r="D306" s="17">
        <v>2.0619000000000001</v>
      </c>
    </row>
    <row r="307" spans="1:4" x14ac:dyDescent="0.25">
      <c r="A307" s="15" t="s">
        <v>34</v>
      </c>
      <c r="B307" s="16">
        <v>42101</v>
      </c>
      <c r="C307" s="17">
        <v>0.42830000000000001</v>
      </c>
      <c r="D307" s="17">
        <v>-0.68259999999999998</v>
      </c>
    </row>
    <row r="308" spans="1:4" x14ac:dyDescent="0.25">
      <c r="A308" s="15" t="s">
        <v>34</v>
      </c>
      <c r="B308" s="16">
        <v>42102</v>
      </c>
      <c r="C308" s="17">
        <v>0.10680000000000001</v>
      </c>
      <c r="D308" s="17">
        <v>-2.0762</v>
      </c>
    </row>
    <row r="309" spans="1:4" x14ac:dyDescent="0.25">
      <c r="A309" s="15" t="s">
        <v>34</v>
      </c>
      <c r="B309" s="16">
        <v>42103</v>
      </c>
      <c r="C309" s="17">
        <v>-0.74990000000000001</v>
      </c>
      <c r="D309" s="17">
        <v>0</v>
      </c>
    </row>
    <row r="310" spans="1:4" x14ac:dyDescent="0.25">
      <c r="A310" s="15" t="s">
        <v>34</v>
      </c>
      <c r="B310" s="16">
        <v>42104</v>
      </c>
      <c r="C310" s="17">
        <v>0.1075</v>
      </c>
      <c r="D310" s="17">
        <v>2.7587999999999999</v>
      </c>
    </row>
    <row r="311" spans="1:4" x14ac:dyDescent="0.25">
      <c r="A311" s="15" t="s">
        <v>34</v>
      </c>
      <c r="B311" s="16">
        <v>42107</v>
      </c>
      <c r="C311" s="17">
        <v>-0.21510000000000001</v>
      </c>
      <c r="D311" s="17">
        <v>0</v>
      </c>
    </row>
    <row r="312" spans="1:4" x14ac:dyDescent="0.25">
      <c r="A312" s="15" t="s">
        <v>34</v>
      </c>
      <c r="B312" s="16">
        <v>42108</v>
      </c>
      <c r="C312" s="17">
        <v>0.96409999999999996</v>
      </c>
      <c r="D312" s="17">
        <v>-2.0619000000000001</v>
      </c>
    </row>
    <row r="313" spans="1:4" x14ac:dyDescent="0.25">
      <c r="A313" s="15" t="s">
        <v>34</v>
      </c>
      <c r="B313" s="16">
        <v>42109</v>
      </c>
      <c r="C313" s="17">
        <v>-1.829</v>
      </c>
      <c r="D313" s="17">
        <v>-0.69689999999999996</v>
      </c>
    </row>
    <row r="314" spans="1:4" x14ac:dyDescent="0.25">
      <c r="A314" s="15" t="s">
        <v>34</v>
      </c>
      <c r="B314" s="16">
        <v>42110</v>
      </c>
      <c r="C314" s="17">
        <v>1.2945</v>
      </c>
      <c r="D314" s="17">
        <v>2.7587999999999999</v>
      </c>
    </row>
    <row r="315" spans="1:4" x14ac:dyDescent="0.25">
      <c r="A315" s="15" t="s">
        <v>34</v>
      </c>
      <c r="B315" s="16">
        <v>42111</v>
      </c>
      <c r="C315" s="17">
        <v>-1.0775999999999999</v>
      </c>
      <c r="D315" s="17">
        <v>-3.1091000000000002</v>
      </c>
    </row>
    <row r="316" spans="1:4" x14ac:dyDescent="0.25">
      <c r="A316" s="15" t="s">
        <v>34</v>
      </c>
      <c r="B316" s="16">
        <v>42114</v>
      </c>
      <c r="C316" s="17">
        <v>0.54020000000000001</v>
      </c>
      <c r="D316" s="17">
        <v>0.3503</v>
      </c>
    </row>
    <row r="317" spans="1:4" x14ac:dyDescent="0.25">
      <c r="A317" s="15" t="s">
        <v>34</v>
      </c>
      <c r="B317" s="16">
        <v>42115</v>
      </c>
      <c r="C317" s="17">
        <v>-0.75719999999999998</v>
      </c>
      <c r="D317" s="17">
        <v>-0.3503</v>
      </c>
    </row>
    <row r="318" spans="1:4" x14ac:dyDescent="0.25">
      <c r="A318" s="15" t="s">
        <v>34</v>
      </c>
      <c r="B318" s="16">
        <v>42116</v>
      </c>
      <c r="C318" s="17">
        <v>-0.1086</v>
      </c>
      <c r="D318" s="17">
        <v>0.69930000000000003</v>
      </c>
    </row>
    <row r="319" spans="1:4" x14ac:dyDescent="0.25">
      <c r="A319" s="15" t="s">
        <v>34</v>
      </c>
      <c r="B319" s="16">
        <v>42117</v>
      </c>
      <c r="C319" s="17">
        <v>1.4032</v>
      </c>
      <c r="D319" s="17">
        <v>2.4098000000000002</v>
      </c>
    </row>
    <row r="320" spans="1:4" x14ac:dyDescent="0.25">
      <c r="A320" s="15" t="s">
        <v>34</v>
      </c>
      <c r="B320" s="16">
        <v>42118</v>
      </c>
      <c r="C320" s="17">
        <v>1.3836999999999999</v>
      </c>
      <c r="D320" s="17">
        <v>3.6732</v>
      </c>
    </row>
    <row r="321" spans="1:4" x14ac:dyDescent="0.25">
      <c r="A321" s="15" t="s">
        <v>34</v>
      </c>
      <c r="B321" s="16">
        <v>42121</v>
      </c>
      <c r="C321" s="17">
        <v>0.1057</v>
      </c>
      <c r="D321" s="17">
        <v>-0.65790000000000004</v>
      </c>
    </row>
    <row r="322" spans="1:4" x14ac:dyDescent="0.25">
      <c r="A322" s="15" t="s">
        <v>34</v>
      </c>
      <c r="B322" s="16">
        <v>42122</v>
      </c>
      <c r="C322" s="17">
        <v>-1.1684000000000001</v>
      </c>
      <c r="D322" s="17">
        <v>0</v>
      </c>
    </row>
    <row r="323" spans="1:4" x14ac:dyDescent="0.25">
      <c r="A323" s="15" t="s">
        <v>34</v>
      </c>
      <c r="B323" s="16">
        <v>42123</v>
      </c>
      <c r="C323" s="17">
        <v>-1.6154999999999999</v>
      </c>
      <c r="D323" s="17">
        <v>-2.0001000000000002</v>
      </c>
    </row>
    <row r="324" spans="1:4" x14ac:dyDescent="0.25">
      <c r="A324" s="15" t="s">
        <v>34</v>
      </c>
      <c r="B324" s="16">
        <v>42124</v>
      </c>
      <c r="C324" s="17">
        <v>-0.1086</v>
      </c>
      <c r="D324" s="17">
        <v>-1.0152000000000001</v>
      </c>
    </row>
    <row r="325" spans="1:4" x14ac:dyDescent="0.25">
      <c r="A325" s="15" t="s">
        <v>34</v>
      </c>
      <c r="B325" s="16">
        <v>42128</v>
      </c>
      <c r="C325" s="17">
        <v>1.1886000000000001</v>
      </c>
      <c r="D325" s="17">
        <v>0.33960000000000001</v>
      </c>
    </row>
    <row r="326" spans="1:4" x14ac:dyDescent="0.25">
      <c r="A326" s="15" t="s">
        <v>34</v>
      </c>
      <c r="B326" s="16">
        <v>42129</v>
      </c>
      <c r="C326" s="17">
        <v>0</v>
      </c>
      <c r="D326" s="17">
        <v>-0.33960000000000001</v>
      </c>
    </row>
    <row r="327" spans="1:4" x14ac:dyDescent="0.25">
      <c r="A327" s="15" t="s">
        <v>34</v>
      </c>
      <c r="B327" s="16">
        <v>42130</v>
      </c>
      <c r="C327" s="17">
        <v>-0.1075</v>
      </c>
      <c r="D327" s="17">
        <v>0.33960000000000001</v>
      </c>
    </row>
    <row r="328" spans="1:4" x14ac:dyDescent="0.25">
      <c r="A328" s="15" t="s">
        <v>34</v>
      </c>
      <c r="B328" s="16">
        <v>42131</v>
      </c>
      <c r="C328" s="17">
        <v>-0.97250000000000003</v>
      </c>
      <c r="D328" s="17">
        <v>-0.68030000000000002</v>
      </c>
    </row>
    <row r="329" spans="1:4" x14ac:dyDescent="0.25">
      <c r="A329" s="15" t="s">
        <v>34</v>
      </c>
      <c r="B329" s="16">
        <v>42132</v>
      </c>
      <c r="C329" s="17">
        <v>0.64939999999999998</v>
      </c>
      <c r="D329" s="17">
        <v>0</v>
      </c>
    </row>
    <row r="330" spans="1:4" x14ac:dyDescent="0.25">
      <c r="A330" s="15" t="s">
        <v>34</v>
      </c>
      <c r="B330" s="16">
        <v>42135</v>
      </c>
      <c r="C330" s="17">
        <v>0.53790000000000004</v>
      </c>
      <c r="D330" s="17">
        <v>1.3560000000000001</v>
      </c>
    </row>
    <row r="331" spans="1:4" x14ac:dyDescent="0.25">
      <c r="A331" s="15" t="s">
        <v>34</v>
      </c>
      <c r="B331" s="16">
        <v>42136</v>
      </c>
      <c r="C331" s="17">
        <v>-0.53790000000000004</v>
      </c>
      <c r="D331" s="17">
        <v>-0.67569999999999997</v>
      </c>
    </row>
    <row r="332" spans="1:4" x14ac:dyDescent="0.25">
      <c r="A332" s="15" t="s">
        <v>34</v>
      </c>
      <c r="B332" s="16">
        <v>42137</v>
      </c>
      <c r="C332" s="17">
        <v>1.9231</v>
      </c>
      <c r="D332" s="17">
        <v>0.33839999999999998</v>
      </c>
    </row>
    <row r="333" spans="1:4" x14ac:dyDescent="0.25">
      <c r="A333" s="15" t="s">
        <v>34</v>
      </c>
      <c r="B333" s="16">
        <v>42138</v>
      </c>
      <c r="C333" s="17">
        <v>-0.85019999999999996</v>
      </c>
      <c r="D333" s="17">
        <v>-1.3606</v>
      </c>
    </row>
    <row r="334" spans="1:4" x14ac:dyDescent="0.25">
      <c r="A334" s="15" t="s">
        <v>34</v>
      </c>
      <c r="B334" s="16">
        <v>42139</v>
      </c>
      <c r="C334" s="17">
        <v>-0.64239999999999997</v>
      </c>
      <c r="D334" s="17">
        <v>0.34189999999999998</v>
      </c>
    </row>
    <row r="335" spans="1:4" x14ac:dyDescent="0.25">
      <c r="A335" s="15" t="s">
        <v>34</v>
      </c>
      <c r="B335" s="16">
        <v>42142</v>
      </c>
      <c r="C335" s="17">
        <v>3.8973</v>
      </c>
      <c r="D335" s="17">
        <v>0</v>
      </c>
    </row>
    <row r="336" spans="1:4" x14ac:dyDescent="0.25">
      <c r="A336" s="15" t="s">
        <v>34</v>
      </c>
      <c r="B336" s="16">
        <v>42143</v>
      </c>
      <c r="C336" s="17">
        <v>1.6394</v>
      </c>
      <c r="D336" s="17">
        <v>0</v>
      </c>
    </row>
    <row r="337" spans="1:4" x14ac:dyDescent="0.25">
      <c r="A337" s="15" t="s">
        <v>34</v>
      </c>
      <c r="B337" s="16">
        <v>42144</v>
      </c>
      <c r="C337" s="17">
        <v>-0.91879999999999995</v>
      </c>
      <c r="D337" s="17">
        <v>0</v>
      </c>
    </row>
    <row r="338" spans="1:4" x14ac:dyDescent="0.25">
      <c r="A338" s="15" t="s">
        <v>34</v>
      </c>
      <c r="B338" s="16">
        <v>42145</v>
      </c>
      <c r="C338" s="17">
        <v>-0.5141</v>
      </c>
      <c r="D338" s="17">
        <v>-0.68489999999999995</v>
      </c>
    </row>
    <row r="339" spans="1:4" x14ac:dyDescent="0.25">
      <c r="A339" s="15" t="s">
        <v>34</v>
      </c>
      <c r="B339" s="16">
        <v>42146</v>
      </c>
      <c r="C339" s="17">
        <v>-0.51680000000000004</v>
      </c>
      <c r="D339" s="17">
        <v>0</v>
      </c>
    </row>
    <row r="340" spans="1:4" x14ac:dyDescent="0.25">
      <c r="A340" s="15" t="s">
        <v>34</v>
      </c>
      <c r="B340" s="16">
        <v>42149</v>
      </c>
      <c r="C340" s="17">
        <v>0.41370000000000001</v>
      </c>
      <c r="D340" s="17">
        <v>1.3652</v>
      </c>
    </row>
    <row r="341" spans="1:4" x14ac:dyDescent="0.25">
      <c r="A341" s="15" t="s">
        <v>34</v>
      </c>
      <c r="B341" s="16">
        <v>42150</v>
      </c>
      <c r="C341" s="17">
        <v>0.51470000000000005</v>
      </c>
      <c r="D341" s="17">
        <v>-0.68030000000000002</v>
      </c>
    </row>
    <row r="342" spans="1:4" x14ac:dyDescent="0.25">
      <c r="A342" s="15" t="s">
        <v>34</v>
      </c>
      <c r="B342" s="16">
        <v>42151</v>
      </c>
      <c r="C342" s="17">
        <v>0</v>
      </c>
      <c r="D342" s="17">
        <v>-1.0291999999999999</v>
      </c>
    </row>
    <row r="343" spans="1:4" x14ac:dyDescent="0.25">
      <c r="A343" s="15" t="s">
        <v>34</v>
      </c>
      <c r="B343" s="16">
        <v>42152</v>
      </c>
      <c r="C343" s="17">
        <v>0.91979999999999995</v>
      </c>
      <c r="D343" s="17">
        <v>1.3698999999999999</v>
      </c>
    </row>
    <row r="344" spans="1:4" x14ac:dyDescent="0.25">
      <c r="A344" s="15" t="s">
        <v>34</v>
      </c>
      <c r="B344" s="16">
        <v>42153</v>
      </c>
      <c r="C344" s="17">
        <v>0.8105</v>
      </c>
      <c r="D344" s="17">
        <v>-0.68259999999999998</v>
      </c>
    </row>
    <row r="345" spans="1:4" x14ac:dyDescent="0.25">
      <c r="A345" s="15" t="s">
        <v>34</v>
      </c>
      <c r="B345" s="16">
        <v>42156</v>
      </c>
      <c r="C345" s="17">
        <v>-1.833</v>
      </c>
      <c r="D345" s="17">
        <v>-0.68730000000000002</v>
      </c>
    </row>
    <row r="346" spans="1:4" x14ac:dyDescent="0.25">
      <c r="A346" s="15" t="s">
        <v>34</v>
      </c>
      <c r="B346" s="16">
        <v>42157</v>
      </c>
      <c r="C346" s="17">
        <v>0.51259999999999994</v>
      </c>
      <c r="D346" s="17">
        <v>-0.69199999999999995</v>
      </c>
    </row>
    <row r="347" spans="1:4" x14ac:dyDescent="0.25">
      <c r="A347" s="15" t="s">
        <v>34</v>
      </c>
      <c r="B347" s="16">
        <v>42158</v>
      </c>
      <c r="C347" s="17">
        <v>-0.82140000000000002</v>
      </c>
      <c r="D347" s="17">
        <v>-0.69689999999999996</v>
      </c>
    </row>
    <row r="348" spans="1:4" x14ac:dyDescent="0.25">
      <c r="A348" s="15" t="s">
        <v>34</v>
      </c>
      <c r="B348" s="16">
        <v>42159</v>
      </c>
      <c r="C348" s="17">
        <v>-2.6111</v>
      </c>
      <c r="D348" s="17">
        <v>-1.4085000000000001</v>
      </c>
    </row>
    <row r="349" spans="1:4" x14ac:dyDescent="0.25">
      <c r="A349" s="15" t="s">
        <v>34</v>
      </c>
      <c r="B349" s="16">
        <v>42160</v>
      </c>
      <c r="C349" s="17">
        <v>-0.21190000000000001</v>
      </c>
      <c r="D349" s="17">
        <v>-0.7117</v>
      </c>
    </row>
    <row r="350" spans="1:4" x14ac:dyDescent="0.25">
      <c r="A350" s="15" t="s">
        <v>34</v>
      </c>
      <c r="B350" s="16">
        <v>42163</v>
      </c>
      <c r="C350" s="17">
        <v>0.63429999999999997</v>
      </c>
      <c r="D350" s="17">
        <v>-1.0771999999999999</v>
      </c>
    </row>
    <row r="351" spans="1:4" x14ac:dyDescent="0.25">
      <c r="A351" s="15" t="s">
        <v>34</v>
      </c>
      <c r="B351" s="16">
        <v>42164</v>
      </c>
      <c r="C351" s="17">
        <v>-1.8076000000000001</v>
      </c>
      <c r="D351" s="17">
        <v>0.3604</v>
      </c>
    </row>
    <row r="352" spans="1:4" x14ac:dyDescent="0.25">
      <c r="A352" s="15" t="s">
        <v>34</v>
      </c>
      <c r="B352" s="16">
        <v>42165</v>
      </c>
      <c r="C352" s="17">
        <v>2.5425</v>
      </c>
      <c r="D352" s="17">
        <v>0.35909999999999997</v>
      </c>
    </row>
    <row r="353" spans="1:4" x14ac:dyDescent="0.25">
      <c r="A353" s="15" t="s">
        <v>34</v>
      </c>
      <c r="B353" s="16">
        <v>42166</v>
      </c>
      <c r="C353" s="17">
        <v>0.20899999999999999</v>
      </c>
      <c r="D353" s="17">
        <v>2.827</v>
      </c>
    </row>
    <row r="354" spans="1:4" x14ac:dyDescent="0.25">
      <c r="A354" s="15" t="s">
        <v>34</v>
      </c>
      <c r="B354" s="16">
        <v>42167</v>
      </c>
      <c r="C354" s="17">
        <v>-0.83860000000000001</v>
      </c>
      <c r="D354" s="17">
        <v>0.69440000000000002</v>
      </c>
    </row>
    <row r="355" spans="1:4" x14ac:dyDescent="0.25">
      <c r="A355" s="15" t="s">
        <v>34</v>
      </c>
      <c r="B355" s="16">
        <v>42170</v>
      </c>
      <c r="C355" s="17">
        <v>-1.0582</v>
      </c>
      <c r="D355" s="17">
        <v>-1.0435000000000001</v>
      </c>
    </row>
    <row r="356" spans="1:4" x14ac:dyDescent="0.25">
      <c r="A356" s="15" t="s">
        <v>34</v>
      </c>
      <c r="B356" s="16">
        <v>42171</v>
      </c>
      <c r="C356" s="17">
        <v>0.84750000000000003</v>
      </c>
      <c r="D356" s="17">
        <v>-0.70179999999999998</v>
      </c>
    </row>
    <row r="357" spans="1:4" x14ac:dyDescent="0.25">
      <c r="A357" s="15" t="s">
        <v>34</v>
      </c>
      <c r="B357" s="16">
        <v>42172</v>
      </c>
      <c r="C357" s="17">
        <v>-0.42280000000000001</v>
      </c>
      <c r="D357" s="17">
        <v>0.35149999999999998</v>
      </c>
    </row>
    <row r="358" spans="1:4" x14ac:dyDescent="0.25">
      <c r="A358" s="15" t="s">
        <v>34</v>
      </c>
      <c r="B358" s="16">
        <v>42173</v>
      </c>
      <c r="C358" s="17">
        <v>0.21160000000000001</v>
      </c>
      <c r="D358" s="17">
        <v>-0.35149999999999998</v>
      </c>
    </row>
    <row r="359" spans="1:4" x14ac:dyDescent="0.25">
      <c r="A359" s="15" t="s">
        <v>34</v>
      </c>
      <c r="B359" s="16">
        <v>42177</v>
      </c>
      <c r="C359" s="17">
        <v>2.7113</v>
      </c>
      <c r="D359" s="17">
        <v>0</v>
      </c>
    </row>
    <row r="360" spans="1:4" x14ac:dyDescent="0.25">
      <c r="A360" s="15" t="s">
        <v>34</v>
      </c>
      <c r="B360" s="16">
        <v>42178</v>
      </c>
      <c r="C360" s="17">
        <v>-0.10290000000000001</v>
      </c>
      <c r="D360" s="17">
        <v>1.7452000000000001</v>
      </c>
    </row>
    <row r="361" spans="1:4" x14ac:dyDescent="0.25">
      <c r="A361" s="15" t="s">
        <v>34</v>
      </c>
      <c r="B361" s="16">
        <v>42179</v>
      </c>
      <c r="C361" s="17">
        <v>0.51359999999999995</v>
      </c>
      <c r="D361" s="17">
        <v>0.34539999999999998</v>
      </c>
    </row>
    <row r="362" spans="1:4" x14ac:dyDescent="0.25">
      <c r="A362" s="15" t="s">
        <v>34</v>
      </c>
      <c r="B362" s="16">
        <v>42180</v>
      </c>
      <c r="C362" s="17">
        <v>1.4241999999999999</v>
      </c>
      <c r="D362" s="17">
        <v>1.0291999999999999</v>
      </c>
    </row>
    <row r="363" spans="1:4" x14ac:dyDescent="0.25">
      <c r="A363" s="15" t="s">
        <v>34</v>
      </c>
      <c r="B363" s="16">
        <v>42181</v>
      </c>
      <c r="C363" s="17">
        <v>0.20180000000000001</v>
      </c>
      <c r="D363" s="17">
        <v>-0.34189999999999998</v>
      </c>
    </row>
    <row r="364" spans="1:4" x14ac:dyDescent="0.25">
      <c r="A364" s="15" t="s">
        <v>34</v>
      </c>
      <c r="B364" s="16">
        <v>42184</v>
      </c>
      <c r="C364" s="17">
        <v>-2.3458000000000001</v>
      </c>
      <c r="D364" s="17">
        <v>-2.0762999999999998</v>
      </c>
    </row>
    <row r="365" spans="1:4" x14ac:dyDescent="0.25">
      <c r="A365" s="15" t="s">
        <v>34</v>
      </c>
      <c r="B365" s="16">
        <v>42185</v>
      </c>
      <c r="C365" s="17">
        <v>0.1031</v>
      </c>
      <c r="D365" s="17">
        <v>1.4337</v>
      </c>
    </row>
    <row r="366" spans="1:4" x14ac:dyDescent="0.25">
      <c r="A366" s="15" t="s">
        <v>34</v>
      </c>
      <c r="B366" s="16">
        <v>42186</v>
      </c>
      <c r="C366" s="17">
        <v>1.0257000000000001</v>
      </c>
      <c r="D366" s="17">
        <v>0.35520000000000002</v>
      </c>
    </row>
    <row r="367" spans="1:4" x14ac:dyDescent="0.25">
      <c r="A367" s="15" t="s">
        <v>34</v>
      </c>
      <c r="B367" s="16">
        <v>42187</v>
      </c>
      <c r="C367" s="17">
        <v>0</v>
      </c>
      <c r="D367" s="17">
        <v>0.35399999999999998</v>
      </c>
    </row>
    <row r="368" spans="1:4" x14ac:dyDescent="0.25">
      <c r="A368" s="15" t="s">
        <v>34</v>
      </c>
      <c r="B368" s="16">
        <v>42188</v>
      </c>
      <c r="C368" s="17">
        <v>-0.71679999999999999</v>
      </c>
      <c r="D368" s="17">
        <v>0.70420000000000005</v>
      </c>
    </row>
    <row r="369" spans="1:4" x14ac:dyDescent="0.25">
      <c r="A369" s="15" t="s">
        <v>34</v>
      </c>
      <c r="B369" s="16">
        <v>42191</v>
      </c>
      <c r="C369" s="17">
        <v>-1.0330999999999999</v>
      </c>
      <c r="D369" s="17">
        <v>-1.4135</v>
      </c>
    </row>
    <row r="370" spans="1:4" x14ac:dyDescent="0.25">
      <c r="A370" s="15" t="s">
        <v>34</v>
      </c>
      <c r="B370" s="16">
        <v>42192</v>
      </c>
      <c r="C370" s="17">
        <v>1.0330999999999999</v>
      </c>
      <c r="D370" s="17">
        <v>0</v>
      </c>
    </row>
    <row r="371" spans="1:4" x14ac:dyDescent="0.25">
      <c r="A371" s="15" t="s">
        <v>34</v>
      </c>
      <c r="B371" s="16">
        <v>42193</v>
      </c>
      <c r="C371" s="17">
        <v>-2.9199000000000002</v>
      </c>
      <c r="D371" s="17">
        <v>-1.7954000000000001</v>
      </c>
    </row>
    <row r="372" spans="1:4" x14ac:dyDescent="0.25">
      <c r="A372" s="15" t="s">
        <v>34</v>
      </c>
      <c r="B372" s="16">
        <v>42194</v>
      </c>
      <c r="C372" s="17">
        <v>-1.1708000000000001</v>
      </c>
      <c r="D372" s="17">
        <v>-1.0929</v>
      </c>
    </row>
    <row r="373" spans="1:4" x14ac:dyDescent="0.25">
      <c r="A373" s="15" t="s">
        <v>34</v>
      </c>
      <c r="B373" s="16">
        <v>42198</v>
      </c>
      <c r="C373" s="17">
        <v>2.9538000000000002</v>
      </c>
      <c r="D373" s="17">
        <v>1.4545999999999999</v>
      </c>
    </row>
    <row r="374" spans="1:4" x14ac:dyDescent="0.25">
      <c r="A374" s="15" t="s">
        <v>34</v>
      </c>
      <c r="B374" s="16">
        <v>42199</v>
      </c>
      <c r="C374" s="17">
        <v>-1.5714999999999999</v>
      </c>
      <c r="D374" s="17">
        <v>0</v>
      </c>
    </row>
    <row r="375" spans="1:4" x14ac:dyDescent="0.25">
      <c r="A375" s="15" t="s">
        <v>34</v>
      </c>
      <c r="B375" s="16">
        <v>42200</v>
      </c>
      <c r="C375" s="17">
        <v>1.0504</v>
      </c>
      <c r="D375" s="17">
        <v>0</v>
      </c>
    </row>
    <row r="376" spans="1:4" x14ac:dyDescent="0.25">
      <c r="A376" s="15" t="s">
        <v>34</v>
      </c>
      <c r="B376" s="16">
        <v>42201</v>
      </c>
      <c r="C376" s="17">
        <v>0.313</v>
      </c>
      <c r="D376" s="17">
        <v>-1.4545999999999999</v>
      </c>
    </row>
    <row r="377" spans="1:4" x14ac:dyDescent="0.25">
      <c r="A377" s="15" t="s">
        <v>34</v>
      </c>
      <c r="B377" s="16">
        <v>42202</v>
      </c>
      <c r="C377" s="17">
        <v>-0.94189999999999996</v>
      </c>
      <c r="D377" s="17">
        <v>2.5318000000000001</v>
      </c>
    </row>
    <row r="378" spans="1:4" x14ac:dyDescent="0.25">
      <c r="A378" s="15" t="s">
        <v>34</v>
      </c>
      <c r="B378" s="16">
        <v>42205</v>
      </c>
      <c r="C378" s="17">
        <v>0</v>
      </c>
      <c r="D378" s="17">
        <v>-0.71679999999999999</v>
      </c>
    </row>
    <row r="379" spans="1:4" x14ac:dyDescent="0.25">
      <c r="A379" s="15" t="s">
        <v>34</v>
      </c>
      <c r="B379" s="16">
        <v>42206</v>
      </c>
      <c r="C379" s="17">
        <v>1.2539</v>
      </c>
      <c r="D379" s="17">
        <v>1.0733999999999999</v>
      </c>
    </row>
    <row r="380" spans="1:4" x14ac:dyDescent="0.25">
      <c r="A380" s="15" t="s">
        <v>34</v>
      </c>
      <c r="B380" s="16">
        <v>42207</v>
      </c>
      <c r="C380" s="17">
        <v>-1.5699000000000001</v>
      </c>
      <c r="D380" s="17">
        <v>-1.0733999999999999</v>
      </c>
    </row>
    <row r="381" spans="1:4" x14ac:dyDescent="0.25">
      <c r="A381" s="15" t="s">
        <v>34</v>
      </c>
      <c r="B381" s="16">
        <v>42208</v>
      </c>
      <c r="C381" s="17">
        <v>-4.6420000000000003</v>
      </c>
      <c r="D381" s="17">
        <v>-2.1819000000000002</v>
      </c>
    </row>
    <row r="382" spans="1:4" x14ac:dyDescent="0.25">
      <c r="A382" s="15" t="s">
        <v>34</v>
      </c>
      <c r="B382" s="16">
        <v>42209</v>
      </c>
      <c r="C382" s="17">
        <v>0</v>
      </c>
      <c r="D382" s="17">
        <v>0.73260000000000003</v>
      </c>
    </row>
    <row r="383" spans="1:4" x14ac:dyDescent="0.25">
      <c r="A383" s="15" t="s">
        <v>34</v>
      </c>
      <c r="B383" s="16">
        <v>42212</v>
      </c>
      <c r="C383" s="17">
        <v>-0.443</v>
      </c>
      <c r="D383" s="17">
        <v>-2.2141000000000002</v>
      </c>
    </row>
    <row r="384" spans="1:4" x14ac:dyDescent="0.25">
      <c r="A384" s="15" t="s">
        <v>34</v>
      </c>
      <c r="B384" s="16">
        <v>42213</v>
      </c>
      <c r="C384" s="17">
        <v>-0.111</v>
      </c>
      <c r="D384" s="17">
        <v>0</v>
      </c>
    </row>
    <row r="385" spans="1:4" x14ac:dyDescent="0.25">
      <c r="A385" s="15" t="s">
        <v>34</v>
      </c>
      <c r="B385" s="16">
        <v>42214</v>
      </c>
      <c r="C385" s="17">
        <v>1.6529</v>
      </c>
      <c r="D385" s="17">
        <v>1.1132</v>
      </c>
    </row>
    <row r="386" spans="1:4" x14ac:dyDescent="0.25">
      <c r="A386" s="15" t="s">
        <v>34</v>
      </c>
      <c r="B386" s="16">
        <v>42215</v>
      </c>
      <c r="C386" s="17">
        <v>-0.65790000000000004</v>
      </c>
      <c r="D386" s="17">
        <v>2.1899000000000002</v>
      </c>
    </row>
    <row r="387" spans="1:4" x14ac:dyDescent="0.25">
      <c r="A387" s="15" t="s">
        <v>34</v>
      </c>
      <c r="B387" s="16">
        <v>42216</v>
      </c>
      <c r="C387" s="17">
        <v>-0.2203</v>
      </c>
      <c r="D387" s="17">
        <v>0.71940000000000004</v>
      </c>
    </row>
    <row r="388" spans="1:4" x14ac:dyDescent="0.25">
      <c r="A388" s="15" t="s">
        <v>34</v>
      </c>
      <c r="B388" s="16">
        <v>42219</v>
      </c>
      <c r="C388" s="17">
        <v>-1.6676</v>
      </c>
      <c r="D388" s="17">
        <v>-3.65</v>
      </c>
    </row>
    <row r="389" spans="1:4" x14ac:dyDescent="0.25">
      <c r="A389" s="15" t="s">
        <v>34</v>
      </c>
      <c r="B389" s="16">
        <v>42220</v>
      </c>
      <c r="C389" s="17">
        <v>0.33579999999999999</v>
      </c>
      <c r="D389" s="17">
        <v>1.476</v>
      </c>
    </row>
    <row r="390" spans="1:4" x14ac:dyDescent="0.25">
      <c r="A390" s="15" t="s">
        <v>34</v>
      </c>
      <c r="B390" s="16">
        <v>42221</v>
      </c>
      <c r="C390" s="17">
        <v>-0.56020000000000003</v>
      </c>
      <c r="D390" s="17">
        <v>-1.8485</v>
      </c>
    </row>
    <row r="391" spans="1:4" x14ac:dyDescent="0.25">
      <c r="A391" s="15" t="s">
        <v>34</v>
      </c>
      <c r="B391" s="16">
        <v>42222</v>
      </c>
      <c r="C391" s="17">
        <v>-0.56340000000000001</v>
      </c>
      <c r="D391" s="17">
        <v>0</v>
      </c>
    </row>
    <row r="392" spans="1:4" x14ac:dyDescent="0.25">
      <c r="A392" s="15" t="s">
        <v>34</v>
      </c>
      <c r="B392" s="16">
        <v>42223</v>
      </c>
      <c r="C392" s="17">
        <v>0</v>
      </c>
      <c r="D392" s="17">
        <v>-0.74909999999999999</v>
      </c>
    </row>
    <row r="393" spans="1:4" x14ac:dyDescent="0.25">
      <c r="A393" s="15" t="s">
        <v>34</v>
      </c>
      <c r="B393" s="16">
        <v>42226</v>
      </c>
      <c r="C393" s="17">
        <v>0</v>
      </c>
      <c r="D393" s="17">
        <v>-3.0537000000000001</v>
      </c>
    </row>
    <row r="394" spans="1:4" x14ac:dyDescent="0.25">
      <c r="A394" s="15" t="s">
        <v>34</v>
      </c>
      <c r="B394" s="16">
        <v>42227</v>
      </c>
      <c r="C394" s="17">
        <v>0</v>
      </c>
      <c r="D394" s="17">
        <v>1.1560999999999999</v>
      </c>
    </row>
    <row r="395" spans="1:4" x14ac:dyDescent="0.25">
      <c r="A395" s="15" t="s">
        <v>34</v>
      </c>
      <c r="B395" s="16">
        <v>42228</v>
      </c>
      <c r="C395" s="17">
        <v>-2.2858000000000001</v>
      </c>
      <c r="D395" s="17">
        <v>-1.5444</v>
      </c>
    </row>
    <row r="396" spans="1:4" x14ac:dyDescent="0.25">
      <c r="A396" s="15" t="s">
        <v>34</v>
      </c>
      <c r="B396" s="16">
        <v>42229</v>
      </c>
      <c r="C396" s="17">
        <v>1.0350999999999999</v>
      </c>
      <c r="D396" s="17">
        <v>-0.38990000000000002</v>
      </c>
    </row>
    <row r="397" spans="1:4" x14ac:dyDescent="0.25">
      <c r="A397" s="15" t="s">
        <v>34</v>
      </c>
      <c r="B397" s="16">
        <v>42230</v>
      </c>
      <c r="C397" s="17">
        <v>1.4764999999999999</v>
      </c>
      <c r="D397" s="17">
        <v>-1.5748</v>
      </c>
    </row>
    <row r="398" spans="1:4" x14ac:dyDescent="0.25">
      <c r="A398" s="15" t="s">
        <v>34</v>
      </c>
      <c r="B398" s="16">
        <v>42233</v>
      </c>
      <c r="C398" s="17">
        <v>-0.56530000000000002</v>
      </c>
      <c r="D398" s="17">
        <v>-1.6</v>
      </c>
    </row>
    <row r="399" spans="1:4" x14ac:dyDescent="0.25">
      <c r="A399" s="15" t="s">
        <v>34</v>
      </c>
      <c r="B399" s="16">
        <v>42234</v>
      </c>
      <c r="C399" s="17">
        <v>0.1133</v>
      </c>
      <c r="D399" s="17">
        <v>1.6</v>
      </c>
    </row>
    <row r="400" spans="1:4" x14ac:dyDescent="0.25">
      <c r="A400" s="15" t="s">
        <v>34</v>
      </c>
      <c r="B400" s="16">
        <v>42235</v>
      </c>
      <c r="C400" s="17">
        <v>-0.2268</v>
      </c>
      <c r="D400" s="17">
        <v>-0.79679999999999995</v>
      </c>
    </row>
    <row r="401" spans="1:4" x14ac:dyDescent="0.25">
      <c r="A401" s="15" t="s">
        <v>34</v>
      </c>
      <c r="B401" s="16">
        <v>42236</v>
      </c>
      <c r="C401" s="17">
        <v>-0.79769999999999996</v>
      </c>
      <c r="D401" s="17">
        <v>0.79679999999999995</v>
      </c>
    </row>
    <row r="402" spans="1:4" x14ac:dyDescent="0.25">
      <c r="A402" s="15" t="s">
        <v>34</v>
      </c>
      <c r="B402" s="16">
        <v>42237</v>
      </c>
      <c r="C402" s="17">
        <v>-2.1979000000000002</v>
      </c>
      <c r="D402" s="17">
        <v>-4.0491000000000001</v>
      </c>
    </row>
    <row r="403" spans="1:4" x14ac:dyDescent="0.25">
      <c r="A403" s="15" t="s">
        <v>34</v>
      </c>
      <c r="B403" s="16">
        <v>42240</v>
      </c>
      <c r="C403" s="17">
        <v>-4.6687000000000003</v>
      </c>
      <c r="D403" s="17">
        <v>-5.0857999999999999</v>
      </c>
    </row>
    <row r="404" spans="1:4" x14ac:dyDescent="0.25">
      <c r="A404" s="15" t="s">
        <v>34</v>
      </c>
      <c r="B404" s="16">
        <v>42241</v>
      </c>
      <c r="C404" s="17">
        <v>4.0822000000000003</v>
      </c>
      <c r="D404" s="17">
        <v>7.1308999999999996</v>
      </c>
    </row>
    <row r="405" spans="1:4" x14ac:dyDescent="0.25">
      <c r="A405" s="15" t="s">
        <v>34</v>
      </c>
      <c r="B405" s="16">
        <v>42242</v>
      </c>
      <c r="C405" s="17">
        <v>-1.7805</v>
      </c>
      <c r="D405" s="17">
        <v>-0.81299999999999994</v>
      </c>
    </row>
    <row r="406" spans="1:4" x14ac:dyDescent="0.25">
      <c r="A406" s="15" t="s">
        <v>34</v>
      </c>
      <c r="B406" s="16">
        <v>42243</v>
      </c>
      <c r="C406" s="17">
        <v>1.3088</v>
      </c>
      <c r="D406" s="17">
        <v>1.2171000000000001</v>
      </c>
    </row>
    <row r="407" spans="1:4" x14ac:dyDescent="0.25">
      <c r="A407" s="15" t="s">
        <v>34</v>
      </c>
      <c r="B407" s="16">
        <v>42244</v>
      </c>
      <c r="C407" s="17">
        <v>4.6197999999999997</v>
      </c>
      <c r="D407" s="17">
        <v>0.80320000000000003</v>
      </c>
    </row>
    <row r="408" spans="1:4" x14ac:dyDescent="0.25">
      <c r="A408" s="15" t="s">
        <v>34</v>
      </c>
      <c r="B408" s="16">
        <v>42247</v>
      </c>
      <c r="C408" s="17">
        <v>4.3076999999999996</v>
      </c>
      <c r="D408" s="17">
        <v>3.1499000000000001</v>
      </c>
    </row>
    <row r="409" spans="1:4" x14ac:dyDescent="0.25">
      <c r="A409" s="15" t="s">
        <v>34</v>
      </c>
      <c r="B409" s="16">
        <v>42248</v>
      </c>
      <c r="C409" s="17">
        <v>-2.9624000000000001</v>
      </c>
      <c r="D409" s="17">
        <v>-3.9531000000000001</v>
      </c>
    </row>
    <row r="410" spans="1:4" x14ac:dyDescent="0.25">
      <c r="A410" s="15" t="s">
        <v>34</v>
      </c>
      <c r="B410" s="16">
        <v>42249</v>
      </c>
      <c r="C410" s="17">
        <v>0.88690000000000002</v>
      </c>
      <c r="D410" s="17">
        <v>1.2023999999999999</v>
      </c>
    </row>
    <row r="411" spans="1:4" x14ac:dyDescent="0.25">
      <c r="A411" s="15" t="s">
        <v>34</v>
      </c>
      <c r="B411" s="16">
        <v>42250</v>
      </c>
      <c r="C411" s="17">
        <v>1.4192</v>
      </c>
      <c r="D411" s="17">
        <v>1.1880999999999999</v>
      </c>
    </row>
    <row r="412" spans="1:4" x14ac:dyDescent="0.25">
      <c r="A412" s="15" t="s">
        <v>34</v>
      </c>
      <c r="B412" s="16">
        <v>42251</v>
      </c>
      <c r="C412" s="17">
        <v>-1.0785</v>
      </c>
      <c r="D412" s="17">
        <v>-1.5872999999999999</v>
      </c>
    </row>
    <row r="413" spans="1:4" x14ac:dyDescent="0.25">
      <c r="A413" s="15" t="s">
        <v>34</v>
      </c>
      <c r="B413" s="16">
        <v>42254</v>
      </c>
      <c r="C413" s="17">
        <v>-0.1206</v>
      </c>
      <c r="D413" s="17">
        <v>-2.0203000000000002</v>
      </c>
    </row>
    <row r="414" spans="1:4" x14ac:dyDescent="0.25">
      <c r="A414" s="15" t="s">
        <v>34</v>
      </c>
      <c r="B414" s="16">
        <v>42255</v>
      </c>
      <c r="C414" s="17">
        <v>-0.1207</v>
      </c>
      <c r="D414" s="17">
        <v>0.4073</v>
      </c>
    </row>
    <row r="415" spans="1:4" x14ac:dyDescent="0.25">
      <c r="A415" s="15" t="s">
        <v>34</v>
      </c>
      <c r="B415" s="16">
        <v>42256</v>
      </c>
      <c r="C415" s="17">
        <v>3.2088000000000001</v>
      </c>
      <c r="D415" s="17">
        <v>4.7628000000000004</v>
      </c>
    </row>
    <row r="416" spans="1:4" x14ac:dyDescent="0.25">
      <c r="A416" s="15" t="s">
        <v>34</v>
      </c>
      <c r="B416" s="16">
        <v>42257</v>
      </c>
      <c r="C416" s="17">
        <v>-1.0582</v>
      </c>
      <c r="D416" s="17">
        <v>-3.1499000000000001</v>
      </c>
    </row>
    <row r="417" spans="1:4" x14ac:dyDescent="0.25">
      <c r="A417" s="15" t="s">
        <v>34</v>
      </c>
      <c r="B417" s="16">
        <v>42258</v>
      </c>
      <c r="C417" s="17">
        <v>0.1181</v>
      </c>
      <c r="D417" s="17">
        <v>1.9802999999999999</v>
      </c>
    </row>
    <row r="418" spans="1:4" x14ac:dyDescent="0.25">
      <c r="A418" s="15" t="s">
        <v>34</v>
      </c>
      <c r="B418" s="16">
        <v>42261</v>
      </c>
      <c r="C418" s="17">
        <v>0.47110000000000002</v>
      </c>
      <c r="D418" s="17">
        <v>0</v>
      </c>
    </row>
    <row r="419" spans="1:4" x14ac:dyDescent="0.25">
      <c r="A419" s="15" t="s">
        <v>34</v>
      </c>
      <c r="B419" s="16">
        <v>42262</v>
      </c>
      <c r="C419" s="17">
        <v>-0.47110000000000002</v>
      </c>
      <c r="D419" s="17">
        <v>-1.1834</v>
      </c>
    </row>
    <row r="420" spans="1:4" x14ac:dyDescent="0.25">
      <c r="A420" s="15" t="s">
        <v>34</v>
      </c>
      <c r="B420" s="16">
        <v>42263</v>
      </c>
      <c r="C420" s="17">
        <v>0.35360000000000003</v>
      </c>
      <c r="D420" s="17">
        <v>2.7399</v>
      </c>
    </row>
    <row r="421" spans="1:4" x14ac:dyDescent="0.25">
      <c r="A421" s="15" t="s">
        <v>34</v>
      </c>
      <c r="B421" s="16">
        <v>42264</v>
      </c>
      <c r="C421" s="17">
        <v>0.58650000000000002</v>
      </c>
      <c r="D421" s="17">
        <v>1.1516</v>
      </c>
    </row>
    <row r="422" spans="1:4" x14ac:dyDescent="0.25">
      <c r="A422" s="15" t="s">
        <v>34</v>
      </c>
      <c r="B422" s="16">
        <v>42265</v>
      </c>
      <c r="C422" s="17">
        <v>0</v>
      </c>
      <c r="D422" s="17">
        <v>0.38100000000000001</v>
      </c>
    </row>
    <row r="423" spans="1:4" x14ac:dyDescent="0.25">
      <c r="A423" s="15" t="s">
        <v>34</v>
      </c>
      <c r="B423" s="16">
        <v>42268</v>
      </c>
      <c r="C423" s="17">
        <v>-1.5321</v>
      </c>
      <c r="D423" s="17">
        <v>-1.5326</v>
      </c>
    </row>
    <row r="424" spans="1:4" x14ac:dyDescent="0.25">
      <c r="A424" s="15" t="s">
        <v>34</v>
      </c>
      <c r="B424" s="16">
        <v>42269</v>
      </c>
      <c r="C424" s="17">
        <v>1.0631999999999999</v>
      </c>
      <c r="D424" s="17">
        <v>-0.38679999999999998</v>
      </c>
    </row>
    <row r="425" spans="1:4" x14ac:dyDescent="0.25">
      <c r="A425" s="15" t="s">
        <v>34</v>
      </c>
      <c r="B425" s="16">
        <v>42270</v>
      </c>
      <c r="C425" s="17">
        <v>-1.1819999999999999</v>
      </c>
      <c r="D425" s="17">
        <v>-3.5507</v>
      </c>
    </row>
    <row r="426" spans="1:4" x14ac:dyDescent="0.25">
      <c r="A426" s="15" t="s">
        <v>34</v>
      </c>
      <c r="B426" s="16">
        <v>42271</v>
      </c>
      <c r="C426" s="17">
        <v>-0.59630000000000005</v>
      </c>
      <c r="D426" s="17">
        <v>1.9881</v>
      </c>
    </row>
    <row r="427" spans="1:4" x14ac:dyDescent="0.25">
      <c r="A427" s="15" t="s">
        <v>34</v>
      </c>
      <c r="B427" s="16">
        <v>42272</v>
      </c>
      <c r="C427" s="17">
        <v>0.83379999999999999</v>
      </c>
      <c r="D427" s="17">
        <v>0</v>
      </c>
    </row>
    <row r="428" spans="1:4" x14ac:dyDescent="0.25">
      <c r="A428" s="15" t="s">
        <v>34</v>
      </c>
      <c r="B428" s="16">
        <v>42277</v>
      </c>
      <c r="C428" s="17">
        <v>1.5303</v>
      </c>
      <c r="D428" s="17">
        <v>2.3347000000000002</v>
      </c>
    </row>
    <row r="429" spans="1:4" x14ac:dyDescent="0.25">
      <c r="A429" s="15" t="s">
        <v>34</v>
      </c>
      <c r="B429" s="16">
        <v>42278</v>
      </c>
      <c r="C429" s="17">
        <v>0.34989999999999999</v>
      </c>
      <c r="D429" s="17">
        <v>2.6566999999999998</v>
      </c>
    </row>
    <row r="430" spans="1:4" x14ac:dyDescent="0.25">
      <c r="A430" s="15" t="s">
        <v>34</v>
      </c>
      <c r="B430" s="16">
        <v>42279</v>
      </c>
      <c r="C430" s="17">
        <v>-0.2331</v>
      </c>
      <c r="D430" s="17">
        <v>-1.1299999999999999</v>
      </c>
    </row>
    <row r="431" spans="1:4" x14ac:dyDescent="0.25">
      <c r="A431" s="15" t="s">
        <v>34</v>
      </c>
      <c r="B431" s="16">
        <v>42282</v>
      </c>
      <c r="C431" s="17">
        <v>0.34939999999999999</v>
      </c>
      <c r="D431" s="17">
        <v>0.37809999999999999</v>
      </c>
    </row>
    <row r="432" spans="1:4" x14ac:dyDescent="0.25">
      <c r="A432" s="15" t="s">
        <v>34</v>
      </c>
      <c r="B432" s="16">
        <v>42283</v>
      </c>
      <c r="C432" s="17">
        <v>0.46400000000000002</v>
      </c>
      <c r="D432" s="17">
        <v>0.37659999999999999</v>
      </c>
    </row>
    <row r="433" spans="1:4" x14ac:dyDescent="0.25">
      <c r="A433" s="15" t="s">
        <v>34</v>
      </c>
      <c r="B433" s="16">
        <v>42284</v>
      </c>
      <c r="C433" s="17">
        <v>0.57699999999999996</v>
      </c>
      <c r="D433" s="17">
        <v>1.4925999999999999</v>
      </c>
    </row>
    <row r="434" spans="1:4" x14ac:dyDescent="0.25">
      <c r="A434" s="15" t="s">
        <v>34</v>
      </c>
      <c r="B434" s="16">
        <v>42285</v>
      </c>
      <c r="C434" s="17">
        <v>-0.23039999999999999</v>
      </c>
      <c r="D434" s="17">
        <v>0.73799999999999999</v>
      </c>
    </row>
    <row r="435" spans="1:4" x14ac:dyDescent="0.25">
      <c r="A435" s="15" t="s">
        <v>34</v>
      </c>
      <c r="B435" s="16">
        <v>42289</v>
      </c>
      <c r="C435" s="17">
        <v>1.6019000000000001</v>
      </c>
      <c r="D435" s="17">
        <v>1.8214999999999999</v>
      </c>
    </row>
    <row r="436" spans="1:4" x14ac:dyDescent="0.25">
      <c r="A436" s="15" t="s">
        <v>34</v>
      </c>
      <c r="B436" s="16">
        <v>42290</v>
      </c>
      <c r="C436" s="17">
        <v>-0.68340000000000001</v>
      </c>
      <c r="D436" s="17">
        <v>-0.72460000000000002</v>
      </c>
    </row>
    <row r="437" spans="1:4" x14ac:dyDescent="0.25">
      <c r="A437" s="15" t="s">
        <v>34</v>
      </c>
      <c r="B437" s="16">
        <v>42291</v>
      </c>
      <c r="C437" s="17">
        <v>-1.6129</v>
      </c>
      <c r="D437" s="17">
        <v>-0.72989999999999999</v>
      </c>
    </row>
    <row r="438" spans="1:4" x14ac:dyDescent="0.25">
      <c r="A438" s="15" t="s">
        <v>34</v>
      </c>
      <c r="B438" s="16">
        <v>42292</v>
      </c>
      <c r="C438" s="17">
        <v>0.69440000000000002</v>
      </c>
      <c r="D438" s="17">
        <v>2.5318000000000001</v>
      </c>
    </row>
    <row r="439" spans="1:4" x14ac:dyDescent="0.25">
      <c r="A439" s="15" t="s">
        <v>34</v>
      </c>
      <c r="B439" s="16">
        <v>42293</v>
      </c>
      <c r="C439" s="17">
        <v>1.2607999999999999</v>
      </c>
      <c r="D439" s="17">
        <v>-1.8019000000000001</v>
      </c>
    </row>
    <row r="440" spans="1:4" x14ac:dyDescent="0.25">
      <c r="A440" s="15" t="s">
        <v>34</v>
      </c>
      <c r="B440" s="16">
        <v>42296</v>
      </c>
      <c r="C440" s="17">
        <v>-0.114</v>
      </c>
      <c r="D440" s="17">
        <v>0.36299999999999999</v>
      </c>
    </row>
    <row r="441" spans="1:4" x14ac:dyDescent="0.25">
      <c r="A441" s="15" t="s">
        <v>34</v>
      </c>
      <c r="B441" s="16">
        <v>42297</v>
      </c>
      <c r="C441" s="17">
        <v>-0.6865</v>
      </c>
      <c r="D441" s="17">
        <v>0.72199999999999998</v>
      </c>
    </row>
    <row r="442" spans="1:4" x14ac:dyDescent="0.25">
      <c r="A442" s="15" t="s">
        <v>34</v>
      </c>
      <c r="B442" s="16">
        <v>42298</v>
      </c>
      <c r="C442" s="17">
        <v>-0.80689999999999995</v>
      </c>
      <c r="D442" s="17">
        <v>-0.3604</v>
      </c>
    </row>
    <row r="443" spans="1:4" x14ac:dyDescent="0.25">
      <c r="A443" s="15" t="s">
        <v>34</v>
      </c>
      <c r="B443" s="16">
        <v>42299</v>
      </c>
      <c r="C443" s="17">
        <v>0.23119999999999999</v>
      </c>
      <c r="D443" s="17">
        <v>-0.72460000000000002</v>
      </c>
    </row>
    <row r="444" spans="1:4" x14ac:dyDescent="0.25">
      <c r="A444" s="15" t="s">
        <v>34</v>
      </c>
      <c r="B444" s="16">
        <v>42300</v>
      </c>
      <c r="C444" s="17">
        <v>0.91949999999999998</v>
      </c>
      <c r="D444" s="17">
        <v>1.8019000000000001</v>
      </c>
    </row>
    <row r="445" spans="1:4" x14ac:dyDescent="0.25">
      <c r="A445" s="15" t="s">
        <v>34</v>
      </c>
      <c r="B445" s="16">
        <v>42303</v>
      </c>
      <c r="C445" s="17">
        <v>1.4764999999999999</v>
      </c>
      <c r="D445" s="17">
        <v>0</v>
      </c>
    </row>
    <row r="446" spans="1:4" x14ac:dyDescent="0.25">
      <c r="A446" s="15" t="s">
        <v>34</v>
      </c>
      <c r="B446" s="16">
        <v>42304</v>
      </c>
      <c r="C446" s="17">
        <v>-0.1128</v>
      </c>
      <c r="D446" s="17">
        <v>-0.71679999999999999</v>
      </c>
    </row>
    <row r="447" spans="1:4" x14ac:dyDescent="0.25">
      <c r="A447" s="15" t="s">
        <v>34</v>
      </c>
      <c r="B447" s="16">
        <v>42305</v>
      </c>
      <c r="C447" s="17">
        <v>-0.67949999999999999</v>
      </c>
      <c r="D447" s="17">
        <v>-0.72199999999999998</v>
      </c>
    </row>
    <row r="448" spans="1:4" x14ac:dyDescent="0.25">
      <c r="A448" s="15" t="s">
        <v>34</v>
      </c>
      <c r="B448" s="16">
        <v>42306</v>
      </c>
      <c r="C448" s="17">
        <v>-1.373</v>
      </c>
      <c r="D448" s="17">
        <v>-1.0929</v>
      </c>
    </row>
    <row r="449" spans="1:4" x14ac:dyDescent="0.25">
      <c r="A449" s="15" t="s">
        <v>34</v>
      </c>
      <c r="B449" s="16">
        <v>42307</v>
      </c>
      <c r="C449" s="17">
        <v>-0.23069999999999999</v>
      </c>
      <c r="D449" s="17">
        <v>0</v>
      </c>
    </row>
    <row r="450" spans="1:4" x14ac:dyDescent="0.25">
      <c r="A450" s="15" t="s">
        <v>34</v>
      </c>
      <c r="B450" s="16">
        <v>42310</v>
      </c>
      <c r="C450" s="17">
        <v>0.91949999999999998</v>
      </c>
      <c r="D450" s="17">
        <v>0.72989999999999999</v>
      </c>
    </row>
    <row r="451" spans="1:4" x14ac:dyDescent="0.25">
      <c r="A451" s="15" t="s">
        <v>34</v>
      </c>
      <c r="B451" s="16">
        <v>42311</v>
      </c>
      <c r="C451" s="17">
        <v>0.45660000000000001</v>
      </c>
      <c r="D451" s="17">
        <v>1.4440999999999999</v>
      </c>
    </row>
    <row r="452" spans="1:4" x14ac:dyDescent="0.25">
      <c r="A452" s="15" t="s">
        <v>34</v>
      </c>
      <c r="B452" s="16">
        <v>42312</v>
      </c>
      <c r="C452" s="17">
        <v>1.0198</v>
      </c>
      <c r="D452" s="17">
        <v>3.5215000000000001</v>
      </c>
    </row>
    <row r="453" spans="1:4" x14ac:dyDescent="0.25">
      <c r="A453" s="15" t="s">
        <v>34</v>
      </c>
      <c r="B453" s="16">
        <v>42313</v>
      </c>
      <c r="C453" s="17">
        <v>-0.56530000000000002</v>
      </c>
      <c r="D453" s="17">
        <v>-1.3937999999999999</v>
      </c>
    </row>
    <row r="454" spans="1:4" x14ac:dyDescent="0.25">
      <c r="A454" s="15" t="s">
        <v>34</v>
      </c>
      <c r="B454" s="16">
        <v>42314</v>
      </c>
      <c r="C454" s="17">
        <v>-1.8307</v>
      </c>
      <c r="D454" s="17">
        <v>-1.77</v>
      </c>
    </row>
    <row r="455" spans="1:4" x14ac:dyDescent="0.25">
      <c r="A455" s="15" t="s">
        <v>34</v>
      </c>
      <c r="B455" s="16">
        <v>42317</v>
      </c>
      <c r="C455" s="17">
        <v>-0.69530000000000003</v>
      </c>
      <c r="D455" s="17">
        <v>1.4185000000000001</v>
      </c>
    </row>
    <row r="456" spans="1:4" x14ac:dyDescent="0.25">
      <c r="A456" s="15" t="s">
        <v>34</v>
      </c>
      <c r="B456" s="16">
        <v>42318</v>
      </c>
      <c r="C456" s="17">
        <v>-1.7596000000000001</v>
      </c>
      <c r="D456" s="17">
        <v>-1.7762</v>
      </c>
    </row>
    <row r="457" spans="1:4" x14ac:dyDescent="0.25">
      <c r="A457" s="15" t="s">
        <v>34</v>
      </c>
      <c r="B457" s="16">
        <v>42319</v>
      </c>
      <c r="C457" s="17">
        <v>-1.3103</v>
      </c>
      <c r="D457" s="17">
        <v>-1.4440999999999999</v>
      </c>
    </row>
    <row r="458" spans="1:4" x14ac:dyDescent="0.25">
      <c r="A458" s="15" t="s">
        <v>34</v>
      </c>
      <c r="B458" s="16">
        <v>42320</v>
      </c>
      <c r="C458" s="17">
        <v>0.59770000000000001</v>
      </c>
      <c r="D458" s="17">
        <v>0.72460000000000002</v>
      </c>
    </row>
    <row r="459" spans="1:4" x14ac:dyDescent="0.25">
      <c r="A459" s="15" t="s">
        <v>34</v>
      </c>
      <c r="B459" s="16">
        <v>42321</v>
      </c>
      <c r="C459" s="17">
        <v>-0.35820000000000002</v>
      </c>
      <c r="D459" s="17">
        <v>-1.8214999999999999</v>
      </c>
    </row>
    <row r="460" spans="1:4" x14ac:dyDescent="0.25">
      <c r="A460" s="15" t="s">
        <v>34</v>
      </c>
      <c r="B460" s="16">
        <v>42324</v>
      </c>
      <c r="C460" s="17">
        <v>-0.96150000000000002</v>
      </c>
      <c r="D460" s="17">
        <v>-0.73799999999999999</v>
      </c>
    </row>
    <row r="461" spans="1:4" x14ac:dyDescent="0.25">
      <c r="A461" s="15" t="s">
        <v>34</v>
      </c>
      <c r="B461" s="16">
        <v>42325</v>
      </c>
      <c r="C461" s="17">
        <v>2.6223000000000001</v>
      </c>
      <c r="D461" s="17">
        <v>2.5596000000000001</v>
      </c>
    </row>
    <row r="462" spans="1:4" x14ac:dyDescent="0.25">
      <c r="A462" s="15" t="s">
        <v>34</v>
      </c>
      <c r="B462" s="16">
        <v>42326</v>
      </c>
      <c r="C462" s="17">
        <v>-0.2356</v>
      </c>
      <c r="D462" s="17">
        <v>-1.0889</v>
      </c>
    </row>
    <row r="463" spans="1:4" x14ac:dyDescent="0.25">
      <c r="A463" s="15" t="s">
        <v>34</v>
      </c>
      <c r="B463" s="16">
        <v>42327</v>
      </c>
      <c r="C463" s="17">
        <v>0.82210000000000005</v>
      </c>
      <c r="D463" s="17">
        <v>2.5226999999999999</v>
      </c>
    </row>
    <row r="464" spans="1:4" x14ac:dyDescent="0.25">
      <c r="A464" s="15" t="s">
        <v>34</v>
      </c>
      <c r="B464" s="16">
        <v>42328</v>
      </c>
      <c r="C464" s="17">
        <v>0.58309999999999995</v>
      </c>
      <c r="D464" s="17">
        <v>0.35520000000000002</v>
      </c>
    </row>
    <row r="465" spans="1:4" x14ac:dyDescent="0.25">
      <c r="A465" s="15" t="s">
        <v>34</v>
      </c>
      <c r="B465" s="16">
        <v>42331</v>
      </c>
      <c r="C465" s="17">
        <v>-0.58309999999999995</v>
      </c>
      <c r="D465" s="17">
        <v>0</v>
      </c>
    </row>
    <row r="466" spans="1:4" x14ac:dyDescent="0.25">
      <c r="A466" s="15" t="s">
        <v>34</v>
      </c>
      <c r="B466" s="16">
        <v>42332</v>
      </c>
      <c r="C466" s="17">
        <v>-1.4135</v>
      </c>
      <c r="D466" s="17">
        <v>-1.0694999999999999</v>
      </c>
    </row>
    <row r="467" spans="1:4" x14ac:dyDescent="0.25">
      <c r="A467" s="15" t="s">
        <v>34</v>
      </c>
      <c r="B467" s="16">
        <v>42333</v>
      </c>
      <c r="C467" s="17">
        <v>0</v>
      </c>
      <c r="D467" s="17">
        <v>1.0694999999999999</v>
      </c>
    </row>
    <row r="468" spans="1:4" x14ac:dyDescent="0.25">
      <c r="A468" s="15" t="s">
        <v>34</v>
      </c>
      <c r="B468" s="16">
        <v>42334</v>
      </c>
      <c r="C468" s="17">
        <v>1.2964</v>
      </c>
      <c r="D468" s="17">
        <v>1.0582</v>
      </c>
    </row>
    <row r="469" spans="1:4" x14ac:dyDescent="0.25">
      <c r="A469" s="15" t="s">
        <v>34</v>
      </c>
      <c r="B469" s="16">
        <v>42335</v>
      </c>
      <c r="C469" s="17">
        <v>-0.46949999999999997</v>
      </c>
      <c r="D469" s="17">
        <v>-2.4868000000000001</v>
      </c>
    </row>
    <row r="470" spans="1:4" x14ac:dyDescent="0.25">
      <c r="A470" s="15" t="s">
        <v>34</v>
      </c>
      <c r="B470" s="16">
        <v>42338</v>
      </c>
      <c r="C470" s="17">
        <v>-1.1834</v>
      </c>
      <c r="D470" s="17">
        <v>0</v>
      </c>
    </row>
    <row r="471" spans="1:4" x14ac:dyDescent="0.25">
      <c r="A471" s="15" t="s">
        <v>34</v>
      </c>
      <c r="B471" s="16">
        <v>42339</v>
      </c>
      <c r="C471" s="17">
        <v>2.3530000000000002</v>
      </c>
      <c r="D471" s="17">
        <v>2.4868000000000001</v>
      </c>
    </row>
    <row r="472" spans="1:4" x14ac:dyDescent="0.25">
      <c r="A472" s="15" t="s">
        <v>34</v>
      </c>
      <c r="B472" s="16">
        <v>42340</v>
      </c>
      <c r="C472" s="17">
        <v>-0.34939999999999999</v>
      </c>
      <c r="D472" s="17">
        <v>0</v>
      </c>
    </row>
    <row r="473" spans="1:4" x14ac:dyDescent="0.25">
      <c r="A473" s="15" t="s">
        <v>34</v>
      </c>
      <c r="B473" s="16">
        <v>42341</v>
      </c>
      <c r="C473" s="17">
        <v>-1.1737</v>
      </c>
      <c r="D473" s="17">
        <v>0</v>
      </c>
    </row>
    <row r="474" spans="1:4" x14ac:dyDescent="0.25">
      <c r="A474" s="15" t="s">
        <v>34</v>
      </c>
      <c r="B474" s="16">
        <v>42342</v>
      </c>
      <c r="C474" s="17">
        <v>-0.59209999999999996</v>
      </c>
      <c r="D474" s="17">
        <v>-1.4135</v>
      </c>
    </row>
    <row r="475" spans="1:4" x14ac:dyDescent="0.25">
      <c r="A475" s="15" t="s">
        <v>34</v>
      </c>
      <c r="B475" s="16">
        <v>42345</v>
      </c>
      <c r="C475" s="17">
        <v>0.59209999999999996</v>
      </c>
      <c r="D475" s="17">
        <v>2.1128</v>
      </c>
    </row>
    <row r="476" spans="1:4" x14ac:dyDescent="0.25">
      <c r="A476" s="15" t="s">
        <v>34</v>
      </c>
      <c r="B476" s="16">
        <v>42346</v>
      </c>
      <c r="C476" s="17">
        <v>-0.94899999999999995</v>
      </c>
      <c r="D476" s="17">
        <v>-0.69930000000000003</v>
      </c>
    </row>
    <row r="477" spans="1:4" x14ac:dyDescent="0.25">
      <c r="A477" s="15" t="s">
        <v>34</v>
      </c>
      <c r="B477" s="16">
        <v>42347</v>
      </c>
      <c r="C477" s="17">
        <v>-0.7177</v>
      </c>
      <c r="D477" s="17">
        <v>-1.4135</v>
      </c>
    </row>
    <row r="478" spans="1:4" x14ac:dyDescent="0.25">
      <c r="A478" s="15" t="s">
        <v>34</v>
      </c>
      <c r="B478" s="16">
        <v>42348</v>
      </c>
      <c r="C478" s="17">
        <v>-0.48130000000000001</v>
      </c>
      <c r="D478" s="17">
        <v>0.35520000000000002</v>
      </c>
    </row>
    <row r="479" spans="1:4" x14ac:dyDescent="0.25">
      <c r="A479" s="15" t="s">
        <v>34</v>
      </c>
      <c r="B479" s="16">
        <v>42349</v>
      </c>
      <c r="C479" s="17">
        <v>0.24099999999999999</v>
      </c>
      <c r="D479" s="17">
        <v>-1.0694999999999999</v>
      </c>
    </row>
    <row r="480" spans="1:4" x14ac:dyDescent="0.25">
      <c r="A480" s="15" t="s">
        <v>34</v>
      </c>
      <c r="B480" s="16">
        <v>42352</v>
      </c>
      <c r="C480" s="17">
        <v>-2.8068</v>
      </c>
      <c r="D480" s="17">
        <v>-0.35909999999999997</v>
      </c>
    </row>
    <row r="481" spans="1:4" x14ac:dyDescent="0.25">
      <c r="A481" s="15" t="s">
        <v>34</v>
      </c>
      <c r="B481" s="16">
        <v>42353</v>
      </c>
      <c r="C481" s="17">
        <v>-0.995</v>
      </c>
      <c r="D481" s="17">
        <v>-0.72199999999999998</v>
      </c>
    </row>
    <row r="482" spans="1:4" x14ac:dyDescent="0.25">
      <c r="A482" s="15" t="s">
        <v>34</v>
      </c>
      <c r="B482" s="16">
        <v>42354</v>
      </c>
      <c r="C482" s="17">
        <v>0.24970000000000001</v>
      </c>
      <c r="D482" s="17">
        <v>3.9081000000000001</v>
      </c>
    </row>
    <row r="483" spans="1:4" x14ac:dyDescent="0.25">
      <c r="A483" s="15" t="s">
        <v>34</v>
      </c>
      <c r="B483" s="16">
        <v>42355</v>
      </c>
      <c r="C483" s="17">
        <v>2.7061999999999999</v>
      </c>
      <c r="D483" s="17">
        <v>1.0399</v>
      </c>
    </row>
    <row r="484" spans="1:4" x14ac:dyDescent="0.25">
      <c r="A484" s="15" t="s">
        <v>34</v>
      </c>
      <c r="B484" s="16">
        <v>42356</v>
      </c>
      <c r="C484" s="17">
        <v>-1.4670000000000001</v>
      </c>
      <c r="D484" s="17">
        <v>-2.0907</v>
      </c>
    </row>
    <row r="485" spans="1:4" x14ac:dyDescent="0.25">
      <c r="A485" s="15" t="s">
        <v>34</v>
      </c>
      <c r="B485" s="16">
        <v>42359</v>
      </c>
      <c r="C485" s="17">
        <v>0.246</v>
      </c>
      <c r="D485" s="17">
        <v>-0.35270000000000001</v>
      </c>
    </row>
    <row r="486" spans="1:4" x14ac:dyDescent="0.25">
      <c r="A486" s="15" t="s">
        <v>34</v>
      </c>
      <c r="B486" s="16">
        <v>42360</v>
      </c>
      <c r="C486" s="17">
        <v>-0.86370000000000002</v>
      </c>
      <c r="D486" s="17">
        <v>0.35270000000000001</v>
      </c>
    </row>
    <row r="487" spans="1:4" x14ac:dyDescent="0.25">
      <c r="A487" s="15" t="s">
        <v>34</v>
      </c>
      <c r="B487" s="16">
        <v>42361</v>
      </c>
      <c r="C487" s="17">
        <v>0.74070000000000003</v>
      </c>
      <c r="D487" s="17">
        <v>-0.35270000000000001</v>
      </c>
    </row>
    <row r="488" spans="1:4" x14ac:dyDescent="0.25">
      <c r="A488" s="15" t="s">
        <v>34</v>
      </c>
      <c r="B488" s="16">
        <v>42362</v>
      </c>
      <c r="C488" s="17">
        <v>0.36830000000000002</v>
      </c>
      <c r="D488" s="17">
        <v>0.35270000000000001</v>
      </c>
    </row>
    <row r="489" spans="1:4" x14ac:dyDescent="0.25">
      <c r="A489" s="15" t="s">
        <v>34</v>
      </c>
      <c r="B489" s="16">
        <v>42363</v>
      </c>
      <c r="C489" s="17">
        <v>0</v>
      </c>
      <c r="D489" s="17">
        <v>0.70179999999999998</v>
      </c>
    </row>
    <row r="490" spans="1:4" x14ac:dyDescent="0.25">
      <c r="A490" s="15" t="s">
        <v>34</v>
      </c>
      <c r="B490" s="16">
        <v>42366</v>
      </c>
      <c r="C490" s="17">
        <v>-0.73799999999999999</v>
      </c>
      <c r="D490" s="17">
        <v>0.34899999999999998</v>
      </c>
    </row>
    <row r="491" spans="1:4" x14ac:dyDescent="0.25">
      <c r="A491" s="15" t="s">
        <v>34</v>
      </c>
      <c r="B491" s="16">
        <v>42367</v>
      </c>
      <c r="C491" s="17">
        <v>-0.37109999999999999</v>
      </c>
      <c r="D491" s="17">
        <v>-1.0508</v>
      </c>
    </row>
    <row r="492" spans="1:4" x14ac:dyDescent="0.25">
      <c r="A492" s="15" t="s">
        <v>34</v>
      </c>
      <c r="B492" s="16">
        <v>42368</v>
      </c>
      <c r="C492" s="17">
        <v>0.2475</v>
      </c>
      <c r="D492" s="17">
        <v>0.35149999999999998</v>
      </c>
    </row>
    <row r="493" spans="1:4" x14ac:dyDescent="0.25">
      <c r="A493" s="15" t="s">
        <v>34</v>
      </c>
      <c r="B493" s="16">
        <v>42369</v>
      </c>
      <c r="C493" s="17">
        <v>-0.1237</v>
      </c>
      <c r="D493" s="17">
        <v>0.3503</v>
      </c>
    </row>
    <row r="494" spans="1:4" x14ac:dyDescent="0.25">
      <c r="A494" s="15" t="s">
        <v>34</v>
      </c>
      <c r="B494" s="16">
        <v>42373</v>
      </c>
      <c r="C494" s="17">
        <v>-2.2528999999999999</v>
      </c>
      <c r="D494" s="17">
        <v>-2.4780000000000002</v>
      </c>
    </row>
    <row r="495" spans="1:4" x14ac:dyDescent="0.25">
      <c r="A495" s="15" t="s">
        <v>34</v>
      </c>
      <c r="B495" s="16">
        <v>42374</v>
      </c>
      <c r="C495" s="17">
        <v>0.1265</v>
      </c>
      <c r="D495" s="17">
        <v>-1.0810999999999999</v>
      </c>
    </row>
    <row r="496" spans="1:4" x14ac:dyDescent="0.25">
      <c r="A496" s="15" t="s">
        <v>34</v>
      </c>
      <c r="B496" s="16">
        <v>42375</v>
      </c>
      <c r="C496" s="17">
        <v>-0.1265</v>
      </c>
      <c r="D496" s="17">
        <v>-1.8282</v>
      </c>
    </row>
    <row r="497" spans="1:4" x14ac:dyDescent="0.25">
      <c r="A497" s="15" t="s">
        <v>34</v>
      </c>
      <c r="B497" s="16">
        <v>42376</v>
      </c>
      <c r="C497" s="17">
        <v>-0.89</v>
      </c>
      <c r="D497" s="17">
        <v>-1.8623000000000001</v>
      </c>
    </row>
    <row r="498" spans="1:4" x14ac:dyDescent="0.25">
      <c r="A498" s="15" t="s">
        <v>34</v>
      </c>
      <c r="B498" s="16">
        <v>42377</v>
      </c>
      <c r="C498" s="17">
        <v>-0.38390000000000002</v>
      </c>
      <c r="D498" s="17">
        <v>0.74909999999999999</v>
      </c>
    </row>
    <row r="499" spans="1:4" x14ac:dyDescent="0.25">
      <c r="A499" s="15" t="s">
        <v>34</v>
      </c>
      <c r="B499" s="16">
        <v>42380</v>
      </c>
      <c r="C499" s="17">
        <v>-3.3902000000000001</v>
      </c>
      <c r="D499" s="17">
        <v>-0.74909999999999999</v>
      </c>
    </row>
    <row r="500" spans="1:4" x14ac:dyDescent="0.25">
      <c r="A500" s="15" t="s">
        <v>34</v>
      </c>
      <c r="B500" s="16">
        <v>42381</v>
      </c>
      <c r="C500" s="17">
        <v>1.1866000000000001</v>
      </c>
      <c r="D500" s="17">
        <v>0</v>
      </c>
    </row>
    <row r="501" spans="1:4" x14ac:dyDescent="0.25">
      <c r="A501" s="15" t="s">
        <v>34</v>
      </c>
      <c r="B501" s="16">
        <v>42382</v>
      </c>
      <c r="C501" s="17">
        <v>0.39240000000000003</v>
      </c>
      <c r="D501" s="17">
        <v>0.37519999999999998</v>
      </c>
    </row>
    <row r="502" spans="1:4" x14ac:dyDescent="0.25">
      <c r="A502" s="15" t="s">
        <v>34</v>
      </c>
      <c r="B502" s="16">
        <v>42383</v>
      </c>
      <c r="C502" s="17">
        <v>-0.78639999999999999</v>
      </c>
      <c r="D502" s="17">
        <v>-1.5095000000000001</v>
      </c>
    </row>
    <row r="503" spans="1:4" x14ac:dyDescent="0.25">
      <c r="A503" s="15" t="s">
        <v>34</v>
      </c>
      <c r="B503" s="16">
        <v>42384</v>
      </c>
      <c r="C503" s="17">
        <v>-0.92530000000000001</v>
      </c>
      <c r="D503" s="17">
        <v>4.0974000000000004</v>
      </c>
    </row>
    <row r="504" spans="1:4" x14ac:dyDescent="0.25">
      <c r="A504" s="15" t="s">
        <v>34</v>
      </c>
      <c r="B504" s="16">
        <v>42387</v>
      </c>
      <c r="C504" s="17">
        <v>-0.53259999999999996</v>
      </c>
      <c r="D504" s="17">
        <v>0</v>
      </c>
    </row>
    <row r="505" spans="1:4" x14ac:dyDescent="0.25">
      <c r="A505" s="15" t="s">
        <v>34</v>
      </c>
      <c r="B505" s="16">
        <v>42388</v>
      </c>
      <c r="C505" s="17">
        <v>0.53259999999999996</v>
      </c>
      <c r="D505" s="17">
        <v>0.72729999999999995</v>
      </c>
    </row>
    <row r="506" spans="1:4" x14ac:dyDescent="0.25">
      <c r="A506" s="15" t="s">
        <v>34</v>
      </c>
      <c r="B506" s="16">
        <v>42389</v>
      </c>
      <c r="C506" s="17">
        <v>-2.9651999999999998</v>
      </c>
      <c r="D506" s="17">
        <v>-2.5689000000000002</v>
      </c>
    </row>
    <row r="507" spans="1:4" x14ac:dyDescent="0.25">
      <c r="A507" s="15" t="s">
        <v>34</v>
      </c>
      <c r="B507" s="16">
        <v>42390</v>
      </c>
      <c r="C507" s="17">
        <v>-0.54869999999999997</v>
      </c>
      <c r="D507" s="17">
        <v>0.37109999999999999</v>
      </c>
    </row>
    <row r="508" spans="1:4" x14ac:dyDescent="0.25">
      <c r="A508" s="15" t="s">
        <v>34</v>
      </c>
      <c r="B508" s="16">
        <v>42391</v>
      </c>
      <c r="C508" s="17">
        <v>2.8477000000000001</v>
      </c>
      <c r="D508" s="17">
        <v>2.5596000000000001</v>
      </c>
    </row>
    <row r="509" spans="1:4" x14ac:dyDescent="0.25">
      <c r="A509" s="15" t="s">
        <v>34</v>
      </c>
      <c r="B509" s="16">
        <v>42394</v>
      </c>
      <c r="C509" s="17">
        <v>1.5914999999999999</v>
      </c>
      <c r="D509" s="17">
        <v>0.71940000000000004</v>
      </c>
    </row>
    <row r="510" spans="1:4" x14ac:dyDescent="0.25">
      <c r="A510" s="15" t="s">
        <v>34</v>
      </c>
      <c r="B510" s="16">
        <v>42395</v>
      </c>
      <c r="C510" s="17">
        <v>-0.66010000000000002</v>
      </c>
      <c r="D510" s="17">
        <v>-1.4440999999999999</v>
      </c>
    </row>
    <row r="511" spans="1:4" x14ac:dyDescent="0.25">
      <c r="A511" s="15" t="s">
        <v>34</v>
      </c>
      <c r="B511" s="16">
        <v>42396</v>
      </c>
      <c r="C511" s="17">
        <v>-0.26529999999999998</v>
      </c>
      <c r="D511" s="17">
        <v>1.4440999999999999</v>
      </c>
    </row>
    <row r="512" spans="1:4" x14ac:dyDescent="0.25">
      <c r="A512" s="15" t="s">
        <v>34</v>
      </c>
      <c r="B512" s="16">
        <v>42397</v>
      </c>
      <c r="C512" s="17">
        <v>-0.26600000000000001</v>
      </c>
      <c r="D512" s="17">
        <v>0.35780000000000001</v>
      </c>
    </row>
    <row r="513" spans="1:4" x14ac:dyDescent="0.25">
      <c r="A513" s="15" t="s">
        <v>34</v>
      </c>
      <c r="B513" s="16">
        <v>42398</v>
      </c>
      <c r="C513" s="17">
        <v>3.5320999999999998</v>
      </c>
      <c r="D513" s="17">
        <v>2.1202000000000001</v>
      </c>
    </row>
    <row r="514" spans="1:4" x14ac:dyDescent="0.25">
      <c r="A514" s="15" t="s">
        <v>34</v>
      </c>
      <c r="B514" s="16">
        <v>42399</v>
      </c>
      <c r="C514" s="17">
        <v>0.51280000000000003</v>
      </c>
      <c r="D514" s="17">
        <v>-0.70179999999999998</v>
      </c>
    </row>
    <row r="515" spans="1:4" x14ac:dyDescent="0.25">
      <c r="A515" s="15" t="s">
        <v>34</v>
      </c>
      <c r="B515" s="16">
        <v>42401</v>
      </c>
      <c r="C515" s="17">
        <v>1.6487000000000001</v>
      </c>
      <c r="D515" s="17">
        <v>1.3986000000000001</v>
      </c>
    </row>
    <row r="516" spans="1:4" x14ac:dyDescent="0.25">
      <c r="A516" s="15" t="s">
        <v>34</v>
      </c>
      <c r="B516" s="16">
        <v>42402</v>
      </c>
      <c r="C516" s="17">
        <v>-1.3933</v>
      </c>
      <c r="D516" s="17">
        <v>-1.0470999999999999</v>
      </c>
    </row>
    <row r="517" spans="1:4" x14ac:dyDescent="0.25">
      <c r="A517" s="15" t="s">
        <v>34</v>
      </c>
      <c r="B517" s="16">
        <v>42403</v>
      </c>
      <c r="C517" s="17">
        <v>-2.3227000000000002</v>
      </c>
      <c r="D517" s="17">
        <v>2.4264999999999999</v>
      </c>
    </row>
    <row r="518" spans="1:4" x14ac:dyDescent="0.25">
      <c r="A518" s="15" t="s">
        <v>34</v>
      </c>
      <c r="B518" s="16">
        <v>42415</v>
      </c>
      <c r="C518" s="17">
        <v>-2.5116999999999998</v>
      </c>
      <c r="D518" s="17">
        <v>-0.68730000000000002</v>
      </c>
    </row>
    <row r="519" spans="1:4" x14ac:dyDescent="0.25">
      <c r="A519" s="15" t="s">
        <v>34</v>
      </c>
      <c r="B519" s="16">
        <v>42416</v>
      </c>
      <c r="C519" s="17">
        <v>2.5116999999999998</v>
      </c>
      <c r="D519" s="17">
        <v>1.7094</v>
      </c>
    </row>
    <row r="520" spans="1:4" x14ac:dyDescent="0.25">
      <c r="A520" s="15" t="s">
        <v>34</v>
      </c>
      <c r="B520" s="16">
        <v>42417</v>
      </c>
      <c r="C520" s="17">
        <v>0.1305</v>
      </c>
      <c r="D520" s="17">
        <v>0.33839999999999998</v>
      </c>
    </row>
    <row r="521" spans="1:4" x14ac:dyDescent="0.25">
      <c r="A521" s="15" t="s">
        <v>34</v>
      </c>
      <c r="B521" s="16">
        <v>42418</v>
      </c>
      <c r="C521" s="17">
        <v>1.2954000000000001</v>
      </c>
      <c r="D521" s="17">
        <v>2.0068000000000001</v>
      </c>
    </row>
    <row r="522" spans="1:4" x14ac:dyDescent="0.25">
      <c r="A522" s="15" t="s">
        <v>34</v>
      </c>
      <c r="B522" s="16">
        <v>42419</v>
      </c>
      <c r="C522" s="17">
        <v>-1.2954000000000001</v>
      </c>
      <c r="D522" s="17">
        <v>0</v>
      </c>
    </row>
    <row r="523" spans="1:4" x14ac:dyDescent="0.25">
      <c r="A523" s="15" t="s">
        <v>34</v>
      </c>
      <c r="B523" s="16">
        <v>42422</v>
      </c>
      <c r="C523" s="17">
        <v>0</v>
      </c>
      <c r="D523" s="17">
        <v>0</v>
      </c>
    </row>
    <row r="524" spans="1:4" x14ac:dyDescent="0.25">
      <c r="A524" s="15" t="s">
        <v>34</v>
      </c>
      <c r="B524" s="16">
        <v>42423</v>
      </c>
      <c r="C524" s="17">
        <v>0.39040000000000002</v>
      </c>
      <c r="D524" s="17">
        <v>-0.99829999999999997</v>
      </c>
    </row>
    <row r="525" spans="1:4" x14ac:dyDescent="0.25">
      <c r="A525" s="15" t="s">
        <v>34</v>
      </c>
      <c r="B525" s="16">
        <v>42424</v>
      </c>
      <c r="C525" s="17">
        <v>-0.65149999999999997</v>
      </c>
      <c r="D525" s="17">
        <v>-1.0084</v>
      </c>
    </row>
    <row r="526" spans="1:4" x14ac:dyDescent="0.25">
      <c r="A526" s="15" t="s">
        <v>34</v>
      </c>
      <c r="B526" s="16">
        <v>42425</v>
      </c>
      <c r="C526" s="17">
        <v>2.5808</v>
      </c>
      <c r="D526" s="17">
        <v>1.6751</v>
      </c>
    </row>
    <row r="527" spans="1:4" x14ac:dyDescent="0.25">
      <c r="A527" s="15" t="s">
        <v>34</v>
      </c>
      <c r="B527" s="16">
        <v>42426</v>
      </c>
      <c r="C527" s="17">
        <v>-0.63900000000000001</v>
      </c>
      <c r="D527" s="17">
        <v>-1.0017</v>
      </c>
    </row>
    <row r="528" spans="1:4" x14ac:dyDescent="0.25">
      <c r="A528" s="15" t="s">
        <v>34</v>
      </c>
      <c r="B528" s="16">
        <v>42430</v>
      </c>
      <c r="C528" s="17">
        <v>-0.38540000000000002</v>
      </c>
      <c r="D528" s="17">
        <v>1.9934000000000001</v>
      </c>
    </row>
    <row r="529" spans="1:4" x14ac:dyDescent="0.25">
      <c r="A529" s="15" t="s">
        <v>34</v>
      </c>
      <c r="B529" s="16">
        <v>42431</v>
      </c>
      <c r="C529" s="17">
        <v>2.2902</v>
      </c>
      <c r="D529" s="17">
        <v>0.65569999999999995</v>
      </c>
    </row>
    <row r="530" spans="1:4" x14ac:dyDescent="0.25">
      <c r="A530" s="15" t="s">
        <v>34</v>
      </c>
      <c r="B530" s="16">
        <v>42432</v>
      </c>
      <c r="C530" s="17">
        <v>1.25</v>
      </c>
      <c r="D530" s="17">
        <v>0.65149999999999997</v>
      </c>
    </row>
    <row r="531" spans="1:4" x14ac:dyDescent="0.25">
      <c r="A531" s="15" t="s">
        <v>34</v>
      </c>
      <c r="B531" s="16">
        <v>42433</v>
      </c>
      <c r="C531" s="17">
        <v>2.9378000000000002</v>
      </c>
      <c r="D531" s="17">
        <v>-0.9788</v>
      </c>
    </row>
    <row r="532" spans="1:4" x14ac:dyDescent="0.25">
      <c r="A532" s="15" t="s">
        <v>34</v>
      </c>
      <c r="B532" s="16">
        <v>42436</v>
      </c>
      <c r="C532" s="17">
        <v>-1.5806</v>
      </c>
      <c r="D532" s="17">
        <v>-0.32840000000000003</v>
      </c>
    </row>
    <row r="533" spans="1:4" x14ac:dyDescent="0.25">
      <c r="A533" s="15" t="s">
        <v>34</v>
      </c>
      <c r="B533" s="16">
        <v>42437</v>
      </c>
      <c r="C533" s="17">
        <v>1.7011000000000001</v>
      </c>
      <c r="D533" s="17">
        <v>0</v>
      </c>
    </row>
    <row r="534" spans="1:4" x14ac:dyDescent="0.25">
      <c r="A534" s="15" t="s">
        <v>34</v>
      </c>
      <c r="B534" s="16">
        <v>42438</v>
      </c>
      <c r="C534" s="17">
        <v>-0.24129999999999999</v>
      </c>
      <c r="D534" s="17">
        <v>0.65569999999999995</v>
      </c>
    </row>
    <row r="535" spans="1:4" x14ac:dyDescent="0.25">
      <c r="A535" s="15" t="s">
        <v>34</v>
      </c>
      <c r="B535" s="16">
        <v>42439</v>
      </c>
      <c r="C535" s="17">
        <v>0.24129999999999999</v>
      </c>
      <c r="D535" s="17">
        <v>0.97560000000000002</v>
      </c>
    </row>
    <row r="536" spans="1:4" x14ac:dyDescent="0.25">
      <c r="A536" s="15" t="s">
        <v>34</v>
      </c>
      <c r="B536" s="16">
        <v>42440</v>
      </c>
      <c r="C536" s="17">
        <v>0.2407</v>
      </c>
      <c r="D536" s="17">
        <v>0.3231</v>
      </c>
    </row>
    <row r="537" spans="1:4" x14ac:dyDescent="0.25">
      <c r="A537" s="15" t="s">
        <v>34</v>
      </c>
      <c r="B537" s="16">
        <v>42443</v>
      </c>
      <c r="C537" s="17">
        <v>0.95689999999999997</v>
      </c>
      <c r="D537" s="17">
        <v>0.6431</v>
      </c>
    </row>
    <row r="538" spans="1:4" x14ac:dyDescent="0.25">
      <c r="A538" s="15" t="s">
        <v>34</v>
      </c>
      <c r="B538" s="16">
        <v>42444</v>
      </c>
      <c r="C538" s="17">
        <v>-2.0446</v>
      </c>
      <c r="D538" s="17">
        <v>-0.96619999999999995</v>
      </c>
    </row>
    <row r="539" spans="1:4" x14ac:dyDescent="0.25">
      <c r="A539" s="15" t="s">
        <v>34</v>
      </c>
      <c r="B539" s="16">
        <v>42445</v>
      </c>
      <c r="C539" s="17">
        <v>0.84699999999999998</v>
      </c>
      <c r="D539" s="17">
        <v>0.96619999999999995</v>
      </c>
    </row>
    <row r="540" spans="1:4" x14ac:dyDescent="0.25">
      <c r="A540" s="15" t="s">
        <v>34</v>
      </c>
      <c r="B540" s="16">
        <v>42446</v>
      </c>
      <c r="C540" s="17">
        <v>-0.60419999999999996</v>
      </c>
      <c r="D540" s="17">
        <v>1.5899000000000001</v>
      </c>
    </row>
    <row r="541" spans="1:4" x14ac:dyDescent="0.25">
      <c r="A541" s="15" t="s">
        <v>34</v>
      </c>
      <c r="B541" s="16">
        <v>42447</v>
      </c>
      <c r="C541" s="17">
        <v>1.8019000000000001</v>
      </c>
      <c r="D541" s="17">
        <v>0.62890000000000001</v>
      </c>
    </row>
    <row r="542" spans="1:4" x14ac:dyDescent="0.25">
      <c r="A542" s="15" t="s">
        <v>34</v>
      </c>
      <c r="B542" s="16">
        <v>42450</v>
      </c>
      <c r="C542" s="17">
        <v>0.59350000000000003</v>
      </c>
      <c r="D542" s="17">
        <v>0.313</v>
      </c>
    </row>
    <row r="543" spans="1:4" x14ac:dyDescent="0.25">
      <c r="A543" s="15" t="s">
        <v>34</v>
      </c>
      <c r="B543" s="16">
        <v>42451</v>
      </c>
      <c r="C543" s="17">
        <v>-0.23699999999999999</v>
      </c>
      <c r="D543" s="17">
        <v>-0.94189999999999996</v>
      </c>
    </row>
    <row r="544" spans="1:4" x14ac:dyDescent="0.25">
      <c r="A544" s="15" t="s">
        <v>34</v>
      </c>
      <c r="B544" s="16">
        <v>42452</v>
      </c>
      <c r="C544" s="17">
        <v>-0.1187</v>
      </c>
      <c r="D544" s="17">
        <v>0.62890000000000001</v>
      </c>
    </row>
    <row r="545" spans="1:4" x14ac:dyDescent="0.25">
      <c r="A545" s="15" t="s">
        <v>34</v>
      </c>
      <c r="B545" s="16">
        <v>42453</v>
      </c>
      <c r="C545" s="17">
        <v>0.35570000000000002</v>
      </c>
      <c r="D545" s="17">
        <v>-0.62890000000000001</v>
      </c>
    </row>
    <row r="546" spans="1:4" x14ac:dyDescent="0.25">
      <c r="A546" s="15" t="s">
        <v>34</v>
      </c>
      <c r="B546" s="16">
        <v>42454</v>
      </c>
      <c r="C546" s="17">
        <v>-0.83189999999999997</v>
      </c>
      <c r="D546" s="17">
        <v>-0.316</v>
      </c>
    </row>
    <row r="547" spans="1:4" x14ac:dyDescent="0.25">
      <c r="A547" s="15" t="s">
        <v>34</v>
      </c>
      <c r="B547" s="16">
        <v>42457</v>
      </c>
      <c r="C547" s="17">
        <v>0.83189999999999997</v>
      </c>
      <c r="D547" s="17">
        <v>0.63090000000000002</v>
      </c>
    </row>
    <row r="548" spans="1:4" x14ac:dyDescent="0.25">
      <c r="A548" s="15" t="s">
        <v>34</v>
      </c>
      <c r="B548" s="16">
        <v>42458</v>
      </c>
      <c r="C548" s="17">
        <v>-0.95130000000000003</v>
      </c>
      <c r="D548" s="17">
        <v>0</v>
      </c>
    </row>
    <row r="549" spans="1:4" x14ac:dyDescent="0.25">
      <c r="A549" s="15" t="s">
        <v>34</v>
      </c>
      <c r="B549" s="16">
        <v>42459</v>
      </c>
      <c r="C549" s="17">
        <v>0</v>
      </c>
      <c r="D549" s="17">
        <v>1.5601</v>
      </c>
    </row>
    <row r="550" spans="1:4" x14ac:dyDescent="0.25">
      <c r="A550" s="15" t="s">
        <v>34</v>
      </c>
      <c r="B550" s="16">
        <v>42460</v>
      </c>
      <c r="C550" s="17">
        <v>1.3057000000000001</v>
      </c>
      <c r="D550" s="17">
        <v>0.30909999999999999</v>
      </c>
    </row>
    <row r="551" spans="1:4" x14ac:dyDescent="0.25">
      <c r="A551" s="15" t="s">
        <v>34</v>
      </c>
      <c r="B551" s="16">
        <v>42461</v>
      </c>
      <c r="C551" s="17">
        <v>-2.1455000000000002</v>
      </c>
      <c r="D551" s="17">
        <v>-2.1842000000000001</v>
      </c>
    </row>
    <row r="552" spans="1:4" x14ac:dyDescent="0.25">
      <c r="A552" s="15" t="s">
        <v>34</v>
      </c>
      <c r="B552" s="16">
        <v>42466</v>
      </c>
      <c r="C552" s="17">
        <v>-2.1924999999999999</v>
      </c>
      <c r="D552" s="17">
        <v>-3.2054</v>
      </c>
    </row>
    <row r="553" spans="1:4" x14ac:dyDescent="0.25">
      <c r="A553" s="15" t="s">
        <v>34</v>
      </c>
      <c r="B553" s="16">
        <v>42467</v>
      </c>
      <c r="C553" s="17">
        <v>0.36880000000000002</v>
      </c>
      <c r="D553" s="17">
        <v>0.64939999999999998</v>
      </c>
    </row>
    <row r="554" spans="1:4" x14ac:dyDescent="0.25">
      <c r="A554" s="15" t="s">
        <v>34</v>
      </c>
      <c r="B554" s="16">
        <v>42468</v>
      </c>
      <c r="C554" s="17">
        <v>0.48959999999999998</v>
      </c>
      <c r="D554" s="17">
        <v>1.9231</v>
      </c>
    </row>
    <row r="555" spans="1:4" x14ac:dyDescent="0.25">
      <c r="A555" s="15" t="s">
        <v>34</v>
      </c>
      <c r="B555" s="16">
        <v>42471</v>
      </c>
      <c r="C555" s="17">
        <v>-0.85840000000000005</v>
      </c>
      <c r="D555" s="17">
        <v>0.63290000000000002</v>
      </c>
    </row>
    <row r="556" spans="1:4" x14ac:dyDescent="0.25">
      <c r="A556" s="15" t="s">
        <v>34</v>
      </c>
      <c r="B556" s="16">
        <v>42472</v>
      </c>
      <c r="C556" s="17">
        <v>0.98040000000000005</v>
      </c>
      <c r="D556" s="17">
        <v>0</v>
      </c>
    </row>
    <row r="557" spans="1:4" x14ac:dyDescent="0.25">
      <c r="A557" s="15" t="s">
        <v>34</v>
      </c>
      <c r="B557" s="16">
        <v>42473</v>
      </c>
      <c r="C557" s="17">
        <v>2.052</v>
      </c>
      <c r="D557" s="17">
        <v>1.8751</v>
      </c>
    </row>
    <row r="558" spans="1:4" x14ac:dyDescent="0.25">
      <c r="A558" s="15" t="s">
        <v>34</v>
      </c>
      <c r="B558" s="16">
        <v>42474</v>
      </c>
      <c r="C558" s="17">
        <v>-1.5653999999999999</v>
      </c>
      <c r="D558" s="17">
        <v>0</v>
      </c>
    </row>
    <row r="559" spans="1:4" x14ac:dyDescent="0.25">
      <c r="A559" s="15" t="s">
        <v>34</v>
      </c>
      <c r="B559" s="16">
        <v>42475</v>
      </c>
      <c r="C559" s="17">
        <v>0.60499999999999998</v>
      </c>
      <c r="D559" s="17">
        <v>-1.2461</v>
      </c>
    </row>
    <row r="560" spans="1:4" x14ac:dyDescent="0.25">
      <c r="A560" s="15" t="s">
        <v>34</v>
      </c>
      <c r="B560" s="16">
        <v>42478</v>
      </c>
      <c r="C560" s="17">
        <v>-0.36249999999999999</v>
      </c>
      <c r="D560" s="17">
        <v>-0.94489999999999996</v>
      </c>
    </row>
    <row r="561" spans="1:4" x14ac:dyDescent="0.25">
      <c r="A561" s="15" t="s">
        <v>34</v>
      </c>
      <c r="B561" s="16">
        <v>42479</v>
      </c>
      <c r="C561" s="17">
        <v>-1.3407</v>
      </c>
      <c r="D561" s="17">
        <v>-0.317</v>
      </c>
    </row>
    <row r="562" spans="1:4" x14ac:dyDescent="0.25">
      <c r="A562" s="15" t="s">
        <v>34</v>
      </c>
      <c r="B562" s="16">
        <v>42480</v>
      </c>
      <c r="C562" s="17">
        <v>-2.8626999999999998</v>
      </c>
      <c r="D562" s="17">
        <v>-2.2473000000000001</v>
      </c>
    </row>
    <row r="563" spans="1:4" x14ac:dyDescent="0.25">
      <c r="A563" s="15" t="s">
        <v>34</v>
      </c>
      <c r="B563" s="16">
        <v>42481</v>
      </c>
      <c r="C563" s="17">
        <v>1.3793</v>
      </c>
      <c r="D563" s="17">
        <v>1.9293</v>
      </c>
    </row>
    <row r="564" spans="1:4" x14ac:dyDescent="0.25">
      <c r="A564" s="15" t="s">
        <v>34</v>
      </c>
      <c r="B564" s="16">
        <v>42482</v>
      </c>
      <c r="C564" s="17">
        <v>0.86799999999999999</v>
      </c>
      <c r="D564" s="17">
        <v>-0.31900000000000001</v>
      </c>
    </row>
    <row r="565" spans="1:4" x14ac:dyDescent="0.25">
      <c r="A565" s="15" t="s">
        <v>34</v>
      </c>
      <c r="B565" s="16">
        <v>42485</v>
      </c>
      <c r="C565" s="17">
        <v>-0.86799999999999999</v>
      </c>
      <c r="D565" s="17">
        <v>0.63690000000000002</v>
      </c>
    </row>
    <row r="566" spans="1:4" x14ac:dyDescent="0.25">
      <c r="A566" s="15" t="s">
        <v>34</v>
      </c>
      <c r="B566" s="16">
        <v>42486</v>
      </c>
      <c r="C566" s="17">
        <v>-0.1246</v>
      </c>
      <c r="D566" s="17">
        <v>0.317</v>
      </c>
    </row>
    <row r="567" spans="1:4" x14ac:dyDescent="0.25">
      <c r="A567" s="15" t="s">
        <v>34</v>
      </c>
      <c r="B567" s="16">
        <v>42487</v>
      </c>
      <c r="C567" s="17">
        <v>-0.87660000000000005</v>
      </c>
      <c r="D567" s="17">
        <v>-0.95389999999999997</v>
      </c>
    </row>
    <row r="568" spans="1:4" x14ac:dyDescent="0.25">
      <c r="A568" s="15" t="s">
        <v>34</v>
      </c>
      <c r="B568" s="16">
        <v>42488</v>
      </c>
      <c r="C568" s="17">
        <v>-1.1385000000000001</v>
      </c>
      <c r="D568" s="17">
        <v>-2.2618</v>
      </c>
    </row>
    <row r="569" spans="1:4" x14ac:dyDescent="0.25">
      <c r="A569" s="15" t="s">
        <v>34</v>
      </c>
      <c r="B569" s="16">
        <v>42489</v>
      </c>
      <c r="C569" s="17">
        <v>-1.9268000000000001</v>
      </c>
      <c r="D569" s="17">
        <v>-1.9802999999999999</v>
      </c>
    </row>
    <row r="570" spans="1:4" x14ac:dyDescent="0.25">
      <c r="A570" s="15" t="s">
        <v>34</v>
      </c>
      <c r="B570" s="16">
        <v>42493</v>
      </c>
      <c r="C570" s="17">
        <v>-1.9646999999999999</v>
      </c>
      <c r="D570" s="17">
        <v>-1.6807000000000001</v>
      </c>
    </row>
    <row r="571" spans="1:4" x14ac:dyDescent="0.25">
      <c r="A571" s="15" t="s">
        <v>34</v>
      </c>
      <c r="B571" s="16">
        <v>42494</v>
      </c>
      <c r="C571" s="17">
        <v>0.13220000000000001</v>
      </c>
      <c r="D571" s="17">
        <v>-0.33960000000000001</v>
      </c>
    </row>
    <row r="572" spans="1:4" x14ac:dyDescent="0.25">
      <c r="A572" s="15" t="s">
        <v>34</v>
      </c>
      <c r="B572" s="16">
        <v>42495</v>
      </c>
      <c r="C572" s="17">
        <v>-0.39710000000000001</v>
      </c>
      <c r="D572" s="17">
        <v>0.33960000000000001</v>
      </c>
    </row>
    <row r="573" spans="1:4" x14ac:dyDescent="0.25">
      <c r="A573" s="15" t="s">
        <v>34</v>
      </c>
      <c r="B573" s="16">
        <v>42496</v>
      </c>
      <c r="C573" s="17">
        <v>-2.1448999999999998</v>
      </c>
      <c r="D573" s="17">
        <v>0.33839999999999998</v>
      </c>
    </row>
    <row r="574" spans="1:4" x14ac:dyDescent="0.25">
      <c r="A574" s="15" t="s">
        <v>34</v>
      </c>
      <c r="B574" s="16">
        <v>42499</v>
      </c>
      <c r="C574" s="17">
        <v>-1.6394</v>
      </c>
      <c r="D574" s="17">
        <v>-0.33839999999999998</v>
      </c>
    </row>
    <row r="575" spans="1:4" x14ac:dyDescent="0.25">
      <c r="A575" s="15" t="s">
        <v>34</v>
      </c>
      <c r="B575" s="16">
        <v>42500</v>
      </c>
      <c r="C575" s="17">
        <v>2.9853000000000001</v>
      </c>
      <c r="D575" s="17">
        <v>-0.33960000000000001</v>
      </c>
    </row>
    <row r="576" spans="1:4" x14ac:dyDescent="0.25">
      <c r="A576" s="15" t="s">
        <v>34</v>
      </c>
      <c r="B576" s="16">
        <v>42501</v>
      </c>
      <c r="C576" s="17">
        <v>-1.0752999999999999</v>
      </c>
      <c r="D576" s="17">
        <v>0</v>
      </c>
    </row>
    <row r="577" spans="1:4" x14ac:dyDescent="0.25">
      <c r="A577" s="15" t="s">
        <v>34</v>
      </c>
      <c r="B577" s="16">
        <v>42502</v>
      </c>
      <c r="C577" s="17">
        <v>-0.95040000000000002</v>
      </c>
      <c r="D577" s="17">
        <v>-0.68259999999999998</v>
      </c>
    </row>
    <row r="578" spans="1:4" x14ac:dyDescent="0.25">
      <c r="A578" s="15" t="s">
        <v>34</v>
      </c>
      <c r="B578" s="16">
        <v>42503</v>
      </c>
      <c r="C578" s="17">
        <v>1.4895</v>
      </c>
      <c r="D578" s="17">
        <v>-1.3793</v>
      </c>
    </row>
    <row r="579" spans="1:4" x14ac:dyDescent="0.25">
      <c r="A579" s="15" t="s">
        <v>34</v>
      </c>
      <c r="B579" s="16">
        <v>42506</v>
      </c>
      <c r="C579" s="17">
        <v>-0.53910000000000002</v>
      </c>
      <c r="D579" s="17">
        <v>0.34660000000000002</v>
      </c>
    </row>
    <row r="580" spans="1:4" x14ac:dyDescent="0.25">
      <c r="A580" s="15" t="s">
        <v>34</v>
      </c>
      <c r="B580" s="16">
        <v>42507</v>
      </c>
      <c r="C580" s="17">
        <v>0.40460000000000002</v>
      </c>
      <c r="D580" s="17">
        <v>1.7153</v>
      </c>
    </row>
    <row r="581" spans="1:4" x14ac:dyDescent="0.25">
      <c r="A581" s="15" t="s">
        <v>34</v>
      </c>
      <c r="B581" s="16">
        <v>42508</v>
      </c>
      <c r="C581" s="17">
        <v>0.13450000000000001</v>
      </c>
      <c r="D581" s="17">
        <v>0</v>
      </c>
    </row>
    <row r="582" spans="1:4" x14ac:dyDescent="0.25">
      <c r="A582" s="15" t="s">
        <v>34</v>
      </c>
      <c r="B582" s="16">
        <v>42509</v>
      </c>
      <c r="C582" s="17">
        <v>-0.26919999999999999</v>
      </c>
      <c r="D582" s="17">
        <v>0</v>
      </c>
    </row>
    <row r="583" spans="1:4" x14ac:dyDescent="0.25">
      <c r="A583" s="15" t="s">
        <v>34</v>
      </c>
      <c r="B583" s="16">
        <v>42510</v>
      </c>
      <c r="C583" s="17">
        <v>-0.26989999999999997</v>
      </c>
      <c r="D583" s="17">
        <v>1.0152000000000001</v>
      </c>
    </row>
    <row r="584" spans="1:4" x14ac:dyDescent="0.25">
      <c r="A584" s="15" t="s">
        <v>34</v>
      </c>
      <c r="B584" s="16">
        <v>42513</v>
      </c>
      <c r="C584" s="17">
        <v>4.4922000000000004</v>
      </c>
      <c r="D584" s="17">
        <v>3.6368</v>
      </c>
    </row>
    <row r="585" spans="1:4" x14ac:dyDescent="0.25">
      <c r="A585" s="15" t="s">
        <v>34</v>
      </c>
      <c r="B585" s="16">
        <v>42514</v>
      </c>
      <c r="C585" s="17">
        <v>-1.3004</v>
      </c>
      <c r="D585" s="17">
        <v>-1.9673</v>
      </c>
    </row>
    <row r="586" spans="1:4" x14ac:dyDescent="0.25">
      <c r="A586" s="15" t="s">
        <v>34</v>
      </c>
      <c r="B586" s="16">
        <v>42515</v>
      </c>
      <c r="C586" s="17">
        <v>2.5840999999999998</v>
      </c>
      <c r="D586" s="17">
        <v>2.2913999999999999</v>
      </c>
    </row>
    <row r="587" spans="1:4" x14ac:dyDescent="0.25">
      <c r="A587" s="15" t="s">
        <v>34</v>
      </c>
      <c r="B587" s="16">
        <v>42516</v>
      </c>
      <c r="C587" s="17">
        <v>-0.38340000000000002</v>
      </c>
      <c r="D587" s="17">
        <v>0.3231</v>
      </c>
    </row>
    <row r="588" spans="1:4" x14ac:dyDescent="0.25">
      <c r="A588" s="15" t="s">
        <v>34</v>
      </c>
      <c r="B588" s="16">
        <v>42517</v>
      </c>
      <c r="C588" s="17">
        <v>0.38340000000000002</v>
      </c>
      <c r="D588" s="17">
        <v>0.96309999999999996</v>
      </c>
    </row>
    <row r="589" spans="1:4" x14ac:dyDescent="0.25">
      <c r="A589" s="15" t="s">
        <v>34</v>
      </c>
      <c r="B589" s="16">
        <v>42520</v>
      </c>
      <c r="C589" s="17">
        <v>1.3933</v>
      </c>
      <c r="D589" s="17">
        <v>0.31900000000000001</v>
      </c>
    </row>
    <row r="590" spans="1:4" x14ac:dyDescent="0.25">
      <c r="A590" s="15" t="s">
        <v>34</v>
      </c>
      <c r="B590" s="16">
        <v>42521</v>
      </c>
      <c r="C590" s="17">
        <v>0.75190000000000001</v>
      </c>
      <c r="D590" s="17">
        <v>-0.31900000000000001</v>
      </c>
    </row>
    <row r="591" spans="1:4" x14ac:dyDescent="0.25">
      <c r="A591" s="15" t="s">
        <v>34</v>
      </c>
      <c r="B591" s="16">
        <v>42522</v>
      </c>
      <c r="C591" s="17">
        <v>0.62229999999999996</v>
      </c>
      <c r="D591" s="17">
        <v>1.5848</v>
      </c>
    </row>
    <row r="592" spans="1:4" x14ac:dyDescent="0.25">
      <c r="A592" s="15" t="s">
        <v>34</v>
      </c>
      <c r="B592" s="16">
        <v>42523</v>
      </c>
      <c r="C592" s="17">
        <v>-1.6261000000000001</v>
      </c>
      <c r="D592" s="17">
        <v>0</v>
      </c>
    </row>
    <row r="593" spans="1:4" x14ac:dyDescent="0.25">
      <c r="A593" s="15" t="s">
        <v>34</v>
      </c>
      <c r="B593" s="16">
        <v>42524</v>
      </c>
      <c r="C593" s="17">
        <v>0.87890000000000001</v>
      </c>
      <c r="D593" s="17">
        <v>0.93899999999999995</v>
      </c>
    </row>
    <row r="594" spans="1:4" x14ac:dyDescent="0.25">
      <c r="A594" s="15" t="s">
        <v>34</v>
      </c>
      <c r="B594" s="16">
        <v>42525</v>
      </c>
      <c r="C594" s="17">
        <v>0.24970000000000001</v>
      </c>
      <c r="D594" s="17">
        <v>-0.312</v>
      </c>
    </row>
    <row r="595" spans="1:4" x14ac:dyDescent="0.25">
      <c r="A595" s="15" t="s">
        <v>34</v>
      </c>
      <c r="B595" s="16">
        <v>42527</v>
      </c>
      <c r="C595" s="17">
        <v>0</v>
      </c>
      <c r="D595" s="17">
        <v>0.62309999999999999</v>
      </c>
    </row>
    <row r="596" spans="1:4" x14ac:dyDescent="0.25">
      <c r="A596" s="15" t="s">
        <v>34</v>
      </c>
      <c r="B596" s="16">
        <v>42528</v>
      </c>
      <c r="C596" s="17">
        <v>1.1158999999999999</v>
      </c>
      <c r="D596" s="17">
        <v>0.61919999999999997</v>
      </c>
    </row>
    <row r="597" spans="1:4" x14ac:dyDescent="0.25">
      <c r="A597" s="15" t="s">
        <v>34</v>
      </c>
      <c r="B597" s="16">
        <v>42529</v>
      </c>
      <c r="C597" s="17">
        <v>0.24629999999999999</v>
      </c>
      <c r="D597" s="17">
        <v>2.1375000000000002</v>
      </c>
    </row>
    <row r="598" spans="1:4" x14ac:dyDescent="0.25">
      <c r="A598" s="15" t="s">
        <v>34</v>
      </c>
      <c r="B598" s="16">
        <v>42534</v>
      </c>
      <c r="C598" s="17">
        <v>-3.3774000000000002</v>
      </c>
      <c r="D598" s="17">
        <v>-2.1375000000000002</v>
      </c>
    </row>
    <row r="599" spans="1:4" x14ac:dyDescent="0.25">
      <c r="A599" s="15" t="s">
        <v>34</v>
      </c>
      <c r="B599" s="16">
        <v>42535</v>
      </c>
      <c r="C599" s="17">
        <v>1.6404000000000001</v>
      </c>
      <c r="D599" s="17">
        <v>0</v>
      </c>
    </row>
    <row r="600" spans="1:4" x14ac:dyDescent="0.25">
      <c r="A600" s="15" t="s">
        <v>34</v>
      </c>
      <c r="B600" s="16">
        <v>42536</v>
      </c>
      <c r="C600" s="17">
        <v>0.37480000000000002</v>
      </c>
      <c r="D600" s="17">
        <v>0.61539999999999995</v>
      </c>
    </row>
    <row r="601" spans="1:4" x14ac:dyDescent="0.25">
      <c r="A601" s="15" t="s">
        <v>34</v>
      </c>
      <c r="B601" s="16">
        <v>42537</v>
      </c>
      <c r="C601" s="17">
        <v>-1.7611000000000001</v>
      </c>
      <c r="D601" s="17">
        <v>-1.5456000000000001</v>
      </c>
    </row>
    <row r="602" spans="1:4" x14ac:dyDescent="0.25">
      <c r="A602" s="15" t="s">
        <v>34</v>
      </c>
      <c r="B602" s="16">
        <v>42538</v>
      </c>
      <c r="C602" s="17">
        <v>0.63249999999999995</v>
      </c>
      <c r="D602" s="17">
        <v>1.5456000000000001</v>
      </c>
    </row>
    <row r="603" spans="1:4" x14ac:dyDescent="0.25">
      <c r="A603" s="15" t="s">
        <v>34</v>
      </c>
      <c r="B603" s="16">
        <v>42541</v>
      </c>
      <c r="C603" s="17">
        <v>1.5019</v>
      </c>
      <c r="D603" s="17">
        <v>0</v>
      </c>
    </row>
    <row r="604" spans="1:4" x14ac:dyDescent="0.25">
      <c r="A604" s="15" t="s">
        <v>34</v>
      </c>
      <c r="B604" s="16">
        <v>42542</v>
      </c>
      <c r="C604" s="17">
        <v>0.24809999999999999</v>
      </c>
      <c r="D604" s="17">
        <v>1.5221</v>
      </c>
    </row>
    <row r="605" spans="1:4" x14ac:dyDescent="0.25">
      <c r="A605" s="15" t="s">
        <v>34</v>
      </c>
      <c r="B605" s="16">
        <v>42543</v>
      </c>
      <c r="C605" s="17">
        <v>0.98640000000000005</v>
      </c>
      <c r="D605" s="17">
        <v>0.30170000000000002</v>
      </c>
    </row>
    <row r="606" spans="1:4" x14ac:dyDescent="0.25">
      <c r="A606" s="15" t="s">
        <v>34</v>
      </c>
      <c r="B606" s="16">
        <v>42544</v>
      </c>
      <c r="C606" s="17">
        <v>1.7032</v>
      </c>
      <c r="D606" s="17">
        <v>-1.2121</v>
      </c>
    </row>
    <row r="607" spans="1:4" x14ac:dyDescent="0.25">
      <c r="A607" s="15" t="s">
        <v>34</v>
      </c>
      <c r="B607" s="16">
        <v>42545</v>
      </c>
      <c r="C607" s="17">
        <v>-1.7032</v>
      </c>
      <c r="D607" s="17">
        <v>-3.0962000000000001</v>
      </c>
    </row>
    <row r="608" spans="1:4" x14ac:dyDescent="0.25">
      <c r="A608" s="15" t="s">
        <v>34</v>
      </c>
      <c r="B608" s="16">
        <v>42548</v>
      </c>
      <c r="C608" s="17">
        <v>0.61160000000000003</v>
      </c>
      <c r="D608" s="17">
        <v>1.5601</v>
      </c>
    </row>
    <row r="609" spans="1:4" x14ac:dyDescent="0.25">
      <c r="A609" s="15" t="s">
        <v>34</v>
      </c>
      <c r="B609" s="16">
        <v>42549</v>
      </c>
      <c r="C609" s="17">
        <v>0.6079</v>
      </c>
      <c r="D609" s="17">
        <v>0.96</v>
      </c>
    </row>
    <row r="610" spans="1:4" x14ac:dyDescent="0.25">
      <c r="A610" s="15" t="s">
        <v>34</v>
      </c>
      <c r="B610" s="16">
        <v>42550</v>
      </c>
      <c r="C610" s="17">
        <v>0</v>
      </c>
      <c r="D610" s="17">
        <v>1.2658</v>
      </c>
    </row>
    <row r="611" spans="1:4" x14ac:dyDescent="0.25">
      <c r="A611" s="15" t="s">
        <v>34</v>
      </c>
      <c r="B611" s="16">
        <v>42551</v>
      </c>
      <c r="C611" s="17">
        <v>0</v>
      </c>
      <c r="D611" s="17">
        <v>2.1774</v>
      </c>
    </row>
    <row r="612" spans="1:4" x14ac:dyDescent="0.25">
      <c r="A612" s="15" t="s">
        <v>34</v>
      </c>
      <c r="B612" s="16">
        <v>42552</v>
      </c>
      <c r="C612" s="17">
        <v>0.24210000000000001</v>
      </c>
      <c r="D612" s="17">
        <v>2.1309999999999998</v>
      </c>
    </row>
    <row r="613" spans="1:4" x14ac:dyDescent="0.25">
      <c r="A613" s="15" t="s">
        <v>34</v>
      </c>
      <c r="B613" s="16">
        <v>42555</v>
      </c>
      <c r="C613" s="17">
        <v>0.72289999999999999</v>
      </c>
      <c r="D613" s="17">
        <v>0</v>
      </c>
    </row>
    <row r="614" spans="1:4" x14ac:dyDescent="0.25">
      <c r="A614" s="15" t="s">
        <v>34</v>
      </c>
      <c r="B614" s="16">
        <v>42556</v>
      </c>
      <c r="C614" s="17">
        <v>-0.36080000000000001</v>
      </c>
      <c r="D614" s="17">
        <v>-1.2121</v>
      </c>
    </row>
    <row r="615" spans="1:4" x14ac:dyDescent="0.25">
      <c r="A615" s="15" t="s">
        <v>34</v>
      </c>
      <c r="B615" s="16">
        <v>42557</v>
      </c>
      <c r="C615" s="17">
        <v>-1.8238000000000001</v>
      </c>
      <c r="D615" s="17">
        <v>-1.5361</v>
      </c>
    </row>
    <row r="616" spans="1:4" x14ac:dyDescent="0.25">
      <c r="A616" s="15" t="s">
        <v>34</v>
      </c>
      <c r="B616" s="16">
        <v>42558</v>
      </c>
      <c r="C616" s="17">
        <v>0.73350000000000004</v>
      </c>
      <c r="D616" s="17">
        <v>1.8405</v>
      </c>
    </row>
    <row r="617" spans="1:4" x14ac:dyDescent="0.25">
      <c r="A617" s="15" t="s">
        <v>34</v>
      </c>
      <c r="B617" s="16">
        <v>42562</v>
      </c>
      <c r="C617" s="17">
        <v>0.48599999999999999</v>
      </c>
      <c r="D617" s="17">
        <v>3.2888000000000002</v>
      </c>
    </row>
    <row r="618" spans="1:4" x14ac:dyDescent="0.25">
      <c r="A618" s="15" t="s">
        <v>34</v>
      </c>
      <c r="B618" s="16">
        <v>42563</v>
      </c>
      <c r="C618" s="17">
        <v>0.96499999999999997</v>
      </c>
      <c r="D618" s="17">
        <v>0.58650000000000002</v>
      </c>
    </row>
    <row r="619" spans="1:4" x14ac:dyDescent="0.25">
      <c r="A619" s="15" t="s">
        <v>34</v>
      </c>
      <c r="B619" s="16">
        <v>42564</v>
      </c>
      <c r="C619" s="17">
        <v>0.23980000000000001</v>
      </c>
      <c r="D619" s="17">
        <v>-1.4728000000000001</v>
      </c>
    </row>
    <row r="620" spans="1:4" x14ac:dyDescent="0.25">
      <c r="A620" s="15" t="s">
        <v>34</v>
      </c>
      <c r="B620" s="16">
        <v>42565</v>
      </c>
      <c r="C620" s="17">
        <v>0</v>
      </c>
      <c r="D620" s="17">
        <v>0.29630000000000001</v>
      </c>
    </row>
    <row r="621" spans="1:4" x14ac:dyDescent="0.25">
      <c r="A621" s="15" t="s">
        <v>34</v>
      </c>
      <c r="B621" s="16">
        <v>42566</v>
      </c>
      <c r="C621" s="17">
        <v>1.1904999999999999</v>
      </c>
      <c r="D621" s="17">
        <v>0.2954</v>
      </c>
    </row>
    <row r="622" spans="1:4" x14ac:dyDescent="0.25">
      <c r="A622" s="15" t="s">
        <v>34</v>
      </c>
      <c r="B622" s="16">
        <v>42569</v>
      </c>
      <c r="C622" s="17">
        <v>1.7596000000000001</v>
      </c>
      <c r="D622" s="17">
        <v>0</v>
      </c>
    </row>
    <row r="623" spans="1:4" x14ac:dyDescent="0.25">
      <c r="A623" s="15" t="s">
        <v>34</v>
      </c>
      <c r="B623" s="16">
        <v>42570</v>
      </c>
      <c r="C623" s="17">
        <v>0.23230000000000001</v>
      </c>
      <c r="D623" s="17">
        <v>0.58819999999999995</v>
      </c>
    </row>
    <row r="624" spans="1:4" x14ac:dyDescent="0.25">
      <c r="A624" s="15" t="s">
        <v>34</v>
      </c>
      <c r="B624" s="16">
        <v>42571</v>
      </c>
      <c r="C624" s="17">
        <v>-0.23230000000000001</v>
      </c>
      <c r="D624" s="17">
        <v>-0.29370000000000002</v>
      </c>
    </row>
    <row r="625" spans="1:4" x14ac:dyDescent="0.25">
      <c r="A625" s="15" t="s">
        <v>34</v>
      </c>
      <c r="B625" s="16">
        <v>42572</v>
      </c>
      <c r="C625" s="17">
        <v>1.6148</v>
      </c>
      <c r="D625" s="17">
        <v>1.1696</v>
      </c>
    </row>
    <row r="626" spans="1:4" x14ac:dyDescent="0.25">
      <c r="A626" s="15" t="s">
        <v>34</v>
      </c>
      <c r="B626" s="16">
        <v>42573</v>
      </c>
      <c r="C626" s="17">
        <v>0.2286</v>
      </c>
      <c r="D626" s="17">
        <v>-0.58309999999999995</v>
      </c>
    </row>
    <row r="627" spans="1:4" x14ac:dyDescent="0.25">
      <c r="A627" s="15" t="s">
        <v>34</v>
      </c>
      <c r="B627" s="16">
        <v>42576</v>
      </c>
      <c r="C627" s="17">
        <v>0</v>
      </c>
      <c r="D627" s="17">
        <v>0.29199999999999998</v>
      </c>
    </row>
    <row r="628" spans="1:4" x14ac:dyDescent="0.25">
      <c r="A628" s="15" t="s">
        <v>34</v>
      </c>
      <c r="B628" s="16">
        <v>42577</v>
      </c>
      <c r="C628" s="17">
        <v>0.2281</v>
      </c>
      <c r="D628" s="17">
        <v>0.87080000000000002</v>
      </c>
    </row>
    <row r="629" spans="1:4" x14ac:dyDescent="0.25">
      <c r="A629" s="15" t="s">
        <v>34</v>
      </c>
      <c r="B629" s="16">
        <v>42578</v>
      </c>
      <c r="C629" s="17">
        <v>1.3574999999999999</v>
      </c>
      <c r="D629" s="17">
        <v>1.1494</v>
      </c>
    </row>
    <row r="630" spans="1:4" x14ac:dyDescent="0.25">
      <c r="A630" s="15" t="s">
        <v>34</v>
      </c>
      <c r="B630" s="16">
        <v>42579</v>
      </c>
      <c r="C630" s="17">
        <v>0</v>
      </c>
      <c r="D630" s="17">
        <v>0.85350000000000004</v>
      </c>
    </row>
    <row r="631" spans="1:4" x14ac:dyDescent="0.25">
      <c r="A631" s="15" t="s">
        <v>34</v>
      </c>
      <c r="B631" s="16">
        <v>42580</v>
      </c>
      <c r="C631" s="17">
        <v>-1.2437</v>
      </c>
      <c r="D631" s="17">
        <v>-2.2924000000000002</v>
      </c>
    </row>
    <row r="632" spans="1:4" x14ac:dyDescent="0.25">
      <c r="A632" s="15" t="s">
        <v>34</v>
      </c>
      <c r="B632" s="16">
        <v>42583</v>
      </c>
      <c r="C632" s="17">
        <v>1.0186999999999999</v>
      </c>
      <c r="D632" s="17">
        <v>2.5752000000000002</v>
      </c>
    </row>
    <row r="633" spans="1:4" x14ac:dyDescent="0.25">
      <c r="A633" s="15" t="s">
        <v>34</v>
      </c>
      <c r="B633" s="16">
        <v>42584</v>
      </c>
      <c r="C633" s="17">
        <v>-0.33839999999999998</v>
      </c>
      <c r="D633" s="17">
        <v>-0.56659999999999999</v>
      </c>
    </row>
    <row r="634" spans="1:4" x14ac:dyDescent="0.25">
      <c r="A634" s="15" t="s">
        <v>34</v>
      </c>
      <c r="B634" s="16">
        <v>42585</v>
      </c>
      <c r="C634" s="17">
        <v>-1.1364000000000001</v>
      </c>
      <c r="D634" s="17">
        <v>-2.0087000000000002</v>
      </c>
    </row>
    <row r="635" spans="1:4" x14ac:dyDescent="0.25">
      <c r="A635" s="15" t="s">
        <v>34</v>
      </c>
      <c r="B635" s="16">
        <v>42586</v>
      </c>
      <c r="C635" s="17">
        <v>0.56979999999999997</v>
      </c>
      <c r="D635" s="17">
        <v>1.1528</v>
      </c>
    </row>
    <row r="636" spans="1:4" x14ac:dyDescent="0.25">
      <c r="A636" s="15" t="s">
        <v>34</v>
      </c>
      <c r="B636" s="16">
        <v>42587</v>
      </c>
      <c r="C636" s="17">
        <v>0.45350000000000001</v>
      </c>
      <c r="D636" s="17">
        <v>1.4225000000000001</v>
      </c>
    </row>
    <row r="637" spans="1:4" x14ac:dyDescent="0.25">
      <c r="A637" s="15" t="s">
        <v>34</v>
      </c>
      <c r="B637" s="16">
        <v>42590</v>
      </c>
      <c r="C637" s="17">
        <v>1.7938000000000001</v>
      </c>
      <c r="D637" s="17">
        <v>0.56340000000000001</v>
      </c>
    </row>
    <row r="638" spans="1:4" x14ac:dyDescent="0.25">
      <c r="A638" s="15" t="s">
        <v>34</v>
      </c>
      <c r="B638" s="16">
        <v>42591</v>
      </c>
      <c r="C638" s="17">
        <v>-0.11119999999999999</v>
      </c>
      <c r="D638" s="17">
        <v>0.28050000000000003</v>
      </c>
    </row>
    <row r="639" spans="1:4" x14ac:dyDescent="0.25">
      <c r="A639" s="15" t="s">
        <v>34</v>
      </c>
      <c r="B639" s="16">
        <v>42592</v>
      </c>
      <c r="C639" s="17">
        <v>0.11119999999999999</v>
      </c>
      <c r="D639" s="17">
        <v>0.55869999999999997</v>
      </c>
    </row>
    <row r="640" spans="1:4" x14ac:dyDescent="0.25">
      <c r="A640" s="15" t="s">
        <v>34</v>
      </c>
      <c r="B640" s="16">
        <v>42593</v>
      </c>
      <c r="C640" s="17">
        <v>-0.55710000000000004</v>
      </c>
      <c r="D640" s="17">
        <v>-1.6854</v>
      </c>
    </row>
    <row r="641" spans="1:4" x14ac:dyDescent="0.25">
      <c r="A641" s="15" t="s">
        <v>34</v>
      </c>
      <c r="B641" s="16">
        <v>42594</v>
      </c>
      <c r="C641" s="17">
        <v>-3.7568000000000001</v>
      </c>
      <c r="D641" s="17">
        <v>0.56499999999999995</v>
      </c>
    </row>
    <row r="642" spans="1:4" x14ac:dyDescent="0.25">
      <c r="A642" s="15" t="s">
        <v>34</v>
      </c>
      <c r="B642" s="16">
        <v>42597</v>
      </c>
      <c r="C642" s="17">
        <v>1.1534</v>
      </c>
      <c r="D642" s="17">
        <v>0.84150000000000003</v>
      </c>
    </row>
    <row r="643" spans="1:4" x14ac:dyDescent="0.25">
      <c r="A643" s="15" t="s">
        <v>34</v>
      </c>
      <c r="B643" s="16">
        <v>42598</v>
      </c>
      <c r="C643" s="17">
        <v>-1.1534</v>
      </c>
      <c r="D643" s="17">
        <v>-1.9746999999999999</v>
      </c>
    </row>
    <row r="644" spans="1:4" x14ac:dyDescent="0.25">
      <c r="A644" s="15" t="s">
        <v>34</v>
      </c>
      <c r="B644" s="16">
        <v>42599</v>
      </c>
      <c r="C644" s="17">
        <v>-1.4018999999999999</v>
      </c>
      <c r="D644" s="17">
        <v>0.85109999999999997</v>
      </c>
    </row>
    <row r="645" spans="1:4" x14ac:dyDescent="0.25">
      <c r="A645" s="15" t="s">
        <v>34</v>
      </c>
      <c r="B645" s="16">
        <v>42600</v>
      </c>
      <c r="C645" s="17">
        <v>0.82020000000000004</v>
      </c>
      <c r="D645" s="17">
        <v>-0.56659999999999999</v>
      </c>
    </row>
    <row r="646" spans="1:4" x14ac:dyDescent="0.25">
      <c r="A646" s="15" t="s">
        <v>34</v>
      </c>
      <c r="B646" s="16">
        <v>42601</v>
      </c>
      <c r="C646" s="17">
        <v>-0.46779999999999999</v>
      </c>
      <c r="D646" s="17">
        <v>-0.85589999999999999</v>
      </c>
    </row>
    <row r="647" spans="1:4" x14ac:dyDescent="0.25">
      <c r="A647" s="15" t="s">
        <v>34</v>
      </c>
      <c r="B647" s="16">
        <v>42604</v>
      </c>
      <c r="C647" s="17">
        <v>0.1172</v>
      </c>
      <c r="D647" s="17">
        <v>-0.86329999999999996</v>
      </c>
    </row>
    <row r="648" spans="1:4" x14ac:dyDescent="0.25">
      <c r="A648" s="15" t="s">
        <v>34</v>
      </c>
      <c r="B648" s="16">
        <v>42605</v>
      </c>
      <c r="C648" s="17">
        <v>0.46729999999999999</v>
      </c>
      <c r="D648" s="17">
        <v>0.57640000000000002</v>
      </c>
    </row>
    <row r="649" spans="1:4" x14ac:dyDescent="0.25">
      <c r="A649" s="15" t="s">
        <v>34</v>
      </c>
      <c r="B649" s="16">
        <v>42606</v>
      </c>
      <c r="C649" s="17">
        <v>1.0435000000000001</v>
      </c>
      <c r="D649" s="17">
        <v>-0.2878</v>
      </c>
    </row>
    <row r="650" spans="1:4" x14ac:dyDescent="0.25">
      <c r="A650" s="15" t="s">
        <v>34</v>
      </c>
      <c r="B650" s="16">
        <v>42607</v>
      </c>
      <c r="C650" s="17">
        <v>2.0548999999999999</v>
      </c>
      <c r="D650" s="17">
        <v>1.9972000000000001</v>
      </c>
    </row>
    <row r="651" spans="1:4" x14ac:dyDescent="0.25">
      <c r="A651" s="15" t="s">
        <v>34</v>
      </c>
      <c r="B651" s="16">
        <v>42608</v>
      </c>
      <c r="C651" s="17">
        <v>0</v>
      </c>
      <c r="D651" s="17">
        <v>0</v>
      </c>
    </row>
    <row r="652" spans="1:4" x14ac:dyDescent="0.25">
      <c r="A652" s="15" t="s">
        <v>34</v>
      </c>
      <c r="B652" s="16">
        <v>42611</v>
      </c>
      <c r="C652" s="17">
        <v>0.89990000000000003</v>
      </c>
      <c r="D652" s="17">
        <v>-0.28289999999999998</v>
      </c>
    </row>
    <row r="653" spans="1:4" x14ac:dyDescent="0.25">
      <c r="A653" s="15" t="s">
        <v>34</v>
      </c>
      <c r="B653" s="16">
        <v>42612</v>
      </c>
      <c r="C653" s="17">
        <v>-0.33650000000000002</v>
      </c>
      <c r="D653" s="17">
        <v>-1.1395999999999999</v>
      </c>
    </row>
    <row r="654" spans="1:4" x14ac:dyDescent="0.25">
      <c r="A654" s="15" t="s">
        <v>34</v>
      </c>
      <c r="B654" s="16">
        <v>42613</v>
      </c>
      <c r="C654" s="17">
        <v>-1.1299999999999999</v>
      </c>
      <c r="D654" s="17">
        <v>0.85589999999999999</v>
      </c>
    </row>
    <row r="655" spans="1:4" x14ac:dyDescent="0.25">
      <c r="A655" s="15" t="s">
        <v>34</v>
      </c>
      <c r="B655" s="16">
        <v>42614</v>
      </c>
      <c r="C655" s="17">
        <v>-0.68420000000000003</v>
      </c>
      <c r="D655" s="17">
        <v>-1.4306000000000001</v>
      </c>
    </row>
    <row r="656" spans="1:4" x14ac:dyDescent="0.25">
      <c r="A656" s="15" t="s">
        <v>34</v>
      </c>
      <c r="B656" s="16">
        <v>42615</v>
      </c>
      <c r="C656" s="17">
        <v>1.7242</v>
      </c>
      <c r="D656" s="17">
        <v>0.57469999999999999</v>
      </c>
    </row>
    <row r="657" spans="1:4" x14ac:dyDescent="0.25">
      <c r="A657" s="15" t="s">
        <v>34</v>
      </c>
      <c r="B657" s="16">
        <v>42618</v>
      </c>
      <c r="C657" s="17">
        <v>1.2869999999999999</v>
      </c>
      <c r="D657" s="17">
        <v>1.1395999999999999</v>
      </c>
    </row>
    <row r="658" spans="1:4" x14ac:dyDescent="0.25">
      <c r="A658" s="15" t="s">
        <v>34</v>
      </c>
      <c r="B658" s="16">
        <v>42619</v>
      </c>
      <c r="C658" s="17">
        <v>2.0253999999999999</v>
      </c>
      <c r="D658" s="17">
        <v>1.4065000000000001</v>
      </c>
    </row>
    <row r="659" spans="1:4" x14ac:dyDescent="0.25">
      <c r="A659" s="15" t="s">
        <v>34</v>
      </c>
      <c r="B659" s="16">
        <v>42620</v>
      </c>
      <c r="C659" s="17">
        <v>-0.37659999999999999</v>
      </c>
      <c r="D659" s="17">
        <v>2.7549999999999999</v>
      </c>
    </row>
    <row r="660" spans="1:4" x14ac:dyDescent="0.25">
      <c r="A660" s="15" t="s">
        <v>34</v>
      </c>
      <c r="B660" s="16">
        <v>42621</v>
      </c>
      <c r="C660" s="17">
        <v>-1.2658</v>
      </c>
      <c r="D660" s="17">
        <v>-0.54500000000000004</v>
      </c>
    </row>
    <row r="661" spans="1:4" x14ac:dyDescent="0.25">
      <c r="A661" s="15" t="s">
        <v>34</v>
      </c>
      <c r="B661" s="16">
        <v>42622</v>
      </c>
      <c r="C661" s="17">
        <v>-1.0243</v>
      </c>
      <c r="D661" s="17">
        <v>-1.9311</v>
      </c>
    </row>
    <row r="662" spans="1:4" x14ac:dyDescent="0.25">
      <c r="A662" s="15" t="s">
        <v>34</v>
      </c>
      <c r="B662" s="16">
        <v>42623</v>
      </c>
      <c r="C662" s="17">
        <v>0.38540000000000002</v>
      </c>
      <c r="D662" s="17">
        <v>-0.83919999999999995</v>
      </c>
    </row>
    <row r="663" spans="1:4" x14ac:dyDescent="0.25">
      <c r="A663" s="15" t="s">
        <v>34</v>
      </c>
      <c r="B663" s="16">
        <v>42625</v>
      </c>
      <c r="C663" s="17">
        <v>-0.6431</v>
      </c>
      <c r="D663" s="17">
        <v>-1.6998</v>
      </c>
    </row>
    <row r="664" spans="1:4" x14ac:dyDescent="0.25">
      <c r="A664" s="15" t="s">
        <v>34</v>
      </c>
      <c r="B664" s="16">
        <v>42626</v>
      </c>
      <c r="C664" s="17">
        <v>-0.38779999999999998</v>
      </c>
      <c r="D664" s="17">
        <v>0</v>
      </c>
    </row>
    <row r="665" spans="1:4" x14ac:dyDescent="0.25">
      <c r="A665" s="15" t="s">
        <v>34</v>
      </c>
      <c r="B665" s="16">
        <v>42627</v>
      </c>
      <c r="C665" s="17">
        <v>0.25869999999999999</v>
      </c>
      <c r="D665" s="17">
        <v>-0.86080000000000001</v>
      </c>
    </row>
    <row r="666" spans="1:4" x14ac:dyDescent="0.25">
      <c r="A666" s="15" t="s">
        <v>34</v>
      </c>
      <c r="B666" s="16">
        <v>42632</v>
      </c>
      <c r="C666" s="17">
        <v>3.8027000000000002</v>
      </c>
      <c r="D666" s="17">
        <v>5.0572999999999997</v>
      </c>
    </row>
    <row r="667" spans="1:4" x14ac:dyDescent="0.25">
      <c r="A667" s="15" t="s">
        <v>34</v>
      </c>
      <c r="B667" s="16">
        <v>42633</v>
      </c>
      <c r="C667" s="17">
        <v>-0.24909999999999999</v>
      </c>
      <c r="D667" s="17">
        <v>0.27360000000000001</v>
      </c>
    </row>
    <row r="668" spans="1:4" x14ac:dyDescent="0.25">
      <c r="A668" s="15" t="s">
        <v>34</v>
      </c>
      <c r="B668" s="16">
        <v>42634</v>
      </c>
      <c r="C668" s="17">
        <v>-0.24970000000000001</v>
      </c>
      <c r="D668" s="17">
        <v>0.54500000000000004</v>
      </c>
    </row>
    <row r="669" spans="1:4" x14ac:dyDescent="0.25">
      <c r="A669" s="15" t="s">
        <v>34</v>
      </c>
      <c r="B669" s="16">
        <v>42635</v>
      </c>
      <c r="C669" s="17">
        <v>-0.50129999999999997</v>
      </c>
      <c r="D669" s="17">
        <v>0.81189999999999996</v>
      </c>
    </row>
    <row r="670" spans="1:4" x14ac:dyDescent="0.25">
      <c r="A670" s="15" t="s">
        <v>34</v>
      </c>
      <c r="B670" s="16">
        <v>42636</v>
      </c>
      <c r="C670" s="17">
        <v>0.25090000000000001</v>
      </c>
      <c r="D670" s="17">
        <v>1.0724</v>
      </c>
    </row>
    <row r="671" spans="1:4" x14ac:dyDescent="0.25">
      <c r="A671" s="15" t="s">
        <v>34</v>
      </c>
      <c r="B671" s="16">
        <v>42639</v>
      </c>
      <c r="C671" s="17">
        <v>-1.1342000000000001</v>
      </c>
      <c r="D671" s="17">
        <v>-2.4293</v>
      </c>
    </row>
    <row r="672" spans="1:4" x14ac:dyDescent="0.25">
      <c r="A672" s="15" t="s">
        <v>34</v>
      </c>
      <c r="B672" s="16">
        <v>42642</v>
      </c>
      <c r="C672" s="17">
        <v>1.1342000000000001</v>
      </c>
      <c r="D672" s="17">
        <v>1.3569</v>
      </c>
    </row>
    <row r="673" spans="1:4" x14ac:dyDescent="0.25">
      <c r="A673" s="15" t="s">
        <v>34</v>
      </c>
      <c r="B673" s="16">
        <v>42643</v>
      </c>
      <c r="C673" s="17">
        <v>-1.0076000000000001</v>
      </c>
      <c r="D673" s="17">
        <v>-1.6305000000000001</v>
      </c>
    </row>
    <row r="674" spans="1:4" x14ac:dyDescent="0.25">
      <c r="A674" s="15" t="s">
        <v>34</v>
      </c>
      <c r="B674" s="16">
        <v>42646</v>
      </c>
      <c r="C674" s="17">
        <v>0.25280000000000002</v>
      </c>
      <c r="D674" s="17">
        <v>1.8996999999999999</v>
      </c>
    </row>
    <row r="675" spans="1:4" x14ac:dyDescent="0.25">
      <c r="A675" s="15" t="s">
        <v>34</v>
      </c>
      <c r="B675" s="16">
        <v>42647</v>
      </c>
      <c r="C675" s="17">
        <v>0.37809999999999999</v>
      </c>
      <c r="D675" s="17">
        <v>0.53620000000000001</v>
      </c>
    </row>
    <row r="676" spans="1:4" x14ac:dyDescent="0.25">
      <c r="A676" s="15" t="s">
        <v>34</v>
      </c>
      <c r="B676" s="16">
        <v>42648</v>
      </c>
      <c r="C676" s="17">
        <v>0.12570000000000001</v>
      </c>
      <c r="D676" s="17">
        <v>-0.53620000000000001</v>
      </c>
    </row>
    <row r="677" spans="1:4" x14ac:dyDescent="0.25">
      <c r="A677" s="15" t="s">
        <v>34</v>
      </c>
      <c r="B677" s="16">
        <v>42649</v>
      </c>
      <c r="C677" s="17">
        <v>0.75090000000000001</v>
      </c>
      <c r="D677" s="17">
        <v>0.80320000000000003</v>
      </c>
    </row>
    <row r="678" spans="1:4" x14ac:dyDescent="0.25">
      <c r="A678" s="15" t="s">
        <v>34</v>
      </c>
      <c r="B678" s="16">
        <v>42650</v>
      </c>
      <c r="C678" s="17">
        <v>-0.24970000000000001</v>
      </c>
      <c r="D678" s="17">
        <v>0.26629999999999998</v>
      </c>
    </row>
    <row r="679" spans="1:4" x14ac:dyDescent="0.25">
      <c r="A679" s="15" t="s">
        <v>34</v>
      </c>
      <c r="B679" s="16">
        <v>42654</v>
      </c>
      <c r="C679" s="17">
        <v>1.3655999999999999</v>
      </c>
      <c r="D679" s="17">
        <v>-0.26629999999999998</v>
      </c>
    </row>
    <row r="680" spans="1:4" x14ac:dyDescent="0.25">
      <c r="A680" s="15" t="s">
        <v>34</v>
      </c>
      <c r="B680" s="16">
        <v>42655</v>
      </c>
      <c r="C680" s="17">
        <v>0.61460000000000004</v>
      </c>
      <c r="D680" s="17">
        <v>1.0609999999999999</v>
      </c>
    </row>
    <row r="681" spans="1:4" x14ac:dyDescent="0.25">
      <c r="A681" s="15" t="s">
        <v>34</v>
      </c>
      <c r="B681" s="16">
        <v>42656</v>
      </c>
      <c r="C681" s="17">
        <v>0.24479999999999999</v>
      </c>
      <c r="D681" s="17">
        <v>-0.52910000000000001</v>
      </c>
    </row>
    <row r="682" spans="1:4" x14ac:dyDescent="0.25">
      <c r="A682" s="15" t="s">
        <v>34</v>
      </c>
      <c r="B682" s="16">
        <v>42657</v>
      </c>
      <c r="C682" s="17">
        <v>-0.73619999999999997</v>
      </c>
      <c r="D682" s="17">
        <v>-0.2656</v>
      </c>
    </row>
    <row r="683" spans="1:4" x14ac:dyDescent="0.25">
      <c r="A683" s="15" t="s">
        <v>34</v>
      </c>
      <c r="B683" s="16">
        <v>42660</v>
      </c>
      <c r="C683" s="17">
        <v>0.85840000000000005</v>
      </c>
      <c r="D683" s="17">
        <v>-0.80110000000000003</v>
      </c>
    </row>
    <row r="684" spans="1:4" x14ac:dyDescent="0.25">
      <c r="A684" s="15" t="s">
        <v>34</v>
      </c>
      <c r="B684" s="16">
        <v>42661</v>
      </c>
      <c r="C684" s="17">
        <v>0.24390000000000001</v>
      </c>
      <c r="D684" s="17">
        <v>0.26769999999999999</v>
      </c>
    </row>
    <row r="685" spans="1:4" x14ac:dyDescent="0.25">
      <c r="A685" s="15" t="s">
        <v>34</v>
      </c>
      <c r="B685" s="16">
        <v>42662</v>
      </c>
      <c r="C685" s="17">
        <v>0.36470000000000002</v>
      </c>
      <c r="D685" s="17">
        <v>1.3280000000000001</v>
      </c>
    </row>
    <row r="686" spans="1:4" x14ac:dyDescent="0.25">
      <c r="A686" s="15" t="s">
        <v>34</v>
      </c>
      <c r="B686" s="16">
        <v>42663</v>
      </c>
      <c r="C686" s="17">
        <v>1.3261000000000001</v>
      </c>
      <c r="D686" s="17">
        <v>0.52629999999999999</v>
      </c>
    </row>
    <row r="687" spans="1:4" x14ac:dyDescent="0.25">
      <c r="A687" s="15" t="s">
        <v>34</v>
      </c>
      <c r="B687" s="16">
        <v>42664</v>
      </c>
      <c r="C687" s="17">
        <v>0.95350000000000001</v>
      </c>
      <c r="D687" s="17">
        <v>-1.0553999999999999</v>
      </c>
    </row>
    <row r="688" spans="1:4" x14ac:dyDescent="0.25">
      <c r="A688" s="15" t="s">
        <v>34</v>
      </c>
      <c r="B688" s="16">
        <v>42667</v>
      </c>
      <c r="C688" s="17">
        <v>-0.1187</v>
      </c>
      <c r="D688" s="17">
        <v>1.3174999999999999</v>
      </c>
    </row>
    <row r="689" spans="1:4" x14ac:dyDescent="0.25">
      <c r="A689" s="15" t="s">
        <v>34</v>
      </c>
      <c r="B689" s="16">
        <v>42668</v>
      </c>
      <c r="C689" s="17">
        <v>1.7658</v>
      </c>
      <c r="D689" s="17">
        <v>1.0417000000000001</v>
      </c>
    </row>
    <row r="690" spans="1:4" x14ac:dyDescent="0.25">
      <c r="A690" s="15" t="s">
        <v>34</v>
      </c>
      <c r="B690" s="16">
        <v>42669</v>
      </c>
      <c r="C690" s="17">
        <v>-0.1168</v>
      </c>
      <c r="D690" s="17">
        <v>-0.7802</v>
      </c>
    </row>
    <row r="691" spans="1:4" x14ac:dyDescent="0.25">
      <c r="A691" s="15" t="s">
        <v>34</v>
      </c>
      <c r="B691" s="16">
        <v>42670</v>
      </c>
      <c r="C691" s="17">
        <v>-0.2339</v>
      </c>
      <c r="D691" s="17">
        <v>-1.579</v>
      </c>
    </row>
    <row r="692" spans="1:4" x14ac:dyDescent="0.25">
      <c r="A692" s="15" t="s">
        <v>34</v>
      </c>
      <c r="B692" s="16">
        <v>42671</v>
      </c>
      <c r="C692" s="17">
        <v>-0.70509999999999995</v>
      </c>
      <c r="D692" s="17">
        <v>0.52910000000000001</v>
      </c>
    </row>
    <row r="693" spans="1:4" x14ac:dyDescent="0.25">
      <c r="A693" s="15" t="s">
        <v>34</v>
      </c>
      <c r="B693" s="16">
        <v>42674</v>
      </c>
      <c r="C693" s="17">
        <v>0.58789999999999998</v>
      </c>
      <c r="D693" s="17">
        <v>-0.52910000000000001</v>
      </c>
    </row>
    <row r="694" spans="1:4" x14ac:dyDescent="0.25">
      <c r="A694" s="15" t="s">
        <v>34</v>
      </c>
      <c r="B694" s="16">
        <v>42675</v>
      </c>
      <c r="C694" s="17">
        <v>-0.82399999999999995</v>
      </c>
      <c r="D694" s="17">
        <v>0.52910000000000001</v>
      </c>
    </row>
    <row r="695" spans="1:4" x14ac:dyDescent="0.25">
      <c r="A695" s="15" t="s">
        <v>34</v>
      </c>
      <c r="B695" s="16">
        <v>42676</v>
      </c>
      <c r="C695" s="17">
        <v>-2.3925000000000001</v>
      </c>
      <c r="D695" s="17">
        <v>-1.8642000000000001</v>
      </c>
    </row>
    <row r="696" spans="1:4" x14ac:dyDescent="0.25">
      <c r="A696" s="15" t="s">
        <v>34</v>
      </c>
      <c r="B696" s="16">
        <v>42677</v>
      </c>
      <c r="C696" s="17">
        <v>-1.0955999999999999</v>
      </c>
      <c r="D696" s="17">
        <v>-0.80969999999999998</v>
      </c>
    </row>
    <row r="697" spans="1:4" x14ac:dyDescent="0.25">
      <c r="A697" s="15" t="s">
        <v>34</v>
      </c>
      <c r="B697" s="16">
        <v>42678</v>
      </c>
      <c r="C697" s="17">
        <v>0.36649999999999999</v>
      </c>
      <c r="D697" s="17">
        <v>0</v>
      </c>
    </row>
    <row r="698" spans="1:4" x14ac:dyDescent="0.25">
      <c r="A698" s="15" t="s">
        <v>34</v>
      </c>
      <c r="B698" s="16">
        <v>42681</v>
      </c>
      <c r="C698" s="17">
        <v>1.8127</v>
      </c>
      <c r="D698" s="17">
        <v>2.4098000000000002</v>
      </c>
    </row>
    <row r="699" spans="1:4" x14ac:dyDescent="0.25">
      <c r="A699" s="15" t="s">
        <v>34</v>
      </c>
      <c r="B699" s="16">
        <v>42682</v>
      </c>
      <c r="C699" s="17">
        <v>-0.60060000000000002</v>
      </c>
      <c r="D699" s="17">
        <v>-0.26490000000000002</v>
      </c>
    </row>
    <row r="700" spans="1:4" x14ac:dyDescent="0.25">
      <c r="A700" s="15" t="s">
        <v>34</v>
      </c>
      <c r="B700" s="16">
        <v>42683</v>
      </c>
      <c r="C700" s="17">
        <v>-3.1825999999999999</v>
      </c>
      <c r="D700" s="17">
        <v>-3.5091000000000001</v>
      </c>
    </row>
    <row r="701" spans="1:4" x14ac:dyDescent="0.25">
      <c r="A701" s="15" t="s">
        <v>34</v>
      </c>
      <c r="B701" s="16">
        <v>42684</v>
      </c>
      <c r="C701" s="17">
        <v>1.3589</v>
      </c>
      <c r="D701" s="17">
        <v>1.9048</v>
      </c>
    </row>
    <row r="702" spans="1:4" x14ac:dyDescent="0.25">
      <c r="A702" s="15" t="s">
        <v>34</v>
      </c>
      <c r="B702" s="16">
        <v>42685</v>
      </c>
      <c r="C702" s="17">
        <v>-3.1154999999999999</v>
      </c>
      <c r="D702" s="17">
        <v>-2.1798999999999999</v>
      </c>
    </row>
    <row r="703" spans="1:4" x14ac:dyDescent="0.25">
      <c r="A703" s="15" t="s">
        <v>34</v>
      </c>
      <c r="B703" s="16">
        <v>42688</v>
      </c>
      <c r="C703" s="17">
        <v>0</v>
      </c>
      <c r="D703" s="17">
        <v>-0.55249999999999999</v>
      </c>
    </row>
    <row r="704" spans="1:4" x14ac:dyDescent="0.25">
      <c r="A704" s="15" t="s">
        <v>34</v>
      </c>
      <c r="B704" s="16">
        <v>42689</v>
      </c>
      <c r="C704" s="17">
        <v>0</v>
      </c>
      <c r="D704" s="17">
        <v>-0.27739999999999998</v>
      </c>
    </row>
    <row r="705" spans="1:4" x14ac:dyDescent="0.25">
      <c r="A705" s="15" t="s">
        <v>34</v>
      </c>
      <c r="B705" s="16">
        <v>42690</v>
      </c>
      <c r="C705" s="17">
        <v>0</v>
      </c>
      <c r="D705" s="17">
        <v>0</v>
      </c>
    </row>
    <row r="706" spans="1:4" x14ac:dyDescent="0.25">
      <c r="A706" s="15" t="s">
        <v>34</v>
      </c>
      <c r="B706" s="16">
        <v>42691</v>
      </c>
      <c r="C706" s="17">
        <v>2.0051000000000001</v>
      </c>
      <c r="D706" s="17">
        <v>0.82989999999999997</v>
      </c>
    </row>
    <row r="707" spans="1:4" x14ac:dyDescent="0.25">
      <c r="A707" s="15" t="s">
        <v>34</v>
      </c>
      <c r="B707" s="16">
        <v>42692</v>
      </c>
      <c r="C707" s="17">
        <v>0.3715</v>
      </c>
      <c r="D707" s="17">
        <v>-0.27589999999999998</v>
      </c>
    </row>
    <row r="708" spans="1:4" x14ac:dyDescent="0.25">
      <c r="A708" s="15" t="s">
        <v>34</v>
      </c>
      <c r="B708" s="16">
        <v>42695</v>
      </c>
      <c r="C708" s="17">
        <v>0</v>
      </c>
      <c r="D708" s="17">
        <v>0</v>
      </c>
    </row>
    <row r="709" spans="1:4" x14ac:dyDescent="0.25">
      <c r="A709" s="15" t="s">
        <v>34</v>
      </c>
      <c r="B709" s="16">
        <v>42696</v>
      </c>
      <c r="C709" s="17">
        <v>0.37009999999999998</v>
      </c>
      <c r="D709" s="17">
        <v>1.6438999999999999</v>
      </c>
    </row>
    <row r="710" spans="1:4" x14ac:dyDescent="0.25">
      <c r="A710" s="15" t="s">
        <v>34</v>
      </c>
      <c r="B710" s="16">
        <v>42697</v>
      </c>
      <c r="C710" s="17">
        <v>0.98040000000000005</v>
      </c>
      <c r="D710" s="17">
        <v>0.81189999999999996</v>
      </c>
    </row>
    <row r="711" spans="1:4" x14ac:dyDescent="0.25">
      <c r="A711" s="15" t="s">
        <v>34</v>
      </c>
      <c r="B711" s="16">
        <v>42698</v>
      </c>
      <c r="C711" s="17">
        <v>-1.1035999999999999</v>
      </c>
      <c r="D711" s="17">
        <v>-1.3569</v>
      </c>
    </row>
    <row r="712" spans="1:4" x14ac:dyDescent="0.25">
      <c r="A712" s="15" t="s">
        <v>34</v>
      </c>
      <c r="B712" s="16">
        <v>42699</v>
      </c>
      <c r="C712" s="17">
        <v>-0.74260000000000004</v>
      </c>
      <c r="D712" s="17">
        <v>-0.54790000000000005</v>
      </c>
    </row>
    <row r="713" spans="1:4" x14ac:dyDescent="0.25">
      <c r="A713" s="15" t="s">
        <v>34</v>
      </c>
      <c r="B713" s="16">
        <v>42702</v>
      </c>
      <c r="C713" s="17">
        <v>0.9889</v>
      </c>
      <c r="D713" s="17">
        <v>1.0929</v>
      </c>
    </row>
    <row r="714" spans="1:4" x14ac:dyDescent="0.25">
      <c r="A714" s="15" t="s">
        <v>34</v>
      </c>
      <c r="B714" s="16">
        <v>42703</v>
      </c>
      <c r="C714" s="17">
        <v>0.85729999999999995</v>
      </c>
      <c r="D714" s="17">
        <v>-1.0929</v>
      </c>
    </row>
    <row r="715" spans="1:4" x14ac:dyDescent="0.25">
      <c r="A715" s="15" t="s">
        <v>34</v>
      </c>
      <c r="B715" s="16">
        <v>42704</v>
      </c>
      <c r="C715" s="17">
        <v>0</v>
      </c>
      <c r="D715" s="17">
        <v>0.54790000000000005</v>
      </c>
    </row>
    <row r="716" spans="1:4" x14ac:dyDescent="0.25">
      <c r="A716" s="15" t="s">
        <v>34</v>
      </c>
      <c r="B716" s="16">
        <v>42705</v>
      </c>
      <c r="C716" s="17">
        <v>0.48659999999999998</v>
      </c>
      <c r="D716" s="17">
        <v>0</v>
      </c>
    </row>
    <row r="717" spans="1:4" x14ac:dyDescent="0.25">
      <c r="A717" s="15" t="s">
        <v>34</v>
      </c>
      <c r="B717" s="16">
        <v>42706</v>
      </c>
      <c r="C717" s="17">
        <v>-0.85309999999999997</v>
      </c>
      <c r="D717" s="17">
        <v>-2.7703000000000002</v>
      </c>
    </row>
    <row r="718" spans="1:4" x14ac:dyDescent="0.25">
      <c r="A718" s="15" t="s">
        <v>34</v>
      </c>
      <c r="B718" s="16">
        <v>42709</v>
      </c>
      <c r="C718" s="17">
        <v>-0.49080000000000001</v>
      </c>
      <c r="D718" s="17">
        <v>0.56020000000000003</v>
      </c>
    </row>
    <row r="719" spans="1:4" x14ac:dyDescent="0.25">
      <c r="A719" s="15" t="s">
        <v>34</v>
      </c>
      <c r="B719" s="16">
        <v>42710</v>
      </c>
      <c r="C719" s="17">
        <v>1.2224999999999999</v>
      </c>
      <c r="D719" s="17">
        <v>1.6620999999999999</v>
      </c>
    </row>
    <row r="720" spans="1:4" x14ac:dyDescent="0.25">
      <c r="A720" s="15" t="s">
        <v>34</v>
      </c>
      <c r="B720" s="16">
        <v>42711</v>
      </c>
      <c r="C720" s="17">
        <v>0.96740000000000004</v>
      </c>
      <c r="D720" s="17">
        <v>-0.27510000000000001</v>
      </c>
    </row>
    <row r="721" spans="1:4" x14ac:dyDescent="0.25">
      <c r="A721" s="15" t="s">
        <v>34</v>
      </c>
      <c r="B721" s="16">
        <v>42712</v>
      </c>
      <c r="C721" s="17">
        <v>2.0251000000000001</v>
      </c>
      <c r="D721" s="17">
        <v>2.1798999999999999</v>
      </c>
    </row>
    <row r="722" spans="1:4" x14ac:dyDescent="0.25">
      <c r="A722" s="15" t="s">
        <v>34</v>
      </c>
      <c r="B722" s="16">
        <v>42713</v>
      </c>
      <c r="C722" s="17">
        <v>0.2356</v>
      </c>
      <c r="D722" s="17">
        <v>0.26919999999999999</v>
      </c>
    </row>
    <row r="723" spans="1:4" x14ac:dyDescent="0.25">
      <c r="A723" s="15" t="s">
        <v>34</v>
      </c>
      <c r="B723" s="16">
        <v>42716</v>
      </c>
      <c r="C723" s="17">
        <v>-1.9003000000000001</v>
      </c>
      <c r="D723" s="17">
        <v>-0.53910000000000002</v>
      </c>
    </row>
    <row r="724" spans="1:4" x14ac:dyDescent="0.25">
      <c r="A724" s="15" t="s">
        <v>34</v>
      </c>
      <c r="B724" s="16">
        <v>42717</v>
      </c>
      <c r="C724" s="17">
        <v>1.1919</v>
      </c>
      <c r="D724" s="17">
        <v>0.53910000000000002</v>
      </c>
    </row>
    <row r="725" spans="1:4" x14ac:dyDescent="0.25">
      <c r="A725" s="15" t="s">
        <v>34</v>
      </c>
      <c r="B725" s="16">
        <v>42718</v>
      </c>
      <c r="C725" s="17">
        <v>-0.83279999999999998</v>
      </c>
      <c r="D725" s="17">
        <v>0.80320000000000003</v>
      </c>
    </row>
    <row r="726" spans="1:4" x14ac:dyDescent="0.25">
      <c r="A726" s="15" t="s">
        <v>34</v>
      </c>
      <c r="B726" s="16">
        <v>42719</v>
      </c>
      <c r="C726" s="17">
        <v>0.59560000000000002</v>
      </c>
      <c r="D726" s="17">
        <v>-0.26700000000000002</v>
      </c>
    </row>
    <row r="727" spans="1:4" x14ac:dyDescent="0.25">
      <c r="A727" s="15" t="s">
        <v>34</v>
      </c>
      <c r="B727" s="16">
        <v>42720</v>
      </c>
      <c r="C727" s="17">
        <v>-0.71509999999999996</v>
      </c>
      <c r="D727" s="17">
        <v>-1.0752999999999999</v>
      </c>
    </row>
    <row r="728" spans="1:4" x14ac:dyDescent="0.25">
      <c r="A728" s="15" t="s">
        <v>34</v>
      </c>
      <c r="B728" s="16">
        <v>42723</v>
      </c>
      <c r="C728" s="17">
        <v>-0.96150000000000002</v>
      </c>
      <c r="D728" s="17">
        <v>-1.3606</v>
      </c>
    </row>
    <row r="729" spans="1:4" x14ac:dyDescent="0.25">
      <c r="A729" s="15" t="s">
        <v>34</v>
      </c>
      <c r="B729" s="16">
        <v>42724</v>
      </c>
      <c r="C729" s="17">
        <v>1.0810999999999999</v>
      </c>
      <c r="D729" s="17">
        <v>0</v>
      </c>
    </row>
    <row r="730" spans="1:4" x14ac:dyDescent="0.25">
      <c r="A730" s="15" t="s">
        <v>34</v>
      </c>
      <c r="B730" s="16">
        <v>42725</v>
      </c>
      <c r="C730" s="17">
        <v>-0.47899999999999998</v>
      </c>
      <c r="D730" s="17">
        <v>-1.3793</v>
      </c>
    </row>
    <row r="731" spans="1:4" x14ac:dyDescent="0.25">
      <c r="A731" s="15" t="s">
        <v>34</v>
      </c>
      <c r="B731" s="16">
        <v>42726</v>
      </c>
      <c r="C731" s="17">
        <v>-0.60199999999999998</v>
      </c>
      <c r="D731" s="17">
        <v>-0.55710000000000004</v>
      </c>
    </row>
    <row r="732" spans="1:4" x14ac:dyDescent="0.25">
      <c r="A732" s="15" t="s">
        <v>34</v>
      </c>
      <c r="B732" s="16">
        <v>42727</v>
      </c>
      <c r="C732" s="17">
        <v>-0.1208</v>
      </c>
      <c r="D732" s="17">
        <v>-0.2797</v>
      </c>
    </row>
    <row r="733" spans="1:4" x14ac:dyDescent="0.25">
      <c r="A733" s="15" t="s">
        <v>34</v>
      </c>
      <c r="B733" s="16">
        <v>42730</v>
      </c>
      <c r="C733" s="17">
        <v>0.72289999999999999</v>
      </c>
      <c r="D733" s="17">
        <v>0.55869999999999997</v>
      </c>
    </row>
    <row r="734" spans="1:4" x14ac:dyDescent="0.25">
      <c r="A734" s="15" t="s">
        <v>34</v>
      </c>
      <c r="B734" s="16">
        <v>42731</v>
      </c>
      <c r="C734" s="17">
        <v>0.23980000000000001</v>
      </c>
      <c r="D734" s="17">
        <v>0.2782</v>
      </c>
    </row>
    <row r="735" spans="1:4" x14ac:dyDescent="0.25">
      <c r="A735" s="15" t="s">
        <v>34</v>
      </c>
      <c r="B735" s="16">
        <v>42732</v>
      </c>
      <c r="C735" s="17">
        <v>0.59699999999999998</v>
      </c>
      <c r="D735" s="17">
        <v>1.105</v>
      </c>
    </row>
    <row r="736" spans="1:4" x14ac:dyDescent="0.25">
      <c r="A736" s="15" t="s">
        <v>34</v>
      </c>
      <c r="B736" s="16">
        <v>42733</v>
      </c>
      <c r="C736" s="17">
        <v>-0.4773</v>
      </c>
      <c r="D736" s="17">
        <v>-1.105</v>
      </c>
    </row>
    <row r="737" spans="1:4" ht="17.25" thickBot="1" x14ac:dyDescent="0.3">
      <c r="A737" s="7" t="s">
        <v>34</v>
      </c>
      <c r="B737" s="8">
        <v>42734</v>
      </c>
      <c r="C737" s="9">
        <v>0.71509999999999996</v>
      </c>
      <c r="D737" s="9">
        <v>0.82989999999999997</v>
      </c>
    </row>
  </sheetData>
  <mergeCells count="2">
    <mergeCell ref="G5:H5"/>
    <mergeCell ref="F8:H8"/>
  </mergeCells>
  <phoneticPr fontId="1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A1:K3137"/>
  <sheetViews>
    <sheetView workbookViewId="0">
      <selection activeCell="D23" sqref="D23"/>
    </sheetView>
  </sheetViews>
  <sheetFormatPr defaultRowHeight="16.5" x14ac:dyDescent="0.25"/>
  <cols>
    <col min="1" max="1" width="10.25" style="13" customWidth="1"/>
    <col min="2" max="2" width="10.5" style="13" bestFit="1" customWidth="1"/>
    <col min="3" max="3" width="12.25" style="13" bestFit="1" customWidth="1"/>
    <col min="4" max="4" width="16" style="13" bestFit="1" customWidth="1"/>
    <col min="5" max="5" width="9.25" style="11" bestFit="1" customWidth="1"/>
    <col min="6" max="6" width="10.125" style="11" customWidth="1"/>
    <col min="7" max="16384" width="9" style="13"/>
  </cols>
  <sheetData>
    <row r="1" spans="1:11" s="14" customFormat="1" x14ac:dyDescent="0.25">
      <c r="A1" s="18" t="s">
        <v>26</v>
      </c>
      <c r="B1" s="2" t="s">
        <v>1</v>
      </c>
      <c r="C1" s="18" t="s">
        <v>27</v>
      </c>
      <c r="D1" s="18" t="s">
        <v>28</v>
      </c>
      <c r="E1" s="12" t="s">
        <v>29</v>
      </c>
      <c r="F1" s="12" t="s">
        <v>31</v>
      </c>
      <c r="G1" s="14" t="s">
        <v>32</v>
      </c>
      <c r="J1" s="14" t="s">
        <v>33</v>
      </c>
      <c r="K1" s="19">
        <v>3.0000000000000001E-3</v>
      </c>
    </row>
    <row r="2" spans="1:11" x14ac:dyDescent="0.25">
      <c r="A2" s="15" t="s">
        <v>34</v>
      </c>
      <c r="B2" s="16">
        <v>40546</v>
      </c>
      <c r="C2" s="17">
        <v>0.14069999999999999</v>
      </c>
      <c r="D2" s="17">
        <v>0.5867</v>
      </c>
      <c r="E2" s="11">
        <f>D2-$K$1</f>
        <v>0.5837</v>
      </c>
      <c r="F2" s="11">
        <f>K$2+K$3*E2</f>
        <v>0.72420243517069693</v>
      </c>
      <c r="G2" s="11">
        <f>C2-F2</f>
        <v>-0.583502435170697</v>
      </c>
      <c r="J2" s="14" t="s">
        <v>35</v>
      </c>
      <c r="K2" s="13">
        <f>INTERCEPT(C2:C1569,E2:E1569)</f>
        <v>7.5601293573805087E-2</v>
      </c>
    </row>
    <row r="3" spans="1:11" x14ac:dyDescent="0.25">
      <c r="A3" s="15" t="s">
        <v>34</v>
      </c>
      <c r="B3" s="16">
        <v>40547</v>
      </c>
      <c r="C3" s="17">
        <v>0.14050000000000001</v>
      </c>
      <c r="D3" s="17">
        <v>-0.31190000000000001</v>
      </c>
      <c r="E3" s="11">
        <f t="shared" ref="E3:E66" si="0">D3-$K$1</f>
        <v>-0.31490000000000001</v>
      </c>
      <c r="F3" s="11">
        <f t="shared" ref="F3:F66" si="1">K$2+K$3*E3</f>
        <v>-0.27431218850407957</v>
      </c>
      <c r="G3" s="13">
        <f t="shared" ref="G3:G66" si="2">C3-F3</f>
        <v>0.41481218850407958</v>
      </c>
      <c r="J3" s="14" t="s">
        <v>36</v>
      </c>
      <c r="K3" s="13">
        <f>SLOPE(C2:C1569,E2:E1569)</f>
        <v>1.1111892095201163</v>
      </c>
    </row>
    <row r="4" spans="1:11" x14ac:dyDescent="0.25">
      <c r="A4" s="15" t="s">
        <v>34</v>
      </c>
      <c r="B4" s="16">
        <v>40548</v>
      </c>
      <c r="C4" s="17">
        <v>-1.9859</v>
      </c>
      <c r="D4" s="17">
        <v>-1.6912</v>
      </c>
      <c r="E4" s="11">
        <f>D4-$K$1</f>
        <v>-1.6941999999999999</v>
      </c>
      <c r="F4" s="11">
        <f t="shared" si="1"/>
        <v>-1.8069754651951759</v>
      </c>
      <c r="G4" s="13">
        <f t="shared" si="2"/>
        <v>-0.17892453480482406</v>
      </c>
    </row>
    <row r="5" spans="1:11" x14ac:dyDescent="0.25">
      <c r="A5" s="15" t="s">
        <v>34</v>
      </c>
      <c r="B5" s="16">
        <v>40549</v>
      </c>
      <c r="C5" s="17">
        <v>1.7045999999999999</v>
      </c>
      <c r="D5" s="17">
        <v>0.4163</v>
      </c>
      <c r="E5" s="11">
        <f t="shared" si="0"/>
        <v>0.4133</v>
      </c>
      <c r="F5" s="11">
        <f t="shared" si="1"/>
        <v>0.53485579386846915</v>
      </c>
      <c r="G5" s="13">
        <f t="shared" si="2"/>
        <v>1.1697442061315306</v>
      </c>
    </row>
    <row r="6" spans="1:11" x14ac:dyDescent="0.25">
      <c r="A6" s="15" t="s">
        <v>34</v>
      </c>
      <c r="B6" s="16">
        <v>40550</v>
      </c>
      <c r="C6" s="17">
        <v>2.0907</v>
      </c>
      <c r="D6" s="17">
        <v>-1.1376999999999999</v>
      </c>
      <c r="E6" s="11">
        <f t="shared" si="0"/>
        <v>-1.1406999999999998</v>
      </c>
      <c r="F6" s="11">
        <f t="shared" si="1"/>
        <v>-1.1919322377257915</v>
      </c>
      <c r="G6" s="13">
        <f t="shared" si="2"/>
        <v>3.2826322377257915</v>
      </c>
    </row>
    <row r="7" spans="1:11" x14ac:dyDescent="0.25">
      <c r="A7" s="15" t="s">
        <v>34</v>
      </c>
      <c r="B7" s="16">
        <v>40553</v>
      </c>
      <c r="C7" s="17">
        <v>2.3178000000000001</v>
      </c>
      <c r="D7" s="17">
        <v>0.39950000000000002</v>
      </c>
      <c r="E7" s="11">
        <f t="shared" si="0"/>
        <v>0.39650000000000002</v>
      </c>
      <c r="F7" s="11">
        <f t="shared" si="1"/>
        <v>0.51618781514853129</v>
      </c>
      <c r="G7" s="13">
        <f t="shared" si="2"/>
        <v>1.8016121848514688</v>
      </c>
    </row>
    <row r="8" spans="1:11" x14ac:dyDescent="0.25">
      <c r="A8" s="15" t="s">
        <v>34</v>
      </c>
      <c r="B8" s="16">
        <v>40554</v>
      </c>
      <c r="C8" s="17">
        <v>0.40350000000000003</v>
      </c>
      <c r="D8" s="17">
        <v>1.2786999999999999</v>
      </c>
      <c r="E8" s="11">
        <f t="shared" si="0"/>
        <v>1.2757000000000001</v>
      </c>
      <c r="F8" s="11">
        <f t="shared" si="1"/>
        <v>1.4931453681586175</v>
      </c>
      <c r="G8" s="13">
        <f t="shared" si="2"/>
        <v>-1.0896453681586176</v>
      </c>
    </row>
    <row r="9" spans="1:11" x14ac:dyDescent="0.25">
      <c r="A9" s="15" t="s">
        <v>34</v>
      </c>
      <c r="B9" s="16">
        <v>40555</v>
      </c>
      <c r="C9" s="17">
        <v>0.53549999999999998</v>
      </c>
      <c r="D9" s="17">
        <v>0.37590000000000001</v>
      </c>
      <c r="E9" s="11">
        <f t="shared" si="0"/>
        <v>0.37290000000000001</v>
      </c>
      <c r="F9" s="11">
        <f t="shared" si="1"/>
        <v>0.48996374980385649</v>
      </c>
      <c r="G9" s="13">
        <f t="shared" si="2"/>
        <v>4.5536250196143491E-2</v>
      </c>
    </row>
    <row r="10" spans="1:11" x14ac:dyDescent="0.25">
      <c r="A10" s="15" t="s">
        <v>34</v>
      </c>
      <c r="B10" s="16">
        <v>40556</v>
      </c>
      <c r="C10" s="17">
        <v>-0.40129999999999999</v>
      </c>
      <c r="D10" s="17">
        <v>0.1179</v>
      </c>
      <c r="E10" s="11">
        <f t="shared" si="0"/>
        <v>0.1149</v>
      </c>
      <c r="F10" s="11">
        <f t="shared" si="1"/>
        <v>0.20327693374766648</v>
      </c>
      <c r="G10" s="13">
        <f t="shared" si="2"/>
        <v>-0.60457693374766652</v>
      </c>
    </row>
    <row r="11" spans="1:11" x14ac:dyDescent="0.25">
      <c r="A11" s="15" t="s">
        <v>34</v>
      </c>
      <c r="B11" s="16">
        <v>40557</v>
      </c>
      <c r="C11" s="17">
        <v>0.26769999999999999</v>
      </c>
      <c r="D11" s="17">
        <v>-3.4200000000000001E-2</v>
      </c>
      <c r="E11" s="11">
        <f t="shared" si="0"/>
        <v>-3.7200000000000004E-2</v>
      </c>
      <c r="F11" s="11">
        <f t="shared" si="1"/>
        <v>3.4265054979656755E-2</v>
      </c>
      <c r="G11" s="13">
        <f t="shared" si="2"/>
        <v>0.23343494502034323</v>
      </c>
    </row>
    <row r="12" spans="1:11" x14ac:dyDescent="0.25">
      <c r="A12" s="15" t="s">
        <v>34</v>
      </c>
      <c r="B12" s="16">
        <v>40560</v>
      </c>
      <c r="C12" s="17">
        <v>1.3280000000000001</v>
      </c>
      <c r="D12" s="17">
        <v>-0.52990000000000004</v>
      </c>
      <c r="E12" s="11">
        <f t="shared" si="0"/>
        <v>-0.53290000000000004</v>
      </c>
      <c r="F12" s="11">
        <f t="shared" si="1"/>
        <v>-0.51655143617946497</v>
      </c>
      <c r="G12" s="13">
        <f t="shared" si="2"/>
        <v>1.844551436179465</v>
      </c>
    </row>
    <row r="13" spans="1:11" x14ac:dyDescent="0.25">
      <c r="A13" s="15" t="s">
        <v>34</v>
      </c>
      <c r="B13" s="16">
        <v>40561</v>
      </c>
      <c r="C13" s="17">
        <v>1.3106</v>
      </c>
      <c r="D13" s="17">
        <v>0.70240000000000002</v>
      </c>
      <c r="E13" s="11">
        <f t="shared" si="0"/>
        <v>0.69940000000000002</v>
      </c>
      <c r="F13" s="11">
        <f t="shared" si="1"/>
        <v>0.85276702671217453</v>
      </c>
      <c r="G13" s="13">
        <f t="shared" si="2"/>
        <v>0.45783297328782546</v>
      </c>
    </row>
    <row r="14" spans="1:11" x14ac:dyDescent="0.25">
      <c r="A14" s="15" t="s">
        <v>34</v>
      </c>
      <c r="B14" s="16">
        <v>40562</v>
      </c>
      <c r="C14" s="17">
        <v>1.5504</v>
      </c>
      <c r="D14" s="17">
        <v>1.0847</v>
      </c>
      <c r="E14" s="11">
        <f t="shared" si="0"/>
        <v>1.0817000000000001</v>
      </c>
      <c r="F14" s="11">
        <f>K$2+K$3*E14</f>
        <v>1.2775746615117149</v>
      </c>
      <c r="G14" s="13">
        <f t="shared" si="2"/>
        <v>0.27282533848828505</v>
      </c>
    </row>
    <row r="15" spans="1:11" x14ac:dyDescent="0.25">
      <c r="A15" s="15" t="s">
        <v>34</v>
      </c>
      <c r="B15" s="16">
        <v>40563</v>
      </c>
      <c r="C15" s="17">
        <v>-2.0726</v>
      </c>
      <c r="D15" s="17">
        <v>-0.70520000000000005</v>
      </c>
      <c r="E15" s="11">
        <f t="shared" si="0"/>
        <v>-0.70820000000000005</v>
      </c>
      <c r="F15" s="11">
        <f t="shared" si="1"/>
        <v>-0.71134290460834138</v>
      </c>
      <c r="G15" s="13">
        <f t="shared" si="2"/>
        <v>-1.3612570953916587</v>
      </c>
    </row>
    <row r="16" spans="1:11" x14ac:dyDescent="0.25">
      <c r="A16" s="15" t="s">
        <v>34</v>
      </c>
      <c r="B16" s="16">
        <v>40564</v>
      </c>
      <c r="C16" s="17">
        <v>-2.3841999999999999</v>
      </c>
      <c r="D16" s="17">
        <v>-0.75419999999999998</v>
      </c>
      <c r="E16" s="11">
        <f t="shared" si="0"/>
        <v>-0.75719999999999998</v>
      </c>
      <c r="F16" s="11">
        <f t="shared" si="1"/>
        <v>-0.76579117587482703</v>
      </c>
      <c r="G16" s="13">
        <f t="shared" si="2"/>
        <v>-1.6184088241251728</v>
      </c>
    </row>
    <row r="17" spans="1:7" x14ac:dyDescent="0.25">
      <c r="A17" s="15" t="s">
        <v>34</v>
      </c>
      <c r="B17" s="16">
        <v>40567</v>
      </c>
      <c r="C17" s="17">
        <v>0.93400000000000005</v>
      </c>
      <c r="D17" s="17">
        <v>-7.3599999999999999E-2</v>
      </c>
      <c r="E17" s="11">
        <f t="shared" si="0"/>
        <v>-7.6600000000000001E-2</v>
      </c>
      <c r="F17" s="11">
        <f t="shared" si="1"/>
        <v>-9.5157998754358264E-3</v>
      </c>
      <c r="G17" s="13">
        <f t="shared" si="2"/>
        <v>0.94351579987543588</v>
      </c>
    </row>
    <row r="18" spans="1:7" x14ac:dyDescent="0.25">
      <c r="A18" s="15" t="s">
        <v>34</v>
      </c>
      <c r="B18" s="16">
        <v>40568</v>
      </c>
      <c r="C18" s="17">
        <v>-0.3992</v>
      </c>
      <c r="D18" s="17">
        <v>0.48609999999999998</v>
      </c>
      <c r="E18" s="11">
        <f t="shared" si="0"/>
        <v>0.48309999999999997</v>
      </c>
      <c r="F18" s="11">
        <f t="shared" si="1"/>
        <v>0.61241680069297322</v>
      </c>
      <c r="G18" s="13">
        <f t="shared" si="2"/>
        <v>-1.0116168006929733</v>
      </c>
    </row>
    <row r="19" spans="1:7" x14ac:dyDescent="0.25">
      <c r="A19" s="15" t="s">
        <v>34</v>
      </c>
      <c r="B19" s="16">
        <v>40569</v>
      </c>
      <c r="C19" s="17">
        <v>-0.53480000000000005</v>
      </c>
      <c r="D19" s="17">
        <v>0.71150000000000002</v>
      </c>
      <c r="E19" s="11">
        <f t="shared" si="0"/>
        <v>0.70850000000000002</v>
      </c>
      <c r="F19" s="11">
        <f t="shared" si="1"/>
        <v>0.86287884851880747</v>
      </c>
      <c r="G19" s="13">
        <f t="shared" si="2"/>
        <v>-1.3976788485188076</v>
      </c>
    </row>
    <row r="20" spans="1:7" x14ac:dyDescent="0.25">
      <c r="A20" s="15" t="s">
        <v>34</v>
      </c>
      <c r="B20" s="16">
        <v>40570</v>
      </c>
      <c r="C20" s="17">
        <v>0.80110000000000003</v>
      </c>
      <c r="D20" s="17">
        <v>0.51480000000000004</v>
      </c>
      <c r="E20" s="11">
        <f t="shared" si="0"/>
        <v>0.51180000000000003</v>
      </c>
      <c r="F20" s="11">
        <f t="shared" si="1"/>
        <v>0.64430793100620065</v>
      </c>
      <c r="G20" s="13">
        <f t="shared" si="2"/>
        <v>0.15679206899379938</v>
      </c>
    </row>
    <row r="21" spans="1:7" x14ac:dyDescent="0.25">
      <c r="A21" s="15" t="s">
        <v>34</v>
      </c>
      <c r="B21" s="16">
        <v>40571</v>
      </c>
      <c r="C21" s="17">
        <v>1.4521999999999999</v>
      </c>
      <c r="D21" s="17">
        <v>0.47149999999999997</v>
      </c>
      <c r="E21" s="11">
        <f t="shared" si="0"/>
        <v>0.46849999999999997</v>
      </c>
      <c r="F21" s="11">
        <f t="shared" si="1"/>
        <v>0.59619343823397952</v>
      </c>
      <c r="G21" s="13">
        <f t="shared" si="2"/>
        <v>0.85600656176602041</v>
      </c>
    </row>
    <row r="22" spans="1:7" x14ac:dyDescent="0.25">
      <c r="A22" s="15" t="s">
        <v>34</v>
      </c>
      <c r="B22" s="16">
        <v>40582</v>
      </c>
      <c r="C22" s="17">
        <v>-1.054</v>
      </c>
      <c r="D22" s="17">
        <v>-0.37130000000000002</v>
      </c>
      <c r="E22" s="11">
        <f t="shared" si="0"/>
        <v>-0.37430000000000002</v>
      </c>
      <c r="F22" s="11">
        <f t="shared" si="1"/>
        <v>-0.34031682754957449</v>
      </c>
      <c r="G22" s="13">
        <f t="shared" si="2"/>
        <v>-0.71368317245042556</v>
      </c>
    </row>
    <row r="23" spans="1:7" x14ac:dyDescent="0.25">
      <c r="A23" s="15" t="s">
        <v>34</v>
      </c>
      <c r="B23" s="16">
        <v>40583</v>
      </c>
      <c r="C23" s="17">
        <v>-2.2774000000000001</v>
      </c>
      <c r="D23" s="17">
        <v>-1.1551</v>
      </c>
      <c r="E23" s="11">
        <f t="shared" si="0"/>
        <v>-1.1580999999999999</v>
      </c>
      <c r="F23" s="11">
        <f t="shared" si="1"/>
        <v>-1.2112669299714416</v>
      </c>
      <c r="G23" s="13">
        <f t="shared" si="2"/>
        <v>-1.0661330700285585</v>
      </c>
    </row>
    <row r="24" spans="1:7" x14ac:dyDescent="0.25">
      <c r="A24" s="15" t="s">
        <v>34</v>
      </c>
      <c r="B24" s="16">
        <v>40584</v>
      </c>
      <c r="C24" s="17">
        <v>-2.4693000000000001</v>
      </c>
      <c r="D24" s="17">
        <v>-1.9084000000000001</v>
      </c>
      <c r="E24" s="11">
        <f t="shared" si="0"/>
        <v>-1.9114</v>
      </c>
      <c r="F24" s="11">
        <f t="shared" si="1"/>
        <v>-2.0483257615029453</v>
      </c>
      <c r="G24" s="13">
        <f t="shared" si="2"/>
        <v>-0.42097423849705473</v>
      </c>
    </row>
    <row r="25" spans="1:7" x14ac:dyDescent="0.25">
      <c r="A25" s="15" t="s">
        <v>34</v>
      </c>
      <c r="B25" s="16">
        <v>40585</v>
      </c>
      <c r="C25" s="17">
        <v>-0.83679999999999999</v>
      </c>
      <c r="D25" s="17">
        <v>-2.5990000000000002</v>
      </c>
      <c r="E25" s="11">
        <f t="shared" si="0"/>
        <v>-2.6020000000000003</v>
      </c>
      <c r="F25" s="11">
        <f t="shared" si="1"/>
        <v>-2.8157130295975379</v>
      </c>
      <c r="G25" s="13">
        <f t="shared" si="2"/>
        <v>1.9789130295975379</v>
      </c>
    </row>
    <row r="26" spans="1:7" x14ac:dyDescent="0.25">
      <c r="A26" s="15" t="s">
        <v>34</v>
      </c>
      <c r="B26" s="16">
        <v>40588</v>
      </c>
      <c r="C26" s="17">
        <v>1.5288999999999999</v>
      </c>
      <c r="D26" s="17">
        <v>0.87429999999999997</v>
      </c>
      <c r="E26" s="11">
        <f t="shared" si="0"/>
        <v>0.87129999999999996</v>
      </c>
      <c r="F26" s="11">
        <f t="shared" si="1"/>
        <v>1.0437804518286824</v>
      </c>
      <c r="G26" s="13">
        <f t="shared" si="2"/>
        <v>0.48511954817131753</v>
      </c>
    </row>
    <row r="27" spans="1:7" x14ac:dyDescent="0.25">
      <c r="A27" s="15" t="s">
        <v>34</v>
      </c>
      <c r="B27" s="16">
        <v>40589</v>
      </c>
      <c r="C27" s="17">
        <v>0</v>
      </c>
      <c r="D27" s="17">
        <v>0.41889999999999999</v>
      </c>
      <c r="E27" s="11">
        <f t="shared" si="0"/>
        <v>0.41589999999999999</v>
      </c>
      <c r="F27" s="11">
        <f t="shared" si="1"/>
        <v>0.53774488581322144</v>
      </c>
      <c r="G27" s="13">
        <f t="shared" si="2"/>
        <v>-0.53774488581322144</v>
      </c>
    </row>
    <row r="28" spans="1:7" x14ac:dyDescent="0.25">
      <c r="A28" s="15" t="s">
        <v>34</v>
      </c>
      <c r="B28" s="16">
        <v>40590</v>
      </c>
      <c r="C28" s="17">
        <v>-0.55330000000000001</v>
      </c>
      <c r="D28" s="17">
        <v>-0.10290000000000001</v>
      </c>
      <c r="E28" s="11">
        <f t="shared" si="0"/>
        <v>-0.10590000000000001</v>
      </c>
      <c r="F28" s="11">
        <f t="shared" si="1"/>
        <v>-4.2073643714375247E-2</v>
      </c>
      <c r="G28" s="13">
        <f t="shared" si="2"/>
        <v>-0.51122635628562474</v>
      </c>
    </row>
    <row r="29" spans="1:7" x14ac:dyDescent="0.25">
      <c r="A29" s="15" t="s">
        <v>34</v>
      </c>
      <c r="B29" s="16">
        <v>40591</v>
      </c>
      <c r="C29" s="17">
        <v>0.55330000000000001</v>
      </c>
      <c r="D29" s="17">
        <v>-0.33429999999999999</v>
      </c>
      <c r="E29" s="11">
        <f t="shared" si="0"/>
        <v>-0.33729999999999999</v>
      </c>
      <c r="F29" s="11">
        <f t="shared" si="1"/>
        <v>-0.29920282679733018</v>
      </c>
      <c r="G29" s="13">
        <f t="shared" si="2"/>
        <v>0.85250282679733025</v>
      </c>
    </row>
    <row r="30" spans="1:7" x14ac:dyDescent="0.25">
      <c r="A30" s="15" t="s">
        <v>34</v>
      </c>
      <c r="B30" s="16">
        <v>40592</v>
      </c>
      <c r="C30" s="17">
        <v>0.68730000000000002</v>
      </c>
      <c r="D30" s="17">
        <v>1.8252999999999999</v>
      </c>
      <c r="E30" s="11">
        <f t="shared" si="0"/>
        <v>1.8223</v>
      </c>
      <c r="F30" s="11">
        <f t="shared" si="1"/>
        <v>2.1005213900823132</v>
      </c>
      <c r="G30" s="13">
        <f t="shared" si="2"/>
        <v>-1.4132213900823132</v>
      </c>
    </row>
    <row r="31" spans="1:7" x14ac:dyDescent="0.25">
      <c r="A31" s="15" t="s">
        <v>34</v>
      </c>
      <c r="B31" s="16">
        <v>40595</v>
      </c>
      <c r="C31" s="17">
        <v>0.5464</v>
      </c>
      <c r="D31" s="17">
        <v>-5.2299999999999999E-2</v>
      </c>
      <c r="E31" s="11">
        <f t="shared" si="0"/>
        <v>-5.5300000000000002E-2</v>
      </c>
      <c r="F31" s="11">
        <f t="shared" si="1"/>
        <v>1.4152530287342653E-2</v>
      </c>
      <c r="G31" s="13">
        <f t="shared" si="2"/>
        <v>0.53224746971265735</v>
      </c>
    </row>
    <row r="32" spans="1:7" x14ac:dyDescent="0.25">
      <c r="A32" s="15" t="s">
        <v>34</v>
      </c>
      <c r="B32" s="16">
        <v>40596</v>
      </c>
      <c r="C32" s="17">
        <v>-1.2337</v>
      </c>
      <c r="D32" s="17">
        <v>-1.8907</v>
      </c>
      <c r="E32" s="11">
        <f t="shared" si="0"/>
        <v>-1.8936999999999999</v>
      </c>
      <c r="F32" s="11">
        <f t="shared" si="1"/>
        <v>-2.0286577124944394</v>
      </c>
      <c r="G32" s="13">
        <f t="shared" si="2"/>
        <v>0.79495771249443936</v>
      </c>
    </row>
    <row r="33" spans="1:7" x14ac:dyDescent="0.25">
      <c r="A33" s="15" t="s">
        <v>34</v>
      </c>
      <c r="B33" s="16">
        <v>40597</v>
      </c>
      <c r="C33" s="17">
        <v>-2.0907</v>
      </c>
      <c r="D33" s="17">
        <v>-1.6827000000000001</v>
      </c>
      <c r="E33" s="11">
        <f t="shared" si="0"/>
        <v>-1.6857</v>
      </c>
      <c r="F33" s="11">
        <f t="shared" si="1"/>
        <v>-1.7975303569142551</v>
      </c>
      <c r="G33" s="13">
        <f t="shared" si="2"/>
        <v>-0.29316964308574489</v>
      </c>
    </row>
    <row r="34" spans="1:7" x14ac:dyDescent="0.25">
      <c r="A34" s="15" t="s">
        <v>34</v>
      </c>
      <c r="B34" s="16">
        <v>40598</v>
      </c>
      <c r="C34" s="17">
        <v>-0.70669999999999999</v>
      </c>
      <c r="D34" s="17">
        <v>0.14879999999999999</v>
      </c>
      <c r="E34" s="11">
        <f t="shared" si="0"/>
        <v>0.14579999999999999</v>
      </c>
      <c r="F34" s="11">
        <f t="shared" si="1"/>
        <v>0.23761268032183802</v>
      </c>
      <c r="G34" s="13">
        <f t="shared" si="2"/>
        <v>-0.94431268032183802</v>
      </c>
    </row>
    <row r="35" spans="1:7" x14ac:dyDescent="0.25">
      <c r="A35" s="15" t="s">
        <v>34</v>
      </c>
      <c r="B35" s="16">
        <v>40599</v>
      </c>
      <c r="C35" s="17">
        <v>0</v>
      </c>
      <c r="D35" s="17">
        <v>0.67679999999999996</v>
      </c>
      <c r="E35" s="11">
        <f t="shared" si="0"/>
        <v>0.67379999999999995</v>
      </c>
      <c r="F35" s="11">
        <f t="shared" si="1"/>
        <v>0.82432058294845945</v>
      </c>
      <c r="G35" s="13">
        <f t="shared" si="2"/>
        <v>-0.82432058294845945</v>
      </c>
    </row>
    <row r="36" spans="1:7" x14ac:dyDescent="0.25">
      <c r="A36" s="15" t="s">
        <v>34</v>
      </c>
      <c r="B36" s="16">
        <v>40603</v>
      </c>
      <c r="C36" s="17">
        <v>1.2685</v>
      </c>
      <c r="D36" s="17">
        <v>1.4763999999999999</v>
      </c>
      <c r="E36" s="11">
        <f t="shared" si="0"/>
        <v>1.4734</v>
      </c>
      <c r="F36" s="11">
        <f t="shared" si="1"/>
        <v>1.7128274748807446</v>
      </c>
      <c r="G36" s="13">
        <f t="shared" si="2"/>
        <v>-0.44432747488074464</v>
      </c>
    </row>
    <row r="37" spans="1:7" x14ac:dyDescent="0.25">
      <c r="A37" s="15" t="s">
        <v>34</v>
      </c>
      <c r="B37" s="16">
        <v>40604</v>
      </c>
      <c r="C37" s="17">
        <v>-1.4105000000000001</v>
      </c>
      <c r="D37" s="17">
        <v>-1.2412000000000001</v>
      </c>
      <c r="E37" s="11">
        <f t="shared" si="0"/>
        <v>-1.2442</v>
      </c>
      <c r="F37" s="11">
        <f t="shared" si="1"/>
        <v>-1.3069403209111237</v>
      </c>
      <c r="G37" s="13">
        <f t="shared" si="2"/>
        <v>-0.10355967908887642</v>
      </c>
    </row>
    <row r="38" spans="1:7" x14ac:dyDescent="0.25">
      <c r="A38" s="15" t="s">
        <v>34</v>
      </c>
      <c r="B38" s="16">
        <v>40605</v>
      </c>
      <c r="C38" s="17">
        <v>0.56659999999999999</v>
      </c>
      <c r="D38" s="17">
        <v>1.365</v>
      </c>
      <c r="E38" s="11">
        <f t="shared" si="0"/>
        <v>1.3620000000000001</v>
      </c>
      <c r="F38" s="11">
        <f t="shared" si="1"/>
        <v>1.5890409969402037</v>
      </c>
      <c r="G38" s="13">
        <f t="shared" si="2"/>
        <v>-1.0224409969402037</v>
      </c>
    </row>
    <row r="39" spans="1:7" x14ac:dyDescent="0.25">
      <c r="A39" s="15" t="s">
        <v>34</v>
      </c>
      <c r="B39" s="16">
        <v>40606</v>
      </c>
      <c r="C39" s="17">
        <v>1.4025000000000001</v>
      </c>
      <c r="D39" s="17">
        <v>0.52539999999999998</v>
      </c>
      <c r="E39" s="11">
        <f t="shared" si="0"/>
        <v>0.52239999999999998</v>
      </c>
      <c r="F39" s="11">
        <f t="shared" si="1"/>
        <v>0.6560865366271138</v>
      </c>
      <c r="G39" s="13">
        <f t="shared" si="2"/>
        <v>0.74641346337288628</v>
      </c>
    </row>
    <row r="40" spans="1:7" x14ac:dyDescent="0.25">
      <c r="A40" s="15" t="s">
        <v>34</v>
      </c>
      <c r="B40" s="16">
        <v>40609</v>
      </c>
      <c r="C40" s="17">
        <v>-1.2614000000000001</v>
      </c>
      <c r="D40" s="17">
        <v>-0.80710000000000004</v>
      </c>
      <c r="E40" s="11">
        <f t="shared" si="0"/>
        <v>-0.81010000000000004</v>
      </c>
      <c r="F40" s="11">
        <f t="shared" si="1"/>
        <v>-0.82457308505844118</v>
      </c>
      <c r="G40" s="13">
        <f t="shared" si="2"/>
        <v>-0.4368269149415589</v>
      </c>
    </row>
    <row r="41" spans="1:7" x14ac:dyDescent="0.25">
      <c r="A41" s="15" t="s">
        <v>34</v>
      </c>
      <c r="B41" s="16">
        <v>40610</v>
      </c>
      <c r="C41" s="17">
        <v>0.8427</v>
      </c>
      <c r="D41" s="17">
        <v>0.38900000000000001</v>
      </c>
      <c r="E41" s="11">
        <f t="shared" si="0"/>
        <v>0.38600000000000001</v>
      </c>
      <c r="F41" s="11">
        <f t="shared" si="1"/>
        <v>0.50452032844856998</v>
      </c>
      <c r="G41" s="13">
        <f t="shared" si="2"/>
        <v>0.33817967155143003</v>
      </c>
    </row>
    <row r="42" spans="1:7" x14ac:dyDescent="0.25">
      <c r="A42" s="15" t="s">
        <v>34</v>
      </c>
      <c r="B42" s="16">
        <v>40611</v>
      </c>
      <c r="C42" s="17">
        <v>-0.14000000000000001</v>
      </c>
      <c r="D42" s="17">
        <v>2.5899999999999999E-2</v>
      </c>
      <c r="E42" s="11">
        <f t="shared" si="0"/>
        <v>2.29E-2</v>
      </c>
      <c r="F42" s="11">
        <f t="shared" si="1"/>
        <v>0.10104752647181575</v>
      </c>
      <c r="G42" s="13">
        <f t="shared" si="2"/>
        <v>-0.24104752647181577</v>
      </c>
    </row>
    <row r="43" spans="1:7" x14ac:dyDescent="0.25">
      <c r="A43" s="15" t="s">
        <v>34</v>
      </c>
      <c r="B43" s="16">
        <v>40612</v>
      </c>
      <c r="C43" s="17">
        <v>-1.2685</v>
      </c>
      <c r="D43" s="17">
        <v>-1.2318</v>
      </c>
      <c r="E43" s="11">
        <f t="shared" si="0"/>
        <v>-1.2347999999999999</v>
      </c>
      <c r="F43" s="11">
        <f t="shared" si="1"/>
        <v>-1.2964951423416344</v>
      </c>
      <c r="G43" s="13">
        <f t="shared" si="2"/>
        <v>2.7995142341634471E-2</v>
      </c>
    </row>
    <row r="44" spans="1:7" x14ac:dyDescent="0.25">
      <c r="A44" s="15" t="s">
        <v>34</v>
      </c>
      <c r="B44" s="16">
        <v>40613</v>
      </c>
      <c r="C44" s="17">
        <v>-0.7117</v>
      </c>
      <c r="D44" s="17">
        <v>-0.87250000000000005</v>
      </c>
      <c r="E44" s="11">
        <f t="shared" si="0"/>
        <v>-0.87550000000000006</v>
      </c>
      <c r="F44" s="11">
        <f t="shared" si="1"/>
        <v>-0.8972448593610568</v>
      </c>
      <c r="G44" s="13">
        <f t="shared" si="2"/>
        <v>0.1855448593610568</v>
      </c>
    </row>
    <row r="45" spans="1:7" x14ac:dyDescent="0.25">
      <c r="A45" s="15" t="s">
        <v>34</v>
      </c>
      <c r="B45" s="16">
        <v>40616</v>
      </c>
      <c r="C45" s="17">
        <v>0.42770000000000002</v>
      </c>
      <c r="D45" s="17">
        <v>-0.5595</v>
      </c>
      <c r="E45" s="11">
        <f t="shared" si="0"/>
        <v>-0.5625</v>
      </c>
      <c r="F45" s="11">
        <f t="shared" si="1"/>
        <v>-0.54944263678126037</v>
      </c>
      <c r="G45" s="13">
        <f t="shared" si="2"/>
        <v>0.97714263678126034</v>
      </c>
    </row>
    <row r="46" spans="1:7" x14ac:dyDescent="0.25">
      <c r="A46" s="15" t="s">
        <v>34</v>
      </c>
      <c r="B46" s="16">
        <v>40617</v>
      </c>
      <c r="C46" s="17">
        <v>-3.3264</v>
      </c>
      <c r="D46" s="17">
        <v>-3.4051999999999998</v>
      </c>
      <c r="E46" s="11">
        <f t="shared" si="0"/>
        <v>-3.4081999999999999</v>
      </c>
      <c r="F46" s="11">
        <f t="shared" si="1"/>
        <v>-3.7115537703126553</v>
      </c>
      <c r="G46" s="13">
        <f t="shared" si="2"/>
        <v>0.3851537703126553</v>
      </c>
    </row>
    <row r="47" spans="1:7" x14ac:dyDescent="0.25">
      <c r="A47" s="15" t="s">
        <v>34</v>
      </c>
      <c r="B47" s="16">
        <v>40618</v>
      </c>
      <c r="C47" s="17">
        <v>0.73260000000000003</v>
      </c>
      <c r="D47" s="17">
        <v>1.0846</v>
      </c>
      <c r="E47" s="11">
        <f t="shared" si="0"/>
        <v>1.0816000000000001</v>
      </c>
      <c r="F47" s="11">
        <f t="shared" si="1"/>
        <v>1.277463542590763</v>
      </c>
      <c r="G47" s="13">
        <f t="shared" si="2"/>
        <v>-0.54486354259076297</v>
      </c>
    </row>
    <row r="48" spans="1:7" x14ac:dyDescent="0.25">
      <c r="A48" s="15" t="s">
        <v>34</v>
      </c>
      <c r="B48" s="16">
        <v>40619</v>
      </c>
      <c r="C48" s="17">
        <v>-1.6189</v>
      </c>
      <c r="D48" s="17">
        <v>-0.50449999999999995</v>
      </c>
      <c r="E48" s="11">
        <f t="shared" si="0"/>
        <v>-0.50749999999999995</v>
      </c>
      <c r="F48" s="11">
        <f t="shared" si="1"/>
        <v>-0.4883272302576539</v>
      </c>
      <c r="G48" s="13">
        <f t="shared" si="2"/>
        <v>-1.1305727697423462</v>
      </c>
    </row>
    <row r="49" spans="1:7" x14ac:dyDescent="0.25">
      <c r="A49" s="15" t="s">
        <v>34</v>
      </c>
      <c r="B49" s="16">
        <v>40620</v>
      </c>
      <c r="C49" s="17">
        <v>1.3265</v>
      </c>
      <c r="D49" s="17">
        <v>1.3439000000000001</v>
      </c>
      <c r="E49" s="11">
        <f t="shared" si="0"/>
        <v>1.3409000000000002</v>
      </c>
      <c r="F49" s="11">
        <f t="shared" si="1"/>
        <v>1.5655949046193294</v>
      </c>
      <c r="G49" s="13">
        <f t="shared" si="2"/>
        <v>-0.23909490461932936</v>
      </c>
    </row>
    <row r="50" spans="1:7" x14ac:dyDescent="0.25">
      <c r="A50" s="15" t="s">
        <v>34</v>
      </c>
      <c r="B50" s="16">
        <v>40623</v>
      </c>
      <c r="C50" s="17">
        <v>1.0197000000000001</v>
      </c>
      <c r="D50" s="17">
        <v>0.86539999999999995</v>
      </c>
      <c r="E50" s="11">
        <f t="shared" si="0"/>
        <v>0.86239999999999994</v>
      </c>
      <c r="F50" s="11">
        <f t="shared" si="1"/>
        <v>1.0338908678639533</v>
      </c>
      <c r="G50" s="13">
        <f t="shared" si="2"/>
        <v>-1.4190867863953294E-2</v>
      </c>
    </row>
    <row r="51" spans="1:7" x14ac:dyDescent="0.25">
      <c r="A51" s="15" t="s">
        <v>34</v>
      </c>
      <c r="B51" s="16">
        <v>40624</v>
      </c>
      <c r="C51" s="17">
        <v>-0.58140000000000003</v>
      </c>
      <c r="D51" s="17">
        <v>0.47510000000000002</v>
      </c>
      <c r="E51" s="11">
        <f t="shared" si="0"/>
        <v>0.47210000000000002</v>
      </c>
      <c r="F51" s="11">
        <f t="shared" si="1"/>
        <v>0.60019371938825206</v>
      </c>
      <c r="G51" s="13">
        <f t="shared" si="2"/>
        <v>-1.181593719388252</v>
      </c>
    </row>
    <row r="52" spans="1:7" x14ac:dyDescent="0.25">
      <c r="A52" s="15" t="s">
        <v>34</v>
      </c>
      <c r="B52" s="16">
        <v>40625</v>
      </c>
      <c r="C52" s="17">
        <v>0.1457</v>
      </c>
      <c r="D52" s="17">
        <v>0.43440000000000001</v>
      </c>
      <c r="E52" s="11">
        <f t="shared" si="0"/>
        <v>0.43140000000000001</v>
      </c>
      <c r="F52" s="11">
        <f t="shared" si="1"/>
        <v>0.55496831856078332</v>
      </c>
      <c r="G52" s="13">
        <f t="shared" si="2"/>
        <v>-0.40926831856078333</v>
      </c>
    </row>
    <row r="53" spans="1:7" x14ac:dyDescent="0.25">
      <c r="A53" s="15" t="s">
        <v>34</v>
      </c>
      <c r="B53" s="16">
        <v>40626</v>
      </c>
      <c r="C53" s="17">
        <v>1.0138</v>
      </c>
      <c r="D53" s="17">
        <v>0.3659</v>
      </c>
      <c r="E53" s="11">
        <f t="shared" si="0"/>
        <v>0.3629</v>
      </c>
      <c r="F53" s="11">
        <f t="shared" si="1"/>
        <v>0.47885185770865529</v>
      </c>
      <c r="G53" s="13">
        <f t="shared" si="2"/>
        <v>0.53494814229134469</v>
      </c>
    </row>
    <row r="54" spans="1:7" x14ac:dyDescent="0.25">
      <c r="A54" s="15" t="s">
        <v>34</v>
      </c>
      <c r="B54" s="16">
        <v>40627</v>
      </c>
      <c r="C54" s="17">
        <v>2.5606</v>
      </c>
      <c r="D54" s="17">
        <v>0.39550000000000002</v>
      </c>
      <c r="E54" s="11">
        <f t="shared" si="0"/>
        <v>0.39250000000000002</v>
      </c>
      <c r="F54" s="11">
        <f t="shared" si="1"/>
        <v>0.51174305831045075</v>
      </c>
      <c r="G54" s="13">
        <f t="shared" si="2"/>
        <v>2.0488569416895492</v>
      </c>
    </row>
    <row r="55" spans="1:7" x14ac:dyDescent="0.25">
      <c r="A55" s="15" t="s">
        <v>34</v>
      </c>
      <c r="B55" s="16">
        <v>40630</v>
      </c>
      <c r="C55" s="17">
        <v>-0.28129999999999999</v>
      </c>
      <c r="D55" s="17">
        <v>-0.66800000000000004</v>
      </c>
      <c r="E55" s="11">
        <f t="shared" si="0"/>
        <v>-0.67100000000000004</v>
      </c>
      <c r="F55" s="11">
        <f t="shared" si="1"/>
        <v>-0.67000666601419301</v>
      </c>
      <c r="G55" s="13">
        <f t="shared" si="2"/>
        <v>0.38870666601419301</v>
      </c>
    </row>
    <row r="56" spans="1:7" x14ac:dyDescent="0.25">
      <c r="A56" s="15" t="s">
        <v>34</v>
      </c>
      <c r="B56" s="16">
        <v>40631</v>
      </c>
      <c r="C56" s="17">
        <v>-0.28210000000000002</v>
      </c>
      <c r="D56" s="17">
        <v>0.50739999999999996</v>
      </c>
      <c r="E56" s="11">
        <f t="shared" si="0"/>
        <v>0.50439999999999996</v>
      </c>
      <c r="F56" s="11">
        <f t="shared" si="1"/>
        <v>0.63608513085575169</v>
      </c>
      <c r="G56" s="13">
        <f t="shared" si="2"/>
        <v>-0.91818513085575171</v>
      </c>
    </row>
    <row r="57" spans="1:7" x14ac:dyDescent="0.25">
      <c r="A57" s="15" t="s">
        <v>34</v>
      </c>
      <c r="B57" s="16">
        <v>40632</v>
      </c>
      <c r="C57" s="17">
        <v>-0.7087</v>
      </c>
      <c r="D57" s="17">
        <v>0.57689999999999997</v>
      </c>
      <c r="E57" s="11">
        <f t="shared" si="0"/>
        <v>0.57389999999999997</v>
      </c>
      <c r="F57" s="11">
        <f t="shared" si="1"/>
        <v>0.7133127809173998</v>
      </c>
      <c r="G57" s="13">
        <f t="shared" si="2"/>
        <v>-1.4220127809173997</v>
      </c>
    </row>
    <row r="58" spans="1:7" x14ac:dyDescent="0.25">
      <c r="A58" s="15" t="s">
        <v>34</v>
      </c>
      <c r="B58" s="16">
        <v>40633</v>
      </c>
      <c r="C58" s="17">
        <v>0.42580000000000001</v>
      </c>
      <c r="D58" s="17">
        <v>0.4269</v>
      </c>
      <c r="E58" s="11">
        <f t="shared" si="0"/>
        <v>0.4239</v>
      </c>
      <c r="F58" s="11">
        <f t="shared" si="1"/>
        <v>0.54663439948938242</v>
      </c>
      <c r="G58" s="13">
        <f t="shared" si="2"/>
        <v>-0.1208343994893824</v>
      </c>
    </row>
    <row r="59" spans="1:7" x14ac:dyDescent="0.25">
      <c r="A59" s="15" t="s">
        <v>34</v>
      </c>
      <c r="B59" s="16">
        <v>40634</v>
      </c>
      <c r="C59" s="17">
        <v>0.14149999999999999</v>
      </c>
      <c r="D59" s="17">
        <v>0.25109999999999999</v>
      </c>
      <c r="E59" s="11">
        <f t="shared" si="0"/>
        <v>0.24809999999999999</v>
      </c>
      <c r="F59" s="11">
        <f t="shared" si="1"/>
        <v>0.35128733645574595</v>
      </c>
      <c r="G59" s="13">
        <f t="shared" si="2"/>
        <v>-0.20978733645574596</v>
      </c>
    </row>
    <row r="60" spans="1:7" x14ac:dyDescent="0.25">
      <c r="A60" s="15" t="s">
        <v>34</v>
      </c>
      <c r="B60" s="16">
        <v>40639</v>
      </c>
      <c r="C60" s="17">
        <v>3.0642999999999998</v>
      </c>
      <c r="D60" s="17">
        <v>1.6729000000000001</v>
      </c>
      <c r="E60" s="11">
        <f t="shared" si="0"/>
        <v>1.6699000000000002</v>
      </c>
      <c r="F60" s="11">
        <f t="shared" si="1"/>
        <v>1.9311761545514476</v>
      </c>
      <c r="G60" s="13">
        <f t="shared" si="2"/>
        <v>1.1331238454485522</v>
      </c>
    </row>
    <row r="61" spans="1:7" x14ac:dyDescent="0.25">
      <c r="A61" s="15" t="s">
        <v>34</v>
      </c>
      <c r="B61" s="16">
        <v>40640</v>
      </c>
      <c r="C61" s="17">
        <v>-0.13730000000000001</v>
      </c>
      <c r="D61" s="17">
        <v>0.56030000000000002</v>
      </c>
      <c r="E61" s="11">
        <f t="shared" si="0"/>
        <v>0.55730000000000002</v>
      </c>
      <c r="F61" s="11">
        <f t="shared" si="1"/>
        <v>0.69486704003936595</v>
      </c>
      <c r="G61" s="13">
        <f t="shared" si="2"/>
        <v>-0.83216704003936592</v>
      </c>
    </row>
    <row r="62" spans="1:7" x14ac:dyDescent="0.25">
      <c r="A62" s="15" t="s">
        <v>34</v>
      </c>
      <c r="B62" s="16">
        <v>40641</v>
      </c>
      <c r="C62" s="17">
        <v>0.13730000000000001</v>
      </c>
      <c r="D62" s="17">
        <v>-8.0699999999999994E-2</v>
      </c>
      <c r="E62" s="11">
        <f t="shared" si="0"/>
        <v>-8.3699999999999997E-2</v>
      </c>
      <c r="F62" s="11">
        <f t="shared" si="1"/>
        <v>-1.7405243263028641E-2</v>
      </c>
      <c r="G62" s="13">
        <f t="shared" si="2"/>
        <v>0.15470524326302865</v>
      </c>
    </row>
    <row r="63" spans="1:7" x14ac:dyDescent="0.25">
      <c r="A63" s="15" t="s">
        <v>34</v>
      </c>
      <c r="B63" s="16">
        <v>40644</v>
      </c>
      <c r="C63" s="17">
        <v>-2.5001000000000002</v>
      </c>
      <c r="D63" s="17">
        <v>-0.16059999999999999</v>
      </c>
      <c r="E63" s="11">
        <f t="shared" si="0"/>
        <v>-0.1636</v>
      </c>
      <c r="F63" s="11">
        <f t="shared" si="1"/>
        <v>-0.10618926110368594</v>
      </c>
      <c r="G63" s="13">
        <f t="shared" si="2"/>
        <v>-2.3939107388963143</v>
      </c>
    </row>
    <row r="64" spans="1:7" x14ac:dyDescent="0.25">
      <c r="A64" s="15" t="s">
        <v>34</v>
      </c>
      <c r="B64" s="16">
        <v>40645</v>
      </c>
      <c r="C64" s="17">
        <v>-1.4165000000000001</v>
      </c>
      <c r="D64" s="17">
        <v>-1.677</v>
      </c>
      <c r="E64" s="11">
        <f t="shared" si="0"/>
        <v>-1.68</v>
      </c>
      <c r="F64" s="11">
        <f t="shared" si="1"/>
        <v>-1.7911965784199904</v>
      </c>
      <c r="G64" s="13">
        <f t="shared" si="2"/>
        <v>0.37469657841999027</v>
      </c>
    </row>
    <row r="65" spans="1:7" x14ac:dyDescent="0.25">
      <c r="A65" s="15" t="s">
        <v>34</v>
      </c>
      <c r="B65" s="16">
        <v>40646</v>
      </c>
      <c r="C65" s="17">
        <v>0.85229999999999995</v>
      </c>
      <c r="D65" s="17">
        <v>0.54369999999999996</v>
      </c>
      <c r="E65" s="11">
        <f t="shared" si="0"/>
        <v>0.54069999999999996</v>
      </c>
      <c r="F65" s="11">
        <f t="shared" si="1"/>
        <v>0.67642129916133198</v>
      </c>
      <c r="G65" s="13">
        <f t="shared" si="2"/>
        <v>0.17587870083866797</v>
      </c>
    </row>
    <row r="66" spans="1:7" x14ac:dyDescent="0.25">
      <c r="A66" s="15" t="s">
        <v>34</v>
      </c>
      <c r="B66" s="16">
        <v>40647</v>
      </c>
      <c r="C66" s="17">
        <v>-1.2811999999999999</v>
      </c>
      <c r="D66" s="17">
        <v>0.25629999999999997</v>
      </c>
      <c r="E66" s="11">
        <f t="shared" si="0"/>
        <v>0.25329999999999997</v>
      </c>
      <c r="F66" s="11">
        <f t="shared" si="1"/>
        <v>0.35706552034525052</v>
      </c>
      <c r="G66" s="13">
        <f t="shared" si="2"/>
        <v>-1.6382655203452505</v>
      </c>
    </row>
    <row r="67" spans="1:7" x14ac:dyDescent="0.25">
      <c r="A67" s="15" t="s">
        <v>34</v>
      </c>
      <c r="B67" s="16">
        <v>40648</v>
      </c>
      <c r="C67" s="17">
        <v>-0.86329999999999996</v>
      </c>
      <c r="D67" s="17">
        <v>-0.96579999999999999</v>
      </c>
      <c r="E67" s="11">
        <f t="shared" ref="E67:E130" si="3">D67-$K$1</f>
        <v>-0.96879999999999999</v>
      </c>
      <c r="F67" s="11">
        <f t="shared" ref="F67:F130" si="4">K$2+K$3*E67</f>
        <v>-1.0009188126092836</v>
      </c>
      <c r="G67" s="13">
        <f t="shared" ref="G67:G130" si="5">C67-F67</f>
        <v>0.13761881260928366</v>
      </c>
    </row>
    <row r="68" spans="1:7" x14ac:dyDescent="0.25">
      <c r="A68" s="15" t="s">
        <v>34</v>
      </c>
      <c r="B68" s="16">
        <v>40651</v>
      </c>
      <c r="C68" s="17">
        <v>-0.28939999999999999</v>
      </c>
      <c r="D68" s="17">
        <v>-4.1799999999999997E-2</v>
      </c>
      <c r="E68" s="11">
        <f t="shared" si="3"/>
        <v>-4.48E-2</v>
      </c>
      <c r="F68" s="11">
        <f t="shared" si="4"/>
        <v>2.5820016987303872E-2</v>
      </c>
      <c r="G68" s="13">
        <f t="shared" si="5"/>
        <v>-0.31522001698730384</v>
      </c>
    </row>
    <row r="69" spans="1:7" x14ac:dyDescent="0.25">
      <c r="A69" s="15" t="s">
        <v>34</v>
      </c>
      <c r="B69" s="16">
        <v>40652</v>
      </c>
      <c r="C69" s="17">
        <v>-1.3129</v>
      </c>
      <c r="D69" s="17">
        <v>-0.87509999999999999</v>
      </c>
      <c r="E69" s="11">
        <f t="shared" si="3"/>
        <v>-0.87809999999999999</v>
      </c>
      <c r="F69" s="11">
        <f t="shared" si="4"/>
        <v>-0.90013395130580909</v>
      </c>
      <c r="G69" s="13">
        <f t="shared" si="5"/>
        <v>-0.41276604869419087</v>
      </c>
    </row>
    <row r="70" spans="1:7" x14ac:dyDescent="0.25">
      <c r="A70" s="15" t="s">
        <v>34</v>
      </c>
      <c r="B70" s="16">
        <v>40653</v>
      </c>
      <c r="C70" s="17">
        <v>2.4657</v>
      </c>
      <c r="D70" s="17">
        <v>2.0024999999999999</v>
      </c>
      <c r="E70" s="11">
        <f t="shared" si="3"/>
        <v>1.9995000000000001</v>
      </c>
      <c r="F70" s="11">
        <f t="shared" si="4"/>
        <v>2.2974241180092778</v>
      </c>
      <c r="G70" s="13">
        <f t="shared" si="5"/>
        <v>0.16827588199072219</v>
      </c>
    </row>
    <row r="71" spans="1:7" x14ac:dyDescent="0.25">
      <c r="A71" s="15" t="s">
        <v>34</v>
      </c>
      <c r="B71" s="16">
        <v>40654</v>
      </c>
      <c r="C71" s="17">
        <v>1.2811999999999999</v>
      </c>
      <c r="D71" s="17">
        <v>1.6248</v>
      </c>
      <c r="E71" s="11">
        <f t="shared" si="3"/>
        <v>1.6218000000000001</v>
      </c>
      <c r="F71" s="11">
        <f t="shared" si="4"/>
        <v>1.8777279535735298</v>
      </c>
      <c r="G71" s="13">
        <f t="shared" si="5"/>
        <v>-0.59652795357352995</v>
      </c>
    </row>
    <row r="72" spans="1:7" x14ac:dyDescent="0.25">
      <c r="A72" s="15" t="s">
        <v>34</v>
      </c>
      <c r="B72" s="16">
        <v>40655</v>
      </c>
      <c r="C72" s="17">
        <v>0.28249999999999997</v>
      </c>
      <c r="D72" s="17">
        <v>0.13139999999999999</v>
      </c>
      <c r="E72" s="11">
        <f t="shared" si="3"/>
        <v>0.12839999999999999</v>
      </c>
      <c r="F72" s="11">
        <f t="shared" si="4"/>
        <v>0.21827798807618803</v>
      </c>
      <c r="G72" s="13">
        <f t="shared" si="5"/>
        <v>6.4222011923811939E-2</v>
      </c>
    </row>
    <row r="73" spans="1:7" x14ac:dyDescent="0.25">
      <c r="A73" s="15" t="s">
        <v>34</v>
      </c>
      <c r="B73" s="16">
        <v>40658</v>
      </c>
      <c r="C73" s="17">
        <v>-0.84989999999999999</v>
      </c>
      <c r="D73" s="17">
        <v>-0.20849999999999999</v>
      </c>
      <c r="E73" s="11">
        <f t="shared" si="3"/>
        <v>-0.21149999999999999</v>
      </c>
      <c r="F73" s="11">
        <f t="shared" si="4"/>
        <v>-0.1594152242396995</v>
      </c>
      <c r="G73" s="13">
        <f t="shared" si="5"/>
        <v>-0.69048477576030054</v>
      </c>
    </row>
    <row r="74" spans="1:7" x14ac:dyDescent="0.25">
      <c r="A74" s="15" t="s">
        <v>34</v>
      </c>
      <c r="B74" s="16">
        <v>40659</v>
      </c>
      <c r="C74" s="17">
        <v>0</v>
      </c>
      <c r="D74" s="17">
        <v>-2.92E-2</v>
      </c>
      <c r="E74" s="11">
        <f t="shared" si="3"/>
        <v>-3.2199999999999999E-2</v>
      </c>
      <c r="F74" s="11">
        <f t="shared" si="4"/>
        <v>3.9821001027257344E-2</v>
      </c>
      <c r="G74" s="13">
        <f t="shared" si="5"/>
        <v>-3.9821001027257344E-2</v>
      </c>
    </row>
    <row r="75" spans="1:7" x14ac:dyDescent="0.25">
      <c r="A75" s="15" t="s">
        <v>34</v>
      </c>
      <c r="B75" s="16">
        <v>40660</v>
      </c>
      <c r="C75" s="17">
        <v>2.8052000000000001</v>
      </c>
      <c r="D75" s="17">
        <v>1.1235999999999999</v>
      </c>
      <c r="E75" s="11">
        <f t="shared" si="3"/>
        <v>1.1206</v>
      </c>
      <c r="F75" s="11">
        <f t="shared" si="4"/>
        <v>1.3207999217620474</v>
      </c>
      <c r="G75" s="13">
        <f t="shared" si="5"/>
        <v>1.4844000782379527</v>
      </c>
    </row>
    <row r="76" spans="1:7" x14ac:dyDescent="0.25">
      <c r="A76" s="15" t="s">
        <v>34</v>
      </c>
      <c r="B76" s="16">
        <v>40661</v>
      </c>
      <c r="C76" s="17">
        <v>0.96350000000000002</v>
      </c>
      <c r="D76" s="17">
        <v>-9.3799999999999994E-2</v>
      </c>
      <c r="E76" s="11">
        <f t="shared" si="3"/>
        <v>-9.6799999999999997E-2</v>
      </c>
      <c r="F76" s="11">
        <f t="shared" si="4"/>
        <v>-3.1961821907742174E-2</v>
      </c>
      <c r="G76" s="13">
        <f t="shared" si="5"/>
        <v>0.99546182190774224</v>
      </c>
    </row>
    <row r="77" spans="1:7" x14ac:dyDescent="0.25">
      <c r="A77" s="15" t="s">
        <v>34</v>
      </c>
      <c r="B77" s="16">
        <v>40662</v>
      </c>
      <c r="C77" s="17">
        <v>0.27360000000000001</v>
      </c>
      <c r="D77" s="17">
        <v>-0.36459999999999998</v>
      </c>
      <c r="E77" s="11">
        <f t="shared" si="3"/>
        <v>-0.36759999999999998</v>
      </c>
      <c r="F77" s="11">
        <f t="shared" si="4"/>
        <v>-0.33287185984578965</v>
      </c>
      <c r="G77" s="13">
        <f t="shared" si="5"/>
        <v>0.60647185984578966</v>
      </c>
    </row>
    <row r="78" spans="1:7" x14ac:dyDescent="0.25">
      <c r="A78" s="15" t="s">
        <v>34</v>
      </c>
      <c r="B78" s="16">
        <v>40666</v>
      </c>
      <c r="C78" s="17">
        <v>1.8945000000000001</v>
      </c>
      <c r="D78" s="17">
        <v>-0.68830000000000002</v>
      </c>
      <c r="E78" s="11">
        <f t="shared" si="3"/>
        <v>-0.69130000000000003</v>
      </c>
      <c r="F78" s="11">
        <f t="shared" si="4"/>
        <v>-0.69256380696745135</v>
      </c>
      <c r="G78" s="13">
        <f t="shared" si="5"/>
        <v>2.5870638069674516</v>
      </c>
    </row>
    <row r="79" spans="1:7" x14ac:dyDescent="0.25">
      <c r="A79" s="15" t="s">
        <v>34</v>
      </c>
      <c r="B79" s="16">
        <v>40667</v>
      </c>
      <c r="C79" s="17">
        <v>-1.0782</v>
      </c>
      <c r="D79" s="17">
        <v>1.4200000000000001E-2</v>
      </c>
      <c r="E79" s="11">
        <f t="shared" si="3"/>
        <v>1.1200000000000002E-2</v>
      </c>
      <c r="F79" s="11">
        <f t="shared" si="4"/>
        <v>8.8046612720430392E-2</v>
      </c>
      <c r="G79" s="13">
        <f t="shared" si="5"/>
        <v>-1.1662466127204305</v>
      </c>
    </row>
    <row r="80" spans="1:7" x14ac:dyDescent="0.25">
      <c r="A80" s="15" t="s">
        <v>34</v>
      </c>
      <c r="B80" s="16">
        <v>40668</v>
      </c>
      <c r="C80" s="17">
        <v>1.3459000000000001</v>
      </c>
      <c r="D80" s="17">
        <v>0.79330000000000001</v>
      </c>
      <c r="E80" s="11">
        <f t="shared" si="3"/>
        <v>0.7903</v>
      </c>
      <c r="F80" s="11">
        <f t="shared" si="4"/>
        <v>0.95377412585755306</v>
      </c>
      <c r="G80" s="13">
        <f t="shared" si="5"/>
        <v>0.39212587414244704</v>
      </c>
    </row>
    <row r="81" spans="1:7" x14ac:dyDescent="0.25">
      <c r="A81" s="15" t="s">
        <v>34</v>
      </c>
      <c r="B81" s="16">
        <v>40669</v>
      </c>
      <c r="C81" s="17">
        <v>0.26700000000000002</v>
      </c>
      <c r="D81" s="17">
        <v>-0.45989999999999998</v>
      </c>
      <c r="E81" s="11">
        <f t="shared" si="3"/>
        <v>-0.46289999999999998</v>
      </c>
      <c r="F81" s="11">
        <f t="shared" si="4"/>
        <v>-0.43876819151305679</v>
      </c>
      <c r="G81" s="13">
        <f t="shared" si="5"/>
        <v>0.70576819151305681</v>
      </c>
    </row>
    <row r="82" spans="1:7" x14ac:dyDescent="0.25">
      <c r="A82" s="15" t="s">
        <v>34</v>
      </c>
      <c r="B82" s="16">
        <v>40672</v>
      </c>
      <c r="C82" s="17">
        <v>0.66449999999999998</v>
      </c>
      <c r="D82" s="17">
        <v>0.64680000000000004</v>
      </c>
      <c r="E82" s="11">
        <f t="shared" si="3"/>
        <v>0.64380000000000004</v>
      </c>
      <c r="F82" s="11">
        <f t="shared" si="4"/>
        <v>0.79098490666285604</v>
      </c>
      <c r="G82" s="13">
        <f t="shared" si="5"/>
        <v>-0.12648490666285606</v>
      </c>
    </row>
    <row r="83" spans="1:7" x14ac:dyDescent="0.25">
      <c r="A83" s="15" t="s">
        <v>34</v>
      </c>
      <c r="B83" s="16">
        <v>40673</v>
      </c>
      <c r="C83" s="17">
        <v>-1.4677</v>
      </c>
      <c r="D83" s="17">
        <v>-0.1351</v>
      </c>
      <c r="E83" s="11">
        <f t="shared" si="3"/>
        <v>-0.1381</v>
      </c>
      <c r="F83" s="11">
        <f t="shared" si="4"/>
        <v>-7.7853936260922976E-2</v>
      </c>
      <c r="G83" s="13">
        <f t="shared" si="5"/>
        <v>-1.389846063739077</v>
      </c>
    </row>
    <row r="84" spans="1:7" x14ac:dyDescent="0.25">
      <c r="A84" s="15" t="s">
        <v>34</v>
      </c>
      <c r="B84" s="16">
        <v>40674</v>
      </c>
      <c r="C84" s="17">
        <v>0.80320000000000003</v>
      </c>
      <c r="D84" s="17">
        <v>-3.1899999999999998E-2</v>
      </c>
      <c r="E84" s="11">
        <f t="shared" si="3"/>
        <v>-3.49E-2</v>
      </c>
      <c r="F84" s="11">
        <f t="shared" si="4"/>
        <v>3.6820790161553027E-2</v>
      </c>
      <c r="G84" s="13">
        <f t="shared" si="5"/>
        <v>0.76637920983844698</v>
      </c>
    </row>
    <row r="85" spans="1:7" x14ac:dyDescent="0.25">
      <c r="A85" s="15" t="s">
        <v>34</v>
      </c>
      <c r="B85" s="16">
        <v>40675</v>
      </c>
      <c r="C85" s="17">
        <v>0.92900000000000005</v>
      </c>
      <c r="D85" s="17">
        <v>0.14710000000000001</v>
      </c>
      <c r="E85" s="11">
        <f t="shared" si="3"/>
        <v>0.14410000000000001</v>
      </c>
      <c r="F85" s="11">
        <f t="shared" si="4"/>
        <v>0.23572365866565387</v>
      </c>
      <c r="G85" s="13">
        <f t="shared" si="5"/>
        <v>0.69327634133434612</v>
      </c>
    </row>
    <row r="86" spans="1:7" x14ac:dyDescent="0.25">
      <c r="A86" s="15" t="s">
        <v>34</v>
      </c>
      <c r="B86" s="16">
        <v>40676</v>
      </c>
      <c r="C86" s="17">
        <v>0.26390000000000002</v>
      </c>
      <c r="D86" s="17">
        <v>-0.30009999999999998</v>
      </c>
      <c r="E86" s="11">
        <f t="shared" si="3"/>
        <v>-0.30309999999999998</v>
      </c>
      <c r="F86" s="11">
        <f t="shared" si="4"/>
        <v>-0.26120015583174216</v>
      </c>
      <c r="G86" s="13">
        <f t="shared" si="5"/>
        <v>0.52510015583174219</v>
      </c>
    </row>
    <row r="87" spans="1:7" x14ac:dyDescent="0.25">
      <c r="A87" s="15" t="s">
        <v>34</v>
      </c>
      <c r="B87" s="16">
        <v>40679</v>
      </c>
      <c r="C87" s="17">
        <v>-1.3263</v>
      </c>
      <c r="D87" s="17">
        <v>-1.0592999999999999</v>
      </c>
      <c r="E87" s="11">
        <f t="shared" si="3"/>
        <v>-1.0622999999999998</v>
      </c>
      <c r="F87" s="11">
        <f t="shared" si="4"/>
        <v>-1.1048150036994142</v>
      </c>
      <c r="G87" s="13">
        <f t="shared" si="5"/>
        <v>-0.22148499630058582</v>
      </c>
    </row>
    <row r="88" spans="1:7" x14ac:dyDescent="0.25">
      <c r="A88" s="15" t="s">
        <v>34</v>
      </c>
      <c r="B88" s="16">
        <v>40680</v>
      </c>
      <c r="C88" s="17">
        <v>0.93020000000000003</v>
      </c>
      <c r="D88" s="17">
        <v>-0.31040000000000001</v>
      </c>
      <c r="E88" s="11">
        <f t="shared" si="3"/>
        <v>-0.31340000000000001</v>
      </c>
      <c r="F88" s="11">
        <f t="shared" si="4"/>
        <v>-0.27264540468979942</v>
      </c>
      <c r="G88" s="13">
        <f t="shared" si="5"/>
        <v>1.2028454046897994</v>
      </c>
    </row>
    <row r="89" spans="1:7" x14ac:dyDescent="0.25">
      <c r="A89" s="15" t="s">
        <v>34</v>
      </c>
      <c r="B89" s="16">
        <v>40681</v>
      </c>
      <c r="C89" s="17">
        <v>-0.39760000000000001</v>
      </c>
      <c r="D89" s="17">
        <v>0.68149999999999999</v>
      </c>
      <c r="E89" s="11">
        <f t="shared" si="3"/>
        <v>0.67849999999999999</v>
      </c>
      <c r="F89" s="11">
        <f t="shared" si="4"/>
        <v>0.82954317223320406</v>
      </c>
      <c r="G89" s="13">
        <f t="shared" si="5"/>
        <v>-1.227143172233204</v>
      </c>
    </row>
    <row r="90" spans="1:7" x14ac:dyDescent="0.25">
      <c r="A90" s="15" t="s">
        <v>34</v>
      </c>
      <c r="B90" s="16">
        <v>40682</v>
      </c>
      <c r="C90" s="17">
        <v>-0.13289999999999999</v>
      </c>
      <c r="D90" s="17">
        <v>-0.58260000000000001</v>
      </c>
      <c r="E90" s="11">
        <f t="shared" si="3"/>
        <v>-0.58560000000000001</v>
      </c>
      <c r="F90" s="11">
        <f t="shared" si="4"/>
        <v>-0.57511110752117511</v>
      </c>
      <c r="G90" s="13">
        <f t="shared" si="5"/>
        <v>0.4422111075211751</v>
      </c>
    </row>
    <row r="91" spans="1:7" x14ac:dyDescent="0.25">
      <c r="A91" s="15" t="s">
        <v>34</v>
      </c>
      <c r="B91" s="16">
        <v>40683</v>
      </c>
      <c r="C91" s="17">
        <v>0.39810000000000001</v>
      </c>
      <c r="D91" s="17">
        <v>-0.63</v>
      </c>
      <c r="E91" s="11">
        <f t="shared" si="3"/>
        <v>-0.63300000000000001</v>
      </c>
      <c r="F91" s="11">
        <f t="shared" si="4"/>
        <v>-0.62778147605242862</v>
      </c>
      <c r="G91" s="13">
        <f t="shared" si="5"/>
        <v>1.0258814760524286</v>
      </c>
    </row>
    <row r="92" spans="1:7" x14ac:dyDescent="0.25">
      <c r="A92" s="15" t="s">
        <v>34</v>
      </c>
      <c r="B92" s="16">
        <v>40686</v>
      </c>
      <c r="C92" s="17">
        <v>-0.53120000000000001</v>
      </c>
      <c r="D92" s="17">
        <v>-1.0182</v>
      </c>
      <c r="E92" s="11">
        <f t="shared" si="3"/>
        <v>-1.0211999999999999</v>
      </c>
      <c r="F92" s="11">
        <f t="shared" si="4"/>
        <v>-1.0591451271881376</v>
      </c>
      <c r="G92" s="13">
        <f t="shared" si="5"/>
        <v>0.52794512718813758</v>
      </c>
    </row>
    <row r="93" spans="1:7" x14ac:dyDescent="0.25">
      <c r="A93" s="15" t="s">
        <v>34</v>
      </c>
      <c r="B93" s="16">
        <v>40687</v>
      </c>
      <c r="C93" s="17">
        <v>-0.40029999999999999</v>
      </c>
      <c r="D93" s="17">
        <v>0.104</v>
      </c>
      <c r="E93" s="11">
        <f t="shared" si="3"/>
        <v>0.10099999999999999</v>
      </c>
      <c r="F93" s="11">
        <f t="shared" si="4"/>
        <v>0.18783140373533683</v>
      </c>
      <c r="G93" s="13">
        <f t="shared" si="5"/>
        <v>-0.58813140373533679</v>
      </c>
    </row>
    <row r="94" spans="1:7" x14ac:dyDescent="0.25">
      <c r="A94" s="15" t="s">
        <v>34</v>
      </c>
      <c r="B94" s="16">
        <v>40688</v>
      </c>
      <c r="C94" s="17">
        <v>-0.40189999999999998</v>
      </c>
      <c r="D94" s="17">
        <v>-0.3377</v>
      </c>
      <c r="E94" s="11">
        <f t="shared" si="3"/>
        <v>-0.3407</v>
      </c>
      <c r="F94" s="11">
        <f t="shared" si="4"/>
        <v>-0.3029808701096986</v>
      </c>
      <c r="G94" s="13">
        <f t="shared" si="5"/>
        <v>-9.8919129890301383E-2</v>
      </c>
    </row>
    <row r="95" spans="1:7" x14ac:dyDescent="0.25">
      <c r="A95" s="15" t="s">
        <v>34</v>
      </c>
      <c r="B95" s="16">
        <v>40689</v>
      </c>
      <c r="C95" s="17">
        <v>-0.40350000000000003</v>
      </c>
      <c r="D95" s="17">
        <v>0.70009999999999994</v>
      </c>
      <c r="E95" s="11">
        <f t="shared" si="3"/>
        <v>0.69709999999999994</v>
      </c>
      <c r="F95" s="11">
        <f t="shared" si="4"/>
        <v>0.85021129153027808</v>
      </c>
      <c r="G95" s="13">
        <f t="shared" si="5"/>
        <v>-1.2537112915302782</v>
      </c>
    </row>
    <row r="96" spans="1:7" x14ac:dyDescent="0.25">
      <c r="A96" s="15" t="s">
        <v>34</v>
      </c>
      <c r="B96" s="16">
        <v>40690</v>
      </c>
      <c r="C96" s="17">
        <v>-0.26989999999999997</v>
      </c>
      <c r="D96" s="17">
        <v>0.2455</v>
      </c>
      <c r="E96" s="11">
        <f t="shared" si="3"/>
        <v>0.24249999999999999</v>
      </c>
      <c r="F96" s="11">
        <f t="shared" si="4"/>
        <v>0.34506467688243331</v>
      </c>
      <c r="G96" s="13">
        <f t="shared" si="5"/>
        <v>-0.61496467688243328</v>
      </c>
    </row>
    <row r="97" spans="1:7" x14ac:dyDescent="0.25">
      <c r="A97" s="15" t="s">
        <v>34</v>
      </c>
      <c r="B97" s="16">
        <v>40693</v>
      </c>
      <c r="C97" s="17">
        <v>1.4755</v>
      </c>
      <c r="D97" s="17">
        <v>0.1552</v>
      </c>
      <c r="E97" s="11">
        <f t="shared" si="3"/>
        <v>0.1522</v>
      </c>
      <c r="F97" s="11">
        <f t="shared" si="4"/>
        <v>0.24472429126276679</v>
      </c>
      <c r="G97" s="13">
        <f t="shared" si="5"/>
        <v>1.2307757087372333</v>
      </c>
    </row>
    <row r="98" spans="1:7" x14ac:dyDescent="0.25">
      <c r="A98" s="15" t="s">
        <v>34</v>
      </c>
      <c r="B98" s="16">
        <v>40694</v>
      </c>
      <c r="C98" s="17">
        <v>2.1080999999999999</v>
      </c>
      <c r="D98" s="17">
        <v>1.8545</v>
      </c>
      <c r="E98" s="11">
        <f t="shared" si="3"/>
        <v>1.8515000000000001</v>
      </c>
      <c r="F98" s="11">
        <f t="shared" si="4"/>
        <v>2.1329681150003008</v>
      </c>
      <c r="G98" s="13">
        <f t="shared" si="5"/>
        <v>-2.486811500030095E-2</v>
      </c>
    </row>
    <row r="99" spans="1:7" x14ac:dyDescent="0.25">
      <c r="A99" s="15" t="s">
        <v>34</v>
      </c>
      <c r="B99" s="16">
        <v>40695</v>
      </c>
      <c r="C99" s="17">
        <v>0.39040000000000002</v>
      </c>
      <c r="D99" s="17">
        <v>0.8145</v>
      </c>
      <c r="E99" s="11">
        <f t="shared" si="3"/>
        <v>0.8115</v>
      </c>
      <c r="F99" s="11">
        <f t="shared" si="4"/>
        <v>0.97733133709937947</v>
      </c>
      <c r="G99" s="13">
        <f t="shared" si="5"/>
        <v>-0.58693133709937939</v>
      </c>
    </row>
    <row r="100" spans="1:7" x14ac:dyDescent="0.25">
      <c r="A100" s="15" t="s">
        <v>34</v>
      </c>
      <c r="B100" s="16">
        <v>40696</v>
      </c>
      <c r="C100" s="17">
        <v>-0.7823</v>
      </c>
      <c r="D100" s="17">
        <v>-0.78639999999999999</v>
      </c>
      <c r="E100" s="11">
        <f t="shared" si="3"/>
        <v>-0.78939999999999999</v>
      </c>
      <c r="F100" s="11">
        <f t="shared" si="4"/>
        <v>-0.80157146842137472</v>
      </c>
      <c r="G100" s="13">
        <f t="shared" si="5"/>
        <v>1.9271468421374727E-2</v>
      </c>
    </row>
    <row r="101" spans="1:7" x14ac:dyDescent="0.25">
      <c r="A101" s="15" t="s">
        <v>34</v>
      </c>
      <c r="B101" s="16">
        <v>40697</v>
      </c>
      <c r="C101" s="17">
        <v>1.0417000000000001</v>
      </c>
      <c r="D101" s="17">
        <v>0.60899999999999999</v>
      </c>
      <c r="E101" s="11">
        <f t="shared" si="3"/>
        <v>0.60599999999999998</v>
      </c>
      <c r="F101" s="11">
        <f t="shared" si="4"/>
        <v>0.74898195454299554</v>
      </c>
      <c r="G101" s="13">
        <f t="shared" si="5"/>
        <v>0.29271804545700453</v>
      </c>
    </row>
    <row r="102" spans="1:7" x14ac:dyDescent="0.25">
      <c r="A102" s="15" t="s">
        <v>34</v>
      </c>
      <c r="B102" s="16">
        <v>40701</v>
      </c>
      <c r="C102" s="17">
        <v>0.38779999999999998</v>
      </c>
      <c r="D102" s="17">
        <v>0.1195</v>
      </c>
      <c r="E102" s="11">
        <f t="shared" si="3"/>
        <v>0.11649999999999999</v>
      </c>
      <c r="F102" s="11">
        <f t="shared" si="4"/>
        <v>0.20505483648289863</v>
      </c>
      <c r="G102" s="13">
        <f t="shared" si="5"/>
        <v>0.18274516351710135</v>
      </c>
    </row>
    <row r="103" spans="1:7" x14ac:dyDescent="0.25">
      <c r="A103" s="15" t="s">
        <v>34</v>
      </c>
      <c r="B103" s="16">
        <v>40702</v>
      </c>
      <c r="C103" s="17">
        <v>0</v>
      </c>
      <c r="D103" s="17">
        <v>-0.54879999999999995</v>
      </c>
      <c r="E103" s="11">
        <f t="shared" si="3"/>
        <v>-0.55179999999999996</v>
      </c>
      <c r="F103" s="11">
        <f t="shared" si="4"/>
        <v>-0.53755291223939505</v>
      </c>
      <c r="G103" s="13">
        <f t="shared" si="5"/>
        <v>0.53755291223939505</v>
      </c>
    </row>
    <row r="104" spans="1:7" x14ac:dyDescent="0.25">
      <c r="A104" s="15" t="s">
        <v>34</v>
      </c>
      <c r="B104" s="16">
        <v>40703</v>
      </c>
      <c r="C104" s="17">
        <v>-0.7772</v>
      </c>
      <c r="D104" s="17">
        <v>-7.3200000000000001E-2</v>
      </c>
      <c r="E104" s="11">
        <f t="shared" si="3"/>
        <v>-7.6200000000000004E-2</v>
      </c>
      <c r="F104" s="11">
        <f t="shared" si="4"/>
        <v>-9.0713241916277887E-3</v>
      </c>
      <c r="G104" s="13">
        <f t="shared" si="5"/>
        <v>-0.76812867580837219</v>
      </c>
    </row>
    <row r="105" spans="1:7" x14ac:dyDescent="0.25">
      <c r="A105" s="15" t="s">
        <v>34</v>
      </c>
      <c r="B105" s="16">
        <v>40704</v>
      </c>
      <c r="C105" s="17">
        <v>-2.1025999999999998</v>
      </c>
      <c r="D105" s="17">
        <v>-1.8289</v>
      </c>
      <c r="E105" s="11">
        <f t="shared" si="3"/>
        <v>-1.8318999999999999</v>
      </c>
      <c r="F105" s="11">
        <f t="shared" si="4"/>
        <v>-1.9599862193460957</v>
      </c>
      <c r="G105" s="13">
        <f t="shared" si="5"/>
        <v>-0.14261378065390407</v>
      </c>
    </row>
    <row r="106" spans="1:7" x14ac:dyDescent="0.25">
      <c r="A106" s="15" t="s">
        <v>34</v>
      </c>
      <c r="B106" s="16">
        <v>40707</v>
      </c>
      <c r="C106" s="17">
        <v>-0.8</v>
      </c>
      <c r="D106" s="17">
        <v>-1.423</v>
      </c>
      <c r="E106" s="11">
        <f t="shared" si="3"/>
        <v>-1.4259999999999999</v>
      </c>
      <c r="F106" s="11">
        <f t="shared" si="4"/>
        <v>-1.5089545192018807</v>
      </c>
      <c r="G106" s="13">
        <f t="shared" si="5"/>
        <v>0.70895451920188068</v>
      </c>
    </row>
    <row r="107" spans="1:7" x14ac:dyDescent="0.25">
      <c r="A107" s="15" t="s">
        <v>34</v>
      </c>
      <c r="B107" s="16">
        <v>40708</v>
      </c>
      <c r="C107" s="17">
        <v>1.9881</v>
      </c>
      <c r="D107" s="17">
        <v>1.3254999999999999</v>
      </c>
      <c r="E107" s="11">
        <f t="shared" si="3"/>
        <v>1.3225</v>
      </c>
      <c r="F107" s="11">
        <f t="shared" si="4"/>
        <v>1.5451490231641589</v>
      </c>
      <c r="G107" s="13">
        <f t="shared" si="5"/>
        <v>0.44295097683584106</v>
      </c>
    </row>
    <row r="108" spans="1:7" x14ac:dyDescent="0.25">
      <c r="A108" s="15" t="s">
        <v>34</v>
      </c>
      <c r="B108" s="16">
        <v>40709</v>
      </c>
      <c r="C108" s="17">
        <v>1.0444</v>
      </c>
      <c r="D108" s="17">
        <v>2.5399999999999999E-2</v>
      </c>
      <c r="E108" s="11">
        <f t="shared" si="3"/>
        <v>2.24E-2</v>
      </c>
      <c r="F108" s="11">
        <f t="shared" si="4"/>
        <v>0.1004919318670557</v>
      </c>
      <c r="G108" s="13">
        <f t="shared" si="5"/>
        <v>0.94390806813294426</v>
      </c>
    </row>
    <row r="109" spans="1:7" x14ac:dyDescent="0.25">
      <c r="A109" s="15" t="s">
        <v>34</v>
      </c>
      <c r="B109" s="16">
        <v>40710</v>
      </c>
      <c r="C109" s="17">
        <v>-1.9673</v>
      </c>
      <c r="D109" s="17">
        <v>-2.0247999999999999</v>
      </c>
      <c r="E109" s="11">
        <f t="shared" si="3"/>
        <v>-2.0278</v>
      </c>
      <c r="F109" s="11">
        <f t="shared" si="4"/>
        <v>-2.1776681854910871</v>
      </c>
      <c r="G109" s="13">
        <f t="shared" si="5"/>
        <v>0.21036818549108705</v>
      </c>
    </row>
    <row r="110" spans="1:7" x14ac:dyDescent="0.25">
      <c r="A110" s="15" t="s">
        <v>34</v>
      </c>
      <c r="B110" s="16">
        <v>40711</v>
      </c>
      <c r="C110" s="17">
        <v>-1.7369000000000001</v>
      </c>
      <c r="D110" s="17">
        <v>-0.21199999999999999</v>
      </c>
      <c r="E110" s="11">
        <f t="shared" si="3"/>
        <v>-0.215</v>
      </c>
      <c r="F110" s="11">
        <f t="shared" si="4"/>
        <v>-0.16330438647301992</v>
      </c>
      <c r="G110" s="13">
        <f t="shared" si="5"/>
        <v>-1.5735956135269802</v>
      </c>
    </row>
    <row r="111" spans="1:7" x14ac:dyDescent="0.25">
      <c r="A111" s="15" t="s">
        <v>34</v>
      </c>
      <c r="B111" s="16">
        <v>40714</v>
      </c>
      <c r="C111" s="17">
        <v>0.93899999999999995</v>
      </c>
      <c r="D111" s="17">
        <v>-1.2282</v>
      </c>
      <c r="E111" s="11">
        <f t="shared" si="3"/>
        <v>-1.2311999999999999</v>
      </c>
      <c r="F111" s="11">
        <f t="shared" si="4"/>
        <v>-1.2924948611873621</v>
      </c>
      <c r="G111" s="13">
        <f t="shared" si="5"/>
        <v>2.231494861187362</v>
      </c>
    </row>
    <row r="112" spans="1:7" x14ac:dyDescent="0.25">
      <c r="A112" s="15" t="s">
        <v>34</v>
      </c>
      <c r="B112" s="16">
        <v>40715</v>
      </c>
      <c r="C112" s="17">
        <v>1.3263</v>
      </c>
      <c r="D112" s="17">
        <v>0.78159999999999996</v>
      </c>
      <c r="E112" s="11">
        <f t="shared" si="3"/>
        <v>0.77859999999999996</v>
      </c>
      <c r="F112" s="11">
        <f t="shared" si="4"/>
        <v>0.9407732121061676</v>
      </c>
      <c r="G112" s="13">
        <f t="shared" si="5"/>
        <v>0.38552678789383243</v>
      </c>
    </row>
    <row r="113" spans="1:7" x14ac:dyDescent="0.25">
      <c r="A113" s="15" t="s">
        <v>34</v>
      </c>
      <c r="B113" s="16">
        <v>40716</v>
      </c>
      <c r="C113" s="17">
        <v>-1.1929000000000001</v>
      </c>
      <c r="D113" s="17">
        <v>0.27200000000000002</v>
      </c>
      <c r="E113" s="11">
        <f t="shared" si="3"/>
        <v>0.26900000000000002</v>
      </c>
      <c r="F113" s="11">
        <f t="shared" si="4"/>
        <v>0.37451119093471641</v>
      </c>
      <c r="G113" s="13">
        <f t="shared" si="5"/>
        <v>-1.5674111909347164</v>
      </c>
    </row>
    <row r="114" spans="1:7" x14ac:dyDescent="0.25">
      <c r="A114" s="15" t="s">
        <v>34</v>
      </c>
      <c r="B114" s="16">
        <v>40717</v>
      </c>
      <c r="C114" s="17">
        <v>-1.0724</v>
      </c>
      <c r="D114" s="17">
        <v>-0.62549999999999994</v>
      </c>
      <c r="E114" s="11">
        <f t="shared" si="3"/>
        <v>-0.62849999999999995</v>
      </c>
      <c r="F114" s="11">
        <f t="shared" si="4"/>
        <v>-0.62278112460958801</v>
      </c>
      <c r="G114" s="13">
        <f t="shared" si="5"/>
        <v>-0.44961887539041201</v>
      </c>
    </row>
    <row r="115" spans="1:7" x14ac:dyDescent="0.25">
      <c r="A115" s="15" t="s">
        <v>34</v>
      </c>
      <c r="B115" s="16">
        <v>40718</v>
      </c>
      <c r="C115" s="17">
        <v>-1.7676000000000001</v>
      </c>
      <c r="D115" s="17">
        <v>-0.40289999999999998</v>
      </c>
      <c r="E115" s="11">
        <f t="shared" si="3"/>
        <v>-0.40589999999999998</v>
      </c>
      <c r="F115" s="11">
        <f t="shared" si="4"/>
        <v>-0.37543040657041016</v>
      </c>
      <c r="G115" s="13">
        <f t="shared" si="5"/>
        <v>-1.3921695934295899</v>
      </c>
    </row>
    <row r="116" spans="1:7" x14ac:dyDescent="0.25">
      <c r="A116" s="15" t="s">
        <v>34</v>
      </c>
      <c r="B116" s="16">
        <v>40721</v>
      </c>
      <c r="C116" s="17">
        <v>-1.2423</v>
      </c>
      <c r="D116" s="17">
        <v>-0.3836</v>
      </c>
      <c r="E116" s="11">
        <f t="shared" si="3"/>
        <v>-0.3866</v>
      </c>
      <c r="F116" s="11">
        <f t="shared" si="4"/>
        <v>-0.3539844548266719</v>
      </c>
      <c r="G116" s="13">
        <f t="shared" si="5"/>
        <v>-0.888315545173328</v>
      </c>
    </row>
    <row r="117" spans="1:7" x14ac:dyDescent="0.25">
      <c r="A117" s="15" t="s">
        <v>34</v>
      </c>
      <c r="B117" s="16">
        <v>40722</v>
      </c>
      <c r="C117" s="17">
        <v>0.69199999999999995</v>
      </c>
      <c r="D117" s="17">
        <v>-0.25090000000000001</v>
      </c>
      <c r="E117" s="11">
        <f t="shared" si="3"/>
        <v>-0.25390000000000001</v>
      </c>
      <c r="F117" s="11">
        <f t="shared" si="4"/>
        <v>-0.2065296467233525</v>
      </c>
      <c r="G117" s="13">
        <f t="shared" si="5"/>
        <v>0.89852964672335245</v>
      </c>
    </row>
    <row r="118" spans="1:7" x14ac:dyDescent="0.25">
      <c r="A118" s="15" t="s">
        <v>34</v>
      </c>
      <c r="B118" s="16">
        <v>40723</v>
      </c>
      <c r="C118" s="17">
        <v>2.5863</v>
      </c>
      <c r="D118" s="17">
        <v>1.1086</v>
      </c>
      <c r="E118" s="11">
        <f t="shared" si="3"/>
        <v>1.1056000000000001</v>
      </c>
      <c r="F118" s="11">
        <f t="shared" si="4"/>
        <v>1.3041320836192458</v>
      </c>
      <c r="G118" s="13">
        <f t="shared" si="5"/>
        <v>1.2821679163807542</v>
      </c>
    </row>
    <row r="119" spans="1:7" x14ac:dyDescent="0.25">
      <c r="A119" s="15" t="s">
        <v>34</v>
      </c>
      <c r="B119" s="16">
        <v>40724</v>
      </c>
      <c r="C119" s="17">
        <v>1.1142000000000001</v>
      </c>
      <c r="D119" s="17">
        <v>0.91969999999999996</v>
      </c>
      <c r="E119" s="11">
        <f t="shared" si="3"/>
        <v>0.91669999999999996</v>
      </c>
      <c r="F119" s="11">
        <f t="shared" si="4"/>
        <v>1.0942284419408956</v>
      </c>
      <c r="G119" s="13">
        <f t="shared" si="5"/>
        <v>1.9971558059104444E-2</v>
      </c>
    </row>
    <row r="120" spans="1:7" x14ac:dyDescent="0.25">
      <c r="A120" s="15" t="s">
        <v>34</v>
      </c>
      <c r="B120" s="16">
        <v>40725</v>
      </c>
      <c r="C120" s="17">
        <v>0.8276</v>
      </c>
      <c r="D120" s="17">
        <v>1.0031000000000001</v>
      </c>
      <c r="E120" s="11">
        <f t="shared" si="3"/>
        <v>1.0001000000000002</v>
      </c>
      <c r="F120" s="11">
        <f t="shared" si="4"/>
        <v>1.1869016220148736</v>
      </c>
      <c r="G120" s="13">
        <f t="shared" si="5"/>
        <v>-0.35930162201487359</v>
      </c>
    </row>
    <row r="121" spans="1:7" x14ac:dyDescent="0.25">
      <c r="A121" s="15" t="s">
        <v>34</v>
      </c>
      <c r="B121" s="16">
        <v>40728</v>
      </c>
      <c r="C121" s="17">
        <v>0.95689999999999997</v>
      </c>
      <c r="D121" s="17">
        <v>0.39850000000000002</v>
      </c>
      <c r="E121" s="11">
        <f t="shared" si="3"/>
        <v>0.39550000000000002</v>
      </c>
      <c r="F121" s="11">
        <f t="shared" si="4"/>
        <v>0.51507662593901116</v>
      </c>
      <c r="G121" s="13">
        <f t="shared" si="5"/>
        <v>0.44182337406098882</v>
      </c>
    </row>
    <row r="122" spans="1:7" x14ac:dyDescent="0.25">
      <c r="A122" s="15" t="s">
        <v>34</v>
      </c>
      <c r="B122" s="16">
        <v>40729</v>
      </c>
      <c r="C122" s="17">
        <v>-0.40899999999999997</v>
      </c>
      <c r="D122" s="17">
        <v>0.11070000000000001</v>
      </c>
      <c r="E122" s="11">
        <f t="shared" si="3"/>
        <v>0.1077</v>
      </c>
      <c r="F122" s="11">
        <f t="shared" si="4"/>
        <v>0.19527637143912163</v>
      </c>
      <c r="G122" s="13">
        <f t="shared" si="5"/>
        <v>-0.60427637143912161</v>
      </c>
    </row>
    <row r="123" spans="1:7" x14ac:dyDescent="0.25">
      <c r="A123" s="15" t="s">
        <v>34</v>
      </c>
      <c r="B123" s="16">
        <v>40730</v>
      </c>
      <c r="C123" s="17">
        <v>-0.54790000000000005</v>
      </c>
      <c r="D123" s="17">
        <v>0.45429999999999998</v>
      </c>
      <c r="E123" s="11">
        <f t="shared" si="3"/>
        <v>0.45129999999999998</v>
      </c>
      <c r="F123" s="11">
        <f t="shared" si="4"/>
        <v>0.57708098383023354</v>
      </c>
      <c r="G123" s="13">
        <f t="shared" si="5"/>
        <v>-1.1249809838302336</v>
      </c>
    </row>
    <row r="124" spans="1:7" x14ac:dyDescent="0.25">
      <c r="A124" s="15" t="s">
        <v>34</v>
      </c>
      <c r="B124" s="16">
        <v>40731</v>
      </c>
      <c r="C124" s="17">
        <v>-1.6620999999999999</v>
      </c>
      <c r="D124" s="17">
        <v>-0.57979999999999998</v>
      </c>
      <c r="E124" s="11">
        <f t="shared" si="3"/>
        <v>-0.58279999999999998</v>
      </c>
      <c r="F124" s="11">
        <f t="shared" si="4"/>
        <v>-0.57199977773451871</v>
      </c>
      <c r="G124" s="13">
        <f t="shared" si="5"/>
        <v>-1.0901002222654812</v>
      </c>
    </row>
    <row r="125" spans="1:7" x14ac:dyDescent="0.25">
      <c r="A125" s="15" t="s">
        <v>34</v>
      </c>
      <c r="B125" s="16">
        <v>40732</v>
      </c>
      <c r="C125" s="17">
        <v>1.2491000000000001</v>
      </c>
      <c r="D125" s="17">
        <v>-0.27239999999999998</v>
      </c>
      <c r="E125" s="11">
        <f t="shared" si="3"/>
        <v>-0.27539999999999998</v>
      </c>
      <c r="F125" s="11">
        <f t="shared" si="4"/>
        <v>-0.23042021472803492</v>
      </c>
      <c r="G125" s="13">
        <f t="shared" si="5"/>
        <v>1.4795202147280351</v>
      </c>
    </row>
    <row r="126" spans="1:7" x14ac:dyDescent="0.25">
      <c r="A126" s="15" t="s">
        <v>34</v>
      </c>
      <c r="B126" s="16">
        <v>40735</v>
      </c>
      <c r="C126" s="17">
        <v>-1.669</v>
      </c>
      <c r="D126" s="17">
        <v>-0.96120000000000005</v>
      </c>
      <c r="E126" s="11">
        <f t="shared" si="3"/>
        <v>-0.96420000000000006</v>
      </c>
      <c r="F126" s="11">
        <f t="shared" si="4"/>
        <v>-0.99580734224549117</v>
      </c>
      <c r="G126" s="13">
        <f t="shared" si="5"/>
        <v>-0.67319265775450887</v>
      </c>
    </row>
    <row r="127" spans="1:7" x14ac:dyDescent="0.25">
      <c r="A127" s="15" t="s">
        <v>34</v>
      </c>
      <c r="B127" s="16">
        <v>40736</v>
      </c>
      <c r="C127" s="17">
        <v>-1.4125000000000001</v>
      </c>
      <c r="D127" s="17">
        <v>-2.0381999999999998</v>
      </c>
      <c r="E127" s="11">
        <f t="shared" si="3"/>
        <v>-2.0411999999999999</v>
      </c>
      <c r="F127" s="11">
        <f t="shared" si="4"/>
        <v>-2.1925581208986564</v>
      </c>
      <c r="G127" s="13">
        <f t="shared" si="5"/>
        <v>0.78005812089865634</v>
      </c>
    </row>
    <row r="128" spans="1:7" x14ac:dyDescent="0.25">
      <c r="A128" s="15" t="s">
        <v>34</v>
      </c>
      <c r="B128" s="16">
        <v>40737</v>
      </c>
      <c r="C128" s="17">
        <v>2.6667999999999998</v>
      </c>
      <c r="D128" s="17">
        <v>-3.4700000000000002E-2</v>
      </c>
      <c r="E128" s="11">
        <f t="shared" si="3"/>
        <v>-3.7700000000000004E-2</v>
      </c>
      <c r="F128" s="11">
        <f t="shared" si="4"/>
        <v>3.3709460374896694E-2</v>
      </c>
      <c r="G128" s="13">
        <f t="shared" si="5"/>
        <v>2.633090539625103</v>
      </c>
    </row>
    <row r="129" spans="1:7" x14ac:dyDescent="0.25">
      <c r="A129" s="15" t="s">
        <v>34</v>
      </c>
      <c r="B129" s="16">
        <v>40738</v>
      </c>
      <c r="C129" s="17">
        <v>-2.0994000000000002</v>
      </c>
      <c r="D129" s="17">
        <v>-7.9100000000000004E-2</v>
      </c>
      <c r="E129" s="11">
        <f t="shared" si="3"/>
        <v>-8.2100000000000006E-2</v>
      </c>
      <c r="F129" s="11">
        <f t="shared" si="4"/>
        <v>-1.5627340527796477E-2</v>
      </c>
      <c r="G129" s="13">
        <f t="shared" si="5"/>
        <v>-2.0837726594722037</v>
      </c>
    </row>
    <row r="130" spans="1:7" x14ac:dyDescent="0.25">
      <c r="A130" s="15" t="s">
        <v>34</v>
      </c>
      <c r="B130" s="16">
        <v>40739</v>
      </c>
      <c r="C130" s="17">
        <v>-1.1379999999999999</v>
      </c>
      <c r="D130" s="17">
        <v>1.0971</v>
      </c>
      <c r="E130" s="11">
        <f t="shared" si="3"/>
        <v>1.0941000000000001</v>
      </c>
      <c r="F130" s="11">
        <f t="shared" si="4"/>
        <v>1.2913534077097644</v>
      </c>
      <c r="G130" s="13">
        <f t="shared" si="5"/>
        <v>-2.4293534077097645</v>
      </c>
    </row>
    <row r="131" spans="1:7" x14ac:dyDescent="0.25">
      <c r="A131" s="15" t="s">
        <v>34</v>
      </c>
      <c r="B131" s="16">
        <v>40742</v>
      </c>
      <c r="C131" s="17">
        <v>-0.28649999999999998</v>
      </c>
      <c r="D131" s="17">
        <v>-0.42470000000000002</v>
      </c>
      <c r="E131" s="11">
        <f t="shared" ref="E131:E194" si="6">D131-$K$1</f>
        <v>-0.42770000000000002</v>
      </c>
      <c r="F131" s="11">
        <f t="shared" ref="F131:F194" si="7">K$2+K$3*E131</f>
        <v>-0.3996543313379487</v>
      </c>
      <c r="G131" s="13">
        <f t="shared" ref="G131:G194" si="8">C131-F131</f>
        <v>0.11315433133794872</v>
      </c>
    </row>
    <row r="132" spans="1:7" x14ac:dyDescent="0.25">
      <c r="A132" s="15" t="s">
        <v>34</v>
      </c>
      <c r="B132" s="16">
        <v>40743</v>
      </c>
      <c r="C132" s="17">
        <v>-1.7366999999999999</v>
      </c>
      <c r="D132" s="17">
        <v>-0.1641</v>
      </c>
      <c r="E132" s="11">
        <f t="shared" si="6"/>
        <v>-0.1671</v>
      </c>
      <c r="F132" s="11">
        <f t="shared" si="7"/>
        <v>-0.11007842333700636</v>
      </c>
      <c r="G132" s="13">
        <f t="shared" si="8"/>
        <v>-1.6266215766629935</v>
      </c>
    </row>
    <row r="133" spans="1:7" x14ac:dyDescent="0.25">
      <c r="A133" s="15" t="s">
        <v>34</v>
      </c>
      <c r="B133" s="16">
        <v>40744</v>
      </c>
      <c r="C133" s="17">
        <v>4.4260999999999999</v>
      </c>
      <c r="D133" s="17">
        <v>2.1078999999999999</v>
      </c>
      <c r="E133" s="11">
        <f t="shared" si="6"/>
        <v>2.1048999999999998</v>
      </c>
      <c r="F133" s="11">
        <f t="shared" si="7"/>
        <v>2.4145434606926979</v>
      </c>
      <c r="G133" s="13">
        <f t="shared" si="8"/>
        <v>2.011556539307302</v>
      </c>
    </row>
    <row r="134" spans="1:7" x14ac:dyDescent="0.25">
      <c r="A134" s="15" t="s">
        <v>34</v>
      </c>
      <c r="B134" s="16">
        <v>40745</v>
      </c>
      <c r="C134" s="17">
        <v>0</v>
      </c>
      <c r="D134" s="17">
        <v>0.12590000000000001</v>
      </c>
      <c r="E134" s="11">
        <f t="shared" si="6"/>
        <v>0.12290000000000001</v>
      </c>
      <c r="F134" s="11">
        <f t="shared" si="7"/>
        <v>0.2121664474238274</v>
      </c>
      <c r="G134" s="13">
        <f t="shared" si="8"/>
        <v>-0.2121664474238274</v>
      </c>
    </row>
    <row r="135" spans="1:7" x14ac:dyDescent="0.25">
      <c r="A135" s="15" t="s">
        <v>34</v>
      </c>
      <c r="B135" s="16">
        <v>40746</v>
      </c>
      <c r="C135" s="17">
        <v>0.55710000000000004</v>
      </c>
      <c r="D135" s="17">
        <v>0.55120000000000002</v>
      </c>
      <c r="E135" s="11">
        <f t="shared" si="6"/>
        <v>0.54820000000000002</v>
      </c>
      <c r="F135" s="11">
        <f t="shared" si="7"/>
        <v>0.68475521823273289</v>
      </c>
      <c r="G135" s="13">
        <f t="shared" si="8"/>
        <v>-0.12765521823273285</v>
      </c>
    </row>
    <row r="136" spans="1:7" x14ac:dyDescent="0.25">
      <c r="A136" s="15" t="s">
        <v>34</v>
      </c>
      <c r="B136" s="16">
        <v>40749</v>
      </c>
      <c r="C136" s="17">
        <v>0</v>
      </c>
      <c r="D136" s="17">
        <v>-0.93769999999999998</v>
      </c>
      <c r="E136" s="11">
        <f t="shared" si="6"/>
        <v>-0.94069999999999998</v>
      </c>
      <c r="F136" s="11">
        <f t="shared" si="7"/>
        <v>-0.96969439582176831</v>
      </c>
      <c r="G136" s="13">
        <f t="shared" si="8"/>
        <v>0.96969439582176831</v>
      </c>
    </row>
    <row r="137" spans="1:7" x14ac:dyDescent="0.25">
      <c r="A137" s="15" t="s">
        <v>34</v>
      </c>
      <c r="B137" s="16">
        <v>40750</v>
      </c>
      <c r="C137" s="17">
        <v>2.3336999999999999</v>
      </c>
      <c r="D137" s="17">
        <v>1.2670999999999999</v>
      </c>
      <c r="E137" s="11">
        <f t="shared" si="6"/>
        <v>1.2641</v>
      </c>
      <c r="F137" s="11">
        <f t="shared" si="7"/>
        <v>1.4802555733281841</v>
      </c>
      <c r="G137" s="13">
        <f t="shared" si="8"/>
        <v>0.85344442667181575</v>
      </c>
    </row>
    <row r="138" spans="1:7" x14ac:dyDescent="0.25">
      <c r="A138" s="15" t="s">
        <v>34</v>
      </c>
      <c r="B138" s="16">
        <v>40751</v>
      </c>
      <c r="C138" s="17">
        <v>-0.40789999999999998</v>
      </c>
      <c r="D138" s="17">
        <v>0.26400000000000001</v>
      </c>
      <c r="E138" s="11">
        <f t="shared" si="6"/>
        <v>0.26100000000000001</v>
      </c>
      <c r="F138" s="11">
        <f t="shared" si="7"/>
        <v>0.36562167725855543</v>
      </c>
      <c r="G138" s="13">
        <f t="shared" si="8"/>
        <v>-0.77352167725855536</v>
      </c>
    </row>
    <row r="139" spans="1:7" x14ac:dyDescent="0.25">
      <c r="A139" s="15" t="s">
        <v>34</v>
      </c>
      <c r="B139" s="16">
        <v>40752</v>
      </c>
      <c r="C139" s="17">
        <v>-0.5464</v>
      </c>
      <c r="D139" s="17">
        <v>-0.57199999999999995</v>
      </c>
      <c r="E139" s="11">
        <f t="shared" si="6"/>
        <v>-0.57499999999999996</v>
      </c>
      <c r="F139" s="11">
        <f t="shared" si="7"/>
        <v>-0.56333250190026174</v>
      </c>
      <c r="G139" s="13">
        <f t="shared" si="8"/>
        <v>1.6932501900261743E-2</v>
      </c>
    </row>
    <row r="140" spans="1:7" x14ac:dyDescent="0.25">
      <c r="A140" s="15" t="s">
        <v>34</v>
      </c>
      <c r="B140" s="16">
        <v>40753</v>
      </c>
      <c r="C140" s="17">
        <v>-1.3793</v>
      </c>
      <c r="D140" s="17">
        <v>-1.4131</v>
      </c>
      <c r="E140" s="11">
        <f t="shared" si="6"/>
        <v>-1.4160999999999999</v>
      </c>
      <c r="F140" s="11">
        <f t="shared" si="7"/>
        <v>-1.4979537460276315</v>
      </c>
      <c r="G140" s="13">
        <f t="shared" si="8"/>
        <v>0.11865374602763157</v>
      </c>
    </row>
    <row r="141" spans="1:7" x14ac:dyDescent="0.25">
      <c r="A141" s="15" t="s">
        <v>34</v>
      </c>
      <c r="B141" s="16">
        <v>40756</v>
      </c>
      <c r="C141" s="17">
        <v>0.82989999999999997</v>
      </c>
      <c r="D141" s="17">
        <v>0.65949999999999998</v>
      </c>
      <c r="E141" s="11">
        <f t="shared" si="6"/>
        <v>0.65649999999999997</v>
      </c>
      <c r="F141" s="11">
        <f t="shared" si="7"/>
        <v>0.80509700962376141</v>
      </c>
      <c r="G141" s="13">
        <f t="shared" si="8"/>
        <v>2.4802990376238565E-2</v>
      </c>
    </row>
    <row r="142" spans="1:7" x14ac:dyDescent="0.25">
      <c r="A142" s="15" t="s">
        <v>34</v>
      </c>
      <c r="B142" s="16">
        <v>40757</v>
      </c>
      <c r="C142" s="17">
        <v>-1.6667000000000001</v>
      </c>
      <c r="D142" s="17">
        <v>-1.3498000000000001</v>
      </c>
      <c r="E142" s="11">
        <f t="shared" si="6"/>
        <v>-1.3528</v>
      </c>
      <c r="F142" s="11">
        <f t="shared" si="7"/>
        <v>-1.4276154690650082</v>
      </c>
      <c r="G142" s="13">
        <f t="shared" si="8"/>
        <v>-0.23908453093499182</v>
      </c>
    </row>
    <row r="143" spans="1:7" x14ac:dyDescent="0.25">
      <c r="A143" s="15" t="s">
        <v>34</v>
      </c>
      <c r="B143" s="16">
        <v>40758</v>
      </c>
      <c r="C143" s="17">
        <v>-1.8374999999999999</v>
      </c>
      <c r="D143" s="17">
        <v>-1.5005999999999999</v>
      </c>
      <c r="E143" s="11">
        <f t="shared" si="6"/>
        <v>-1.5035999999999998</v>
      </c>
      <c r="F143" s="11">
        <f t="shared" si="7"/>
        <v>-1.5951828018606418</v>
      </c>
      <c r="G143" s="13">
        <f t="shared" si="8"/>
        <v>-0.24231719813935815</v>
      </c>
    </row>
    <row r="144" spans="1:7" x14ac:dyDescent="0.25">
      <c r="A144" s="15" t="s">
        <v>34</v>
      </c>
      <c r="B144" s="16">
        <v>40759</v>
      </c>
      <c r="C144" s="17">
        <v>-0.14280000000000001</v>
      </c>
      <c r="D144" s="17">
        <v>-1.6644000000000001</v>
      </c>
      <c r="E144" s="11">
        <f t="shared" si="6"/>
        <v>-1.6674</v>
      </c>
      <c r="F144" s="11">
        <f t="shared" si="7"/>
        <v>-1.7771955943800368</v>
      </c>
      <c r="G144" s="13">
        <f t="shared" si="8"/>
        <v>1.6343955943800368</v>
      </c>
    </row>
    <row r="145" spans="1:7" x14ac:dyDescent="0.25">
      <c r="A145" s="15" t="s">
        <v>34</v>
      </c>
      <c r="B145" s="16">
        <v>40760</v>
      </c>
      <c r="C145" s="17">
        <v>-4.9790999999999999</v>
      </c>
      <c r="D145" s="17">
        <v>-5.7422000000000004</v>
      </c>
      <c r="E145" s="11">
        <f t="shared" si="6"/>
        <v>-5.7452000000000005</v>
      </c>
      <c r="F145" s="11">
        <f t="shared" si="7"/>
        <v>-6.3084029529611678</v>
      </c>
      <c r="G145" s="13">
        <f t="shared" si="8"/>
        <v>1.329302952961168</v>
      </c>
    </row>
    <row r="146" spans="1:7" x14ac:dyDescent="0.25">
      <c r="A146" s="15" t="s">
        <v>34</v>
      </c>
      <c r="B146" s="16">
        <v>40763</v>
      </c>
      <c r="C146" s="17">
        <v>-2.1244999999999998</v>
      </c>
      <c r="D146" s="17">
        <v>-3.8994</v>
      </c>
      <c r="E146" s="11">
        <f t="shared" si="6"/>
        <v>-3.9024000000000001</v>
      </c>
      <c r="F146" s="11">
        <f t="shared" si="7"/>
        <v>-4.260703477657497</v>
      </c>
      <c r="G146" s="13">
        <f t="shared" si="8"/>
        <v>2.1362034776574972</v>
      </c>
    </row>
    <row r="147" spans="1:7" x14ac:dyDescent="0.25">
      <c r="A147" s="15" t="s">
        <v>34</v>
      </c>
      <c r="B147" s="16">
        <v>40764</v>
      </c>
      <c r="C147" s="17">
        <v>-2.9573999999999998</v>
      </c>
      <c r="D147" s="17">
        <v>-0.79330000000000001</v>
      </c>
      <c r="E147" s="11">
        <f t="shared" si="6"/>
        <v>-0.79630000000000001</v>
      </c>
      <c r="F147" s="11">
        <f t="shared" si="7"/>
        <v>-0.80923867396706362</v>
      </c>
      <c r="G147" s="13">
        <f t="shared" si="8"/>
        <v>-2.1481613260329362</v>
      </c>
    </row>
    <row r="148" spans="1:7" x14ac:dyDescent="0.25">
      <c r="A148" s="15" t="s">
        <v>34</v>
      </c>
      <c r="B148" s="16">
        <v>40765</v>
      </c>
      <c r="C148" s="17">
        <v>3.8734999999999999</v>
      </c>
      <c r="D148" s="17">
        <v>3.1941000000000002</v>
      </c>
      <c r="E148" s="11">
        <f t="shared" si="6"/>
        <v>3.1911</v>
      </c>
      <c r="F148" s="11">
        <f t="shared" si="7"/>
        <v>3.6215171800734485</v>
      </c>
      <c r="G148" s="13">
        <f t="shared" si="8"/>
        <v>0.25198281992655147</v>
      </c>
    </row>
    <row r="149" spans="1:7" x14ac:dyDescent="0.25">
      <c r="A149" s="15" t="s">
        <v>34</v>
      </c>
      <c r="B149" s="16">
        <v>40766</v>
      </c>
      <c r="C149" s="17">
        <v>0.90769999999999995</v>
      </c>
      <c r="D149" s="17">
        <v>-0.223</v>
      </c>
      <c r="E149" s="11">
        <f t="shared" si="6"/>
        <v>-0.22600000000000001</v>
      </c>
      <c r="F149" s="11">
        <f t="shared" si="7"/>
        <v>-0.17552746777774125</v>
      </c>
      <c r="G149" s="13">
        <f t="shared" si="8"/>
        <v>1.0832274677777411</v>
      </c>
    </row>
    <row r="150" spans="1:7" x14ac:dyDescent="0.25">
      <c r="A150" s="15" t="s">
        <v>34</v>
      </c>
      <c r="B150" s="16">
        <v>40767</v>
      </c>
      <c r="C150" s="17">
        <v>-1.9773000000000001</v>
      </c>
      <c r="D150" s="17">
        <v>-1.0689</v>
      </c>
      <c r="E150" s="11">
        <f t="shared" si="6"/>
        <v>-1.0718999999999999</v>
      </c>
      <c r="F150" s="11">
        <f t="shared" si="7"/>
        <v>-1.1154824201108076</v>
      </c>
      <c r="G150" s="13">
        <f t="shared" si="8"/>
        <v>-0.8618175798891925</v>
      </c>
    </row>
    <row r="151" spans="1:7" x14ac:dyDescent="0.25">
      <c r="A151" s="15" t="s">
        <v>34</v>
      </c>
      <c r="B151" s="16">
        <v>40770</v>
      </c>
      <c r="C151" s="17">
        <v>2.5779000000000001</v>
      </c>
      <c r="D151" s="17">
        <v>2.3599000000000001</v>
      </c>
      <c r="E151" s="11">
        <f t="shared" si="6"/>
        <v>2.3569</v>
      </c>
      <c r="F151" s="11">
        <f t="shared" si="7"/>
        <v>2.6945631414917672</v>
      </c>
      <c r="G151" s="13">
        <f t="shared" si="8"/>
        <v>-0.11666314149176715</v>
      </c>
    </row>
    <row r="152" spans="1:7" x14ac:dyDescent="0.25">
      <c r="A152" s="15" t="s">
        <v>34</v>
      </c>
      <c r="B152" s="16">
        <v>40771</v>
      </c>
      <c r="C152" s="17">
        <v>-1.2048000000000001</v>
      </c>
      <c r="D152" s="17">
        <v>-0.26640000000000003</v>
      </c>
      <c r="E152" s="11">
        <f t="shared" si="6"/>
        <v>-0.26940000000000003</v>
      </c>
      <c r="F152" s="11">
        <f t="shared" si="7"/>
        <v>-0.22375307947091433</v>
      </c>
      <c r="G152" s="13">
        <f t="shared" si="8"/>
        <v>-0.98104692052908571</v>
      </c>
    </row>
    <row r="153" spans="1:7" x14ac:dyDescent="0.25">
      <c r="A153" s="15" t="s">
        <v>34</v>
      </c>
      <c r="B153" s="16">
        <v>40772</v>
      </c>
      <c r="C153" s="17">
        <v>-0.30349999999999999</v>
      </c>
      <c r="D153" s="17">
        <v>-0.73140000000000005</v>
      </c>
      <c r="E153" s="11">
        <f t="shared" si="6"/>
        <v>-0.73440000000000005</v>
      </c>
      <c r="F153" s="11">
        <f t="shared" si="7"/>
        <v>-0.74045606189776847</v>
      </c>
      <c r="G153" s="13">
        <f t="shared" si="8"/>
        <v>0.43695606189776848</v>
      </c>
    </row>
    <row r="154" spans="1:7" x14ac:dyDescent="0.25">
      <c r="A154" s="15" t="s">
        <v>34</v>
      </c>
      <c r="B154" s="16">
        <v>40773</v>
      </c>
      <c r="C154" s="17">
        <v>-2.1505999999999998</v>
      </c>
      <c r="D154" s="17">
        <v>-1.6513</v>
      </c>
      <c r="E154" s="11">
        <f t="shared" si="6"/>
        <v>-1.6542999999999999</v>
      </c>
      <c r="F154" s="11">
        <f t="shared" si="7"/>
        <v>-1.7626390157353233</v>
      </c>
      <c r="G154" s="13">
        <f t="shared" si="8"/>
        <v>-0.38796098426467651</v>
      </c>
    </row>
    <row r="155" spans="1:7" x14ac:dyDescent="0.25">
      <c r="A155" s="15" t="s">
        <v>34</v>
      </c>
      <c r="B155" s="16">
        <v>40774</v>
      </c>
      <c r="C155" s="17">
        <v>-0.77939999999999998</v>
      </c>
      <c r="D155" s="17">
        <v>-3.6374</v>
      </c>
      <c r="E155" s="11">
        <f t="shared" si="6"/>
        <v>-3.6404000000000001</v>
      </c>
      <c r="F155" s="11">
        <f t="shared" si="7"/>
        <v>-3.9695719047632263</v>
      </c>
      <c r="G155" s="13">
        <f t="shared" si="8"/>
        <v>3.1901719047632264</v>
      </c>
    </row>
    <row r="156" spans="1:7" x14ac:dyDescent="0.25">
      <c r="A156" s="15" t="s">
        <v>34</v>
      </c>
      <c r="B156" s="16">
        <v>40777</v>
      </c>
      <c r="C156" s="17">
        <v>1.7068000000000001</v>
      </c>
      <c r="D156" s="17">
        <v>-0.41449999999999998</v>
      </c>
      <c r="E156" s="11">
        <f t="shared" si="6"/>
        <v>-0.41749999999999998</v>
      </c>
      <c r="F156" s="11">
        <f t="shared" si="7"/>
        <v>-0.3883202014008435</v>
      </c>
      <c r="G156" s="13">
        <f t="shared" si="8"/>
        <v>2.0951202014008437</v>
      </c>
    </row>
    <row r="157" spans="1:7" x14ac:dyDescent="0.25">
      <c r="A157" s="15" t="s">
        <v>34</v>
      </c>
      <c r="B157" s="16">
        <v>40778</v>
      </c>
      <c r="C157" s="17">
        <v>2.7315999999999998</v>
      </c>
      <c r="D157" s="17">
        <v>3.1981000000000002</v>
      </c>
      <c r="E157" s="11">
        <f t="shared" si="6"/>
        <v>3.1951000000000001</v>
      </c>
      <c r="F157" s="11">
        <f t="shared" si="7"/>
        <v>3.625961936911529</v>
      </c>
      <c r="G157" s="13">
        <f t="shared" si="8"/>
        <v>-0.89436193691152921</v>
      </c>
    </row>
    <row r="158" spans="1:7" x14ac:dyDescent="0.25">
      <c r="A158" s="15" t="s">
        <v>34</v>
      </c>
      <c r="B158" s="16">
        <v>40779</v>
      </c>
      <c r="C158" s="17">
        <v>1.0425</v>
      </c>
      <c r="D158" s="17">
        <v>-0.62839999999999996</v>
      </c>
      <c r="E158" s="11">
        <f t="shared" si="6"/>
        <v>-0.63139999999999996</v>
      </c>
      <c r="F158" s="11">
        <f t="shared" si="7"/>
        <v>-0.62600357331719636</v>
      </c>
      <c r="G158" s="13">
        <f t="shared" si="8"/>
        <v>1.6685035733171962</v>
      </c>
    </row>
    <row r="159" spans="1:7" x14ac:dyDescent="0.25">
      <c r="A159" s="15" t="s">
        <v>34</v>
      </c>
      <c r="B159" s="16">
        <v>40780</v>
      </c>
      <c r="C159" s="17">
        <v>-0.74350000000000005</v>
      </c>
      <c r="D159" s="17">
        <v>-1.2345999999999999</v>
      </c>
      <c r="E159" s="11">
        <f t="shared" si="6"/>
        <v>-1.2375999999999998</v>
      </c>
      <c r="F159" s="11">
        <f t="shared" si="7"/>
        <v>-1.2996064721282907</v>
      </c>
      <c r="G159" s="13">
        <f t="shared" si="8"/>
        <v>0.55610647212829067</v>
      </c>
    </row>
    <row r="160" spans="1:7" x14ac:dyDescent="0.25">
      <c r="A160" s="15" t="s">
        <v>34</v>
      </c>
      <c r="B160" s="16">
        <v>40781</v>
      </c>
      <c r="C160" s="17">
        <v>1.3343</v>
      </c>
      <c r="D160" s="17">
        <v>0.46079999999999999</v>
      </c>
      <c r="E160" s="11">
        <f t="shared" si="6"/>
        <v>0.45779999999999998</v>
      </c>
      <c r="F160" s="11">
        <f t="shared" si="7"/>
        <v>0.58430371369211431</v>
      </c>
      <c r="G160" s="13">
        <f t="shared" si="8"/>
        <v>0.74999628630788573</v>
      </c>
    </row>
    <row r="161" spans="1:7" x14ac:dyDescent="0.25">
      <c r="A161" s="15" t="s">
        <v>34</v>
      </c>
      <c r="B161" s="16">
        <v>40784</v>
      </c>
      <c r="C161" s="17">
        <v>2.1850999999999998</v>
      </c>
      <c r="D161" s="17">
        <v>1.7695000000000001</v>
      </c>
      <c r="E161" s="11">
        <f t="shared" si="6"/>
        <v>1.7665000000000002</v>
      </c>
      <c r="F161" s="11">
        <f t="shared" si="7"/>
        <v>2.0385170321910908</v>
      </c>
      <c r="G161" s="13">
        <f t="shared" si="8"/>
        <v>0.146582967808909</v>
      </c>
    </row>
    <row r="162" spans="1:7" x14ac:dyDescent="0.25">
      <c r="A162" s="15" t="s">
        <v>34</v>
      </c>
      <c r="B162" s="16">
        <v>40785</v>
      </c>
      <c r="C162" s="17">
        <v>-0.57799999999999996</v>
      </c>
      <c r="D162" s="17">
        <v>0.89570000000000005</v>
      </c>
      <c r="E162" s="11">
        <f t="shared" si="6"/>
        <v>0.89270000000000005</v>
      </c>
      <c r="F162" s="11">
        <f t="shared" si="7"/>
        <v>1.067559900912413</v>
      </c>
      <c r="G162" s="13">
        <f t="shared" si="8"/>
        <v>-1.6455599009124131</v>
      </c>
    </row>
    <row r="163" spans="1:7" x14ac:dyDescent="0.25">
      <c r="A163" s="15" t="s">
        <v>34</v>
      </c>
      <c r="B163" s="16">
        <v>40786</v>
      </c>
      <c r="C163" s="17">
        <v>0.57799999999999996</v>
      </c>
      <c r="D163" s="17">
        <v>1.2370000000000001</v>
      </c>
      <c r="E163" s="11">
        <f t="shared" si="6"/>
        <v>1.2340000000000002</v>
      </c>
      <c r="F163" s="11">
        <f t="shared" si="7"/>
        <v>1.4468087781216288</v>
      </c>
      <c r="G163" s="13">
        <f t="shared" si="8"/>
        <v>-0.86880877812162882</v>
      </c>
    </row>
    <row r="164" spans="1:7" x14ac:dyDescent="0.25">
      <c r="A164" s="15" t="s">
        <v>34</v>
      </c>
      <c r="B164" s="16">
        <v>40787</v>
      </c>
      <c r="C164" s="17">
        <v>-1.1594</v>
      </c>
      <c r="D164" s="17">
        <v>0.21160000000000001</v>
      </c>
      <c r="E164" s="11">
        <f t="shared" si="6"/>
        <v>0.20860000000000001</v>
      </c>
      <c r="F164" s="11">
        <f t="shared" si="7"/>
        <v>0.30739536267970136</v>
      </c>
      <c r="G164" s="13">
        <f t="shared" si="8"/>
        <v>-1.4667953626797012</v>
      </c>
    </row>
    <row r="165" spans="1:7" x14ac:dyDescent="0.25">
      <c r="A165" s="15" t="s">
        <v>34</v>
      </c>
      <c r="B165" s="16">
        <v>40788</v>
      </c>
      <c r="C165" s="17">
        <v>-1.6165</v>
      </c>
      <c r="D165" s="17">
        <v>-8.9999999999999993E-3</v>
      </c>
      <c r="E165" s="11">
        <f t="shared" si="6"/>
        <v>-1.2E-2</v>
      </c>
      <c r="F165" s="11">
        <f t="shared" si="7"/>
        <v>6.2267023059563692E-2</v>
      </c>
      <c r="G165" s="13">
        <f t="shared" si="8"/>
        <v>-1.6787670230595637</v>
      </c>
    </row>
    <row r="166" spans="1:7" x14ac:dyDescent="0.25">
      <c r="A166" s="15" t="s">
        <v>34</v>
      </c>
      <c r="B166" s="16">
        <v>40791</v>
      </c>
      <c r="C166" s="17">
        <v>-1.3423</v>
      </c>
      <c r="D166" s="17">
        <v>-2.6848000000000001</v>
      </c>
      <c r="E166" s="11">
        <f t="shared" si="6"/>
        <v>-2.6878000000000002</v>
      </c>
      <c r="F166" s="11">
        <f t="shared" si="7"/>
        <v>-2.9110530637743639</v>
      </c>
      <c r="G166" s="13">
        <f t="shared" si="8"/>
        <v>1.5687530637743639</v>
      </c>
    </row>
    <row r="167" spans="1:7" x14ac:dyDescent="0.25">
      <c r="A167" s="15" t="s">
        <v>34</v>
      </c>
      <c r="B167" s="16">
        <v>40792</v>
      </c>
      <c r="C167" s="17">
        <v>-0.75360000000000005</v>
      </c>
      <c r="D167" s="17">
        <v>-2.4719000000000002</v>
      </c>
      <c r="E167" s="11">
        <f t="shared" si="6"/>
        <v>-2.4749000000000003</v>
      </c>
      <c r="F167" s="11">
        <f t="shared" si="7"/>
        <v>-2.6744808810675313</v>
      </c>
      <c r="G167" s="13">
        <f t="shared" si="8"/>
        <v>1.9208808810675313</v>
      </c>
    </row>
    <row r="168" spans="1:7" x14ac:dyDescent="0.25">
      <c r="A168" s="15" t="s">
        <v>34</v>
      </c>
      <c r="B168" s="16">
        <v>40793</v>
      </c>
      <c r="C168" s="17">
        <v>3.7124000000000001</v>
      </c>
      <c r="D168" s="17">
        <v>2.1726999999999999</v>
      </c>
      <c r="E168" s="11">
        <f t="shared" si="6"/>
        <v>2.1696999999999997</v>
      </c>
      <c r="F168" s="11">
        <f t="shared" si="7"/>
        <v>2.4865485214696013</v>
      </c>
      <c r="G168" s="13">
        <f t="shared" si="8"/>
        <v>1.2258514785303989</v>
      </c>
    </row>
    <row r="169" spans="1:7" x14ac:dyDescent="0.25">
      <c r="A169" s="15" t="s">
        <v>34</v>
      </c>
      <c r="B169" s="16">
        <v>40794</v>
      </c>
      <c r="C169" s="17">
        <v>0.1457</v>
      </c>
      <c r="D169" s="17">
        <v>0.25679999999999997</v>
      </c>
      <c r="E169" s="11">
        <f t="shared" si="6"/>
        <v>0.25379999999999997</v>
      </c>
      <c r="F169" s="11">
        <f t="shared" si="7"/>
        <v>0.35762111495001059</v>
      </c>
      <c r="G169" s="13">
        <f t="shared" si="8"/>
        <v>-0.21192111495001059</v>
      </c>
    </row>
    <row r="170" spans="1:7" x14ac:dyDescent="0.25">
      <c r="A170" s="15" t="s">
        <v>34</v>
      </c>
      <c r="B170" s="16">
        <v>40795</v>
      </c>
      <c r="C170" s="17">
        <v>0.86960000000000004</v>
      </c>
      <c r="D170" s="17">
        <v>0.8206</v>
      </c>
      <c r="E170" s="11">
        <f t="shared" si="6"/>
        <v>0.81759999999999999</v>
      </c>
      <c r="F170" s="11">
        <f t="shared" si="7"/>
        <v>0.98410959127745223</v>
      </c>
      <c r="G170" s="13">
        <f t="shared" si="8"/>
        <v>-0.11450959127745219</v>
      </c>
    </row>
    <row r="171" spans="1:7" x14ac:dyDescent="0.25">
      <c r="A171" s="15" t="s">
        <v>34</v>
      </c>
      <c r="B171" s="16">
        <v>40799</v>
      </c>
      <c r="C171" s="17">
        <v>-1.3071999999999999</v>
      </c>
      <c r="D171" s="17">
        <v>-2.9224999999999999</v>
      </c>
      <c r="E171" s="11">
        <f t="shared" si="6"/>
        <v>-2.9255</v>
      </c>
      <c r="F171" s="11">
        <f t="shared" si="7"/>
        <v>-3.1751827388772953</v>
      </c>
      <c r="G171" s="13">
        <f t="shared" si="8"/>
        <v>1.8679827388772954</v>
      </c>
    </row>
    <row r="172" spans="1:7" x14ac:dyDescent="0.25">
      <c r="A172" s="15" t="s">
        <v>34</v>
      </c>
      <c r="B172" s="16">
        <v>40800</v>
      </c>
      <c r="C172" s="17">
        <v>-1.77</v>
      </c>
      <c r="D172" s="17">
        <v>-2.2286000000000001</v>
      </c>
      <c r="E172" s="11">
        <f t="shared" si="6"/>
        <v>-2.2316000000000003</v>
      </c>
      <c r="F172" s="11">
        <f t="shared" si="7"/>
        <v>-2.4041285463912869</v>
      </c>
      <c r="G172" s="13">
        <f t="shared" si="8"/>
        <v>0.63412854639128691</v>
      </c>
    </row>
    <row r="173" spans="1:7" x14ac:dyDescent="0.25">
      <c r="A173" s="15" t="s">
        <v>34</v>
      </c>
      <c r="B173" s="16">
        <v>40801</v>
      </c>
      <c r="C173" s="17">
        <v>2.7881</v>
      </c>
      <c r="D173" s="17">
        <v>2.1516000000000002</v>
      </c>
      <c r="E173" s="11">
        <f t="shared" si="6"/>
        <v>2.1486000000000001</v>
      </c>
      <c r="F173" s="11">
        <f t="shared" si="7"/>
        <v>2.4631024291487273</v>
      </c>
      <c r="G173" s="13">
        <f t="shared" si="8"/>
        <v>0.32499757085127268</v>
      </c>
    </row>
    <row r="174" spans="1:7" x14ac:dyDescent="0.25">
      <c r="A174" s="15" t="s">
        <v>34</v>
      </c>
      <c r="B174" s="16">
        <v>40802</v>
      </c>
      <c r="C174" s="17">
        <v>2.8532999999999999</v>
      </c>
      <c r="D174" s="17">
        <v>2.5627</v>
      </c>
      <c r="E174" s="11">
        <f t="shared" si="6"/>
        <v>2.5596999999999999</v>
      </c>
      <c r="F174" s="11">
        <f t="shared" si="7"/>
        <v>2.9199123131824467</v>
      </c>
      <c r="G174" s="13">
        <f t="shared" si="8"/>
        <v>-6.6612313182446758E-2</v>
      </c>
    </row>
    <row r="175" spans="1:7" x14ac:dyDescent="0.25">
      <c r="A175" s="15" t="s">
        <v>34</v>
      </c>
      <c r="B175" s="16">
        <v>40805</v>
      </c>
      <c r="C175" s="17">
        <v>0.14050000000000001</v>
      </c>
      <c r="D175" s="17">
        <v>-1.282</v>
      </c>
      <c r="E175" s="11">
        <f t="shared" si="6"/>
        <v>-1.2849999999999999</v>
      </c>
      <c r="F175" s="11">
        <f t="shared" si="7"/>
        <v>-1.3522768406595445</v>
      </c>
      <c r="G175" s="13">
        <f t="shared" si="8"/>
        <v>1.4927768406595445</v>
      </c>
    </row>
    <row r="176" spans="1:7" x14ac:dyDescent="0.25">
      <c r="A176" s="15" t="s">
        <v>34</v>
      </c>
      <c r="B176" s="16">
        <v>40806</v>
      </c>
      <c r="C176" s="17">
        <v>-0.98799999999999999</v>
      </c>
      <c r="D176" s="17">
        <v>0.15989999999999999</v>
      </c>
      <c r="E176" s="11">
        <f t="shared" si="6"/>
        <v>0.15689999999999998</v>
      </c>
      <c r="F176" s="11">
        <f t="shared" si="7"/>
        <v>0.2499468805475113</v>
      </c>
      <c r="G176" s="13">
        <f t="shared" si="8"/>
        <v>-1.2379468805475113</v>
      </c>
    </row>
    <row r="177" spans="1:7" x14ac:dyDescent="0.25">
      <c r="A177" s="15" t="s">
        <v>34</v>
      </c>
      <c r="B177" s="16">
        <v>40807</v>
      </c>
      <c r="C177" s="17">
        <v>2.1053000000000002</v>
      </c>
      <c r="D177" s="17">
        <v>0.5726</v>
      </c>
      <c r="E177" s="11">
        <f t="shared" si="6"/>
        <v>0.5696</v>
      </c>
      <c r="F177" s="11">
        <f t="shared" si="7"/>
        <v>0.70853466731646331</v>
      </c>
      <c r="G177" s="13">
        <f t="shared" si="8"/>
        <v>1.396765332683537</v>
      </c>
    </row>
    <row r="178" spans="1:7" x14ac:dyDescent="0.25">
      <c r="A178" s="15" t="s">
        <v>34</v>
      </c>
      <c r="B178" s="16">
        <v>40808</v>
      </c>
      <c r="C178" s="17">
        <v>-4.2560000000000002</v>
      </c>
      <c r="D178" s="17">
        <v>-3.1048</v>
      </c>
      <c r="E178" s="11">
        <f t="shared" si="6"/>
        <v>-3.1078000000000001</v>
      </c>
      <c r="F178" s="11">
        <f t="shared" si="7"/>
        <v>-3.3777525317728125</v>
      </c>
      <c r="G178" s="13">
        <f t="shared" si="8"/>
        <v>-0.87824746822718769</v>
      </c>
    </row>
    <row r="179" spans="1:7" x14ac:dyDescent="0.25">
      <c r="A179" s="15" t="s">
        <v>34</v>
      </c>
      <c r="B179" s="16">
        <v>40809</v>
      </c>
      <c r="C179" s="17">
        <v>-2.1979000000000002</v>
      </c>
      <c r="D179" s="17">
        <v>-3.6135999999999999</v>
      </c>
      <c r="E179" s="11">
        <f t="shared" si="6"/>
        <v>-3.6166</v>
      </c>
      <c r="F179" s="11">
        <f t="shared" si="7"/>
        <v>-3.9431256015766474</v>
      </c>
      <c r="G179" s="13">
        <f t="shared" si="8"/>
        <v>1.7452256015766472</v>
      </c>
    </row>
    <row r="180" spans="1:7" x14ac:dyDescent="0.25">
      <c r="A180" s="15" t="s">
        <v>34</v>
      </c>
      <c r="B180" s="16">
        <v>40812</v>
      </c>
      <c r="C180" s="17">
        <v>-0.44540000000000002</v>
      </c>
      <c r="D180" s="17">
        <v>-2.4291</v>
      </c>
      <c r="E180" s="11">
        <f t="shared" si="6"/>
        <v>-2.4321000000000002</v>
      </c>
      <c r="F180" s="11">
        <f t="shared" si="7"/>
        <v>-2.6269219829000701</v>
      </c>
      <c r="G180" s="13">
        <f t="shared" si="8"/>
        <v>2.1815219829000698</v>
      </c>
    </row>
    <row r="181" spans="1:7" x14ac:dyDescent="0.25">
      <c r="A181" s="15" t="s">
        <v>34</v>
      </c>
      <c r="B181" s="16">
        <v>40813</v>
      </c>
      <c r="C181" s="17">
        <v>3.9392</v>
      </c>
      <c r="D181" s="17">
        <v>3.0478000000000001</v>
      </c>
      <c r="E181" s="11">
        <f t="shared" si="6"/>
        <v>3.0448</v>
      </c>
      <c r="F181" s="11">
        <f t="shared" si="7"/>
        <v>3.4589501987206552</v>
      </c>
      <c r="G181" s="13">
        <f t="shared" si="8"/>
        <v>0.4802498012793448</v>
      </c>
    </row>
    <row r="182" spans="1:7" x14ac:dyDescent="0.25">
      <c r="A182" s="15" t="s">
        <v>34</v>
      </c>
      <c r="B182" s="16">
        <v>40814</v>
      </c>
      <c r="C182" s="17">
        <v>0.5706</v>
      </c>
      <c r="D182" s="17">
        <v>0.80120000000000002</v>
      </c>
      <c r="E182" s="11">
        <f t="shared" si="6"/>
        <v>0.79820000000000002</v>
      </c>
      <c r="F182" s="11">
        <f t="shared" si="7"/>
        <v>0.96255252061276197</v>
      </c>
      <c r="G182" s="13">
        <f t="shared" si="8"/>
        <v>-0.39195252061276198</v>
      </c>
    </row>
    <row r="183" spans="1:7" x14ac:dyDescent="0.25">
      <c r="A183" s="15" t="s">
        <v>34</v>
      </c>
      <c r="B183" s="16">
        <v>40815</v>
      </c>
      <c r="C183" s="17">
        <v>0</v>
      </c>
      <c r="D183" s="17">
        <v>0.49730000000000002</v>
      </c>
      <c r="E183" s="11">
        <f t="shared" si="6"/>
        <v>0.49430000000000002</v>
      </c>
      <c r="F183" s="11">
        <f t="shared" si="7"/>
        <v>0.62486211983959861</v>
      </c>
      <c r="G183" s="13">
        <f t="shared" si="8"/>
        <v>-0.62486211983959861</v>
      </c>
    </row>
    <row r="184" spans="1:7" x14ac:dyDescent="0.25">
      <c r="A184" s="15" t="s">
        <v>34</v>
      </c>
      <c r="B184" s="16">
        <v>40816</v>
      </c>
      <c r="C184" s="17">
        <v>-0.42770000000000002</v>
      </c>
      <c r="D184" s="17">
        <v>0.59370000000000001</v>
      </c>
      <c r="E184" s="11">
        <f t="shared" si="6"/>
        <v>0.5907</v>
      </c>
      <c r="F184" s="11">
        <f t="shared" si="7"/>
        <v>0.73198075963733777</v>
      </c>
      <c r="G184" s="13">
        <f t="shared" si="8"/>
        <v>-1.1596807596373377</v>
      </c>
    </row>
    <row r="185" spans="1:7" x14ac:dyDescent="0.25">
      <c r="A185" s="15" t="s">
        <v>34</v>
      </c>
      <c r="B185" s="16">
        <v>40819</v>
      </c>
      <c r="C185" s="17">
        <v>-2.0203000000000002</v>
      </c>
      <c r="D185" s="17">
        <v>-2.9695999999999998</v>
      </c>
      <c r="E185" s="11">
        <f t="shared" si="6"/>
        <v>-2.9725999999999999</v>
      </c>
      <c r="F185" s="11">
        <f t="shared" si="7"/>
        <v>-3.2275197506456927</v>
      </c>
      <c r="G185" s="13">
        <f t="shared" si="8"/>
        <v>1.2072197506456925</v>
      </c>
    </row>
    <row r="186" spans="1:7" x14ac:dyDescent="0.25">
      <c r="A186" s="15" t="s">
        <v>34</v>
      </c>
      <c r="B186" s="16">
        <v>40820</v>
      </c>
      <c r="C186" s="17">
        <v>0.72619999999999996</v>
      </c>
      <c r="D186" s="17">
        <v>0.48220000000000002</v>
      </c>
      <c r="E186" s="11">
        <f t="shared" si="6"/>
        <v>0.47920000000000001</v>
      </c>
      <c r="F186" s="11">
        <f t="shared" si="7"/>
        <v>0.60808316277584484</v>
      </c>
      <c r="G186" s="13">
        <f t="shared" si="8"/>
        <v>0.11811683722415511</v>
      </c>
    </row>
    <row r="187" spans="1:7" x14ac:dyDescent="0.25">
      <c r="A187" s="15" t="s">
        <v>34</v>
      </c>
      <c r="B187" s="16">
        <v>40821</v>
      </c>
      <c r="C187" s="17">
        <v>0</v>
      </c>
      <c r="D187" s="17">
        <v>-0.83660000000000001</v>
      </c>
      <c r="E187" s="11">
        <f t="shared" si="6"/>
        <v>-0.83960000000000001</v>
      </c>
      <c r="F187" s="11">
        <f t="shared" si="7"/>
        <v>-0.85735316673928463</v>
      </c>
      <c r="G187" s="13">
        <f t="shared" si="8"/>
        <v>0.85735316673928463</v>
      </c>
    </row>
    <row r="188" spans="1:7" x14ac:dyDescent="0.25">
      <c r="A188" s="15" t="s">
        <v>34</v>
      </c>
      <c r="B188" s="16">
        <v>40822</v>
      </c>
      <c r="C188" s="17">
        <v>-0.14480000000000001</v>
      </c>
      <c r="D188" s="17">
        <v>2.0232999999999999</v>
      </c>
      <c r="E188" s="11">
        <f t="shared" si="6"/>
        <v>2.0202999999999998</v>
      </c>
      <c r="F188" s="11">
        <f t="shared" si="7"/>
        <v>2.3205368535672957</v>
      </c>
      <c r="G188" s="13">
        <f t="shared" si="8"/>
        <v>-2.4653368535672957</v>
      </c>
    </row>
    <row r="189" spans="1:7" x14ac:dyDescent="0.25">
      <c r="A189" s="15" t="s">
        <v>34</v>
      </c>
      <c r="B189" s="16">
        <v>40823</v>
      </c>
      <c r="C189" s="17">
        <v>0.14480000000000001</v>
      </c>
      <c r="D189" s="17">
        <v>1.1149</v>
      </c>
      <c r="E189" s="11">
        <f t="shared" si="6"/>
        <v>1.1119000000000001</v>
      </c>
      <c r="F189" s="11">
        <f t="shared" si="7"/>
        <v>1.3111325756392225</v>
      </c>
      <c r="G189" s="13">
        <f t="shared" si="8"/>
        <v>-1.1663325756392224</v>
      </c>
    </row>
    <row r="190" spans="1:7" x14ac:dyDescent="0.25">
      <c r="A190" s="15" t="s">
        <v>34</v>
      </c>
      <c r="B190" s="16">
        <v>40827</v>
      </c>
      <c r="C190" s="17">
        <v>1.2941</v>
      </c>
      <c r="D190" s="17">
        <v>2.5565000000000002</v>
      </c>
      <c r="E190" s="11">
        <f t="shared" si="6"/>
        <v>2.5535000000000001</v>
      </c>
      <c r="F190" s="11">
        <f t="shared" si="7"/>
        <v>2.9130229400834224</v>
      </c>
      <c r="G190" s="13">
        <f t="shared" si="8"/>
        <v>-1.6189229400834224</v>
      </c>
    </row>
    <row r="191" spans="1:7" x14ac:dyDescent="0.25">
      <c r="A191" s="15" t="s">
        <v>34</v>
      </c>
      <c r="B191" s="16">
        <v>40828</v>
      </c>
      <c r="C191" s="17">
        <v>0.56979999999999997</v>
      </c>
      <c r="D191" s="17">
        <v>-0.22140000000000001</v>
      </c>
      <c r="E191" s="11">
        <f t="shared" si="6"/>
        <v>-0.22440000000000002</v>
      </c>
      <c r="F191" s="11">
        <f t="shared" si="7"/>
        <v>-0.17374956504250905</v>
      </c>
      <c r="G191" s="13">
        <f t="shared" si="8"/>
        <v>0.74354956504250902</v>
      </c>
    </row>
    <row r="192" spans="1:7" x14ac:dyDescent="0.25">
      <c r="A192" s="15" t="s">
        <v>34</v>
      </c>
      <c r="B192" s="16">
        <v>40829</v>
      </c>
      <c r="C192" s="17">
        <v>0</v>
      </c>
      <c r="D192" s="17">
        <v>0.62090000000000001</v>
      </c>
      <c r="E192" s="11">
        <f t="shared" si="6"/>
        <v>0.6179</v>
      </c>
      <c r="F192" s="11">
        <f t="shared" si="7"/>
        <v>0.762205106136285</v>
      </c>
      <c r="G192" s="13">
        <f t="shared" si="8"/>
        <v>-0.762205106136285</v>
      </c>
    </row>
    <row r="193" spans="1:7" x14ac:dyDescent="0.25">
      <c r="A193" s="15" t="s">
        <v>34</v>
      </c>
      <c r="B193" s="16">
        <v>40830</v>
      </c>
      <c r="C193" s="17">
        <v>-0.1421</v>
      </c>
      <c r="D193" s="17">
        <v>-0.95020000000000004</v>
      </c>
      <c r="E193" s="11">
        <f t="shared" si="6"/>
        <v>-0.95320000000000005</v>
      </c>
      <c r="F193" s="11">
        <f t="shared" si="7"/>
        <v>-0.98358426094076989</v>
      </c>
      <c r="G193" s="13">
        <f t="shared" si="8"/>
        <v>0.84148426094076989</v>
      </c>
    </row>
    <row r="194" spans="1:7" x14ac:dyDescent="0.25">
      <c r="A194" s="15" t="s">
        <v>34</v>
      </c>
      <c r="B194" s="16">
        <v>40833</v>
      </c>
      <c r="C194" s="17">
        <v>1.1315999999999999</v>
      </c>
      <c r="D194" s="17">
        <v>1.3907</v>
      </c>
      <c r="E194" s="11">
        <f t="shared" si="6"/>
        <v>1.3877000000000002</v>
      </c>
      <c r="F194" s="11">
        <f t="shared" si="7"/>
        <v>1.6175985596248708</v>
      </c>
      <c r="G194" s="13">
        <f t="shared" si="8"/>
        <v>-0.48599855962487082</v>
      </c>
    </row>
    <row r="195" spans="1:7" x14ac:dyDescent="0.25">
      <c r="A195" s="15" t="s">
        <v>34</v>
      </c>
      <c r="B195" s="16">
        <v>40834</v>
      </c>
      <c r="C195" s="17">
        <v>-0.56420000000000003</v>
      </c>
      <c r="D195" s="17">
        <v>-1.3715999999999999</v>
      </c>
      <c r="E195" s="11">
        <f t="shared" ref="E195:E258" si="9">D195-$K$1</f>
        <v>-1.3745999999999998</v>
      </c>
      <c r="F195" s="11">
        <f t="shared" ref="F195:F258" si="10">K$2+K$3*E195</f>
        <v>-1.4518393938325467</v>
      </c>
      <c r="G195" s="13">
        <f t="shared" ref="G195:G258" si="11">C195-F195</f>
        <v>0.88763939383254664</v>
      </c>
    </row>
    <row r="196" spans="1:7" x14ac:dyDescent="0.25">
      <c r="A196" s="15" t="s">
        <v>34</v>
      </c>
      <c r="B196" s="16">
        <v>40835</v>
      </c>
      <c r="C196" s="17">
        <v>0.56420000000000003</v>
      </c>
      <c r="D196" s="17">
        <v>-8.3099999999999993E-2</v>
      </c>
      <c r="E196" s="11">
        <f t="shared" si="9"/>
        <v>-8.6099999999999996E-2</v>
      </c>
      <c r="F196" s="11">
        <f t="shared" si="10"/>
        <v>-2.0072097365876923E-2</v>
      </c>
      <c r="G196" s="13">
        <f t="shared" si="11"/>
        <v>0.58427209736587693</v>
      </c>
    </row>
    <row r="197" spans="1:7" x14ac:dyDescent="0.25">
      <c r="A197" s="15" t="s">
        <v>34</v>
      </c>
      <c r="B197" s="16">
        <v>40836</v>
      </c>
      <c r="C197" s="17">
        <v>-1.9886999999999999</v>
      </c>
      <c r="D197" s="17">
        <v>-1.4941</v>
      </c>
      <c r="E197" s="11">
        <f t="shared" si="9"/>
        <v>-1.4970999999999999</v>
      </c>
      <c r="F197" s="11">
        <f t="shared" si="10"/>
        <v>-1.587960071998761</v>
      </c>
      <c r="G197" s="13">
        <f t="shared" si="11"/>
        <v>-0.40073992800123892</v>
      </c>
    </row>
    <row r="198" spans="1:7" x14ac:dyDescent="0.25">
      <c r="A198" s="15" t="s">
        <v>34</v>
      </c>
      <c r="B198" s="16">
        <v>40837</v>
      </c>
      <c r="C198" s="17">
        <v>0.85709999999999997</v>
      </c>
      <c r="D198" s="17">
        <v>0.1406</v>
      </c>
      <c r="E198" s="11">
        <f t="shared" si="9"/>
        <v>0.1376</v>
      </c>
      <c r="F198" s="11">
        <f t="shared" si="10"/>
        <v>0.2285009288037731</v>
      </c>
      <c r="G198" s="13">
        <f t="shared" si="11"/>
        <v>0.62859907119622682</v>
      </c>
    </row>
    <row r="199" spans="1:7" x14ac:dyDescent="0.25">
      <c r="A199" s="15" t="s">
        <v>34</v>
      </c>
      <c r="B199" s="16">
        <v>40840</v>
      </c>
      <c r="C199" s="17">
        <v>1.9719</v>
      </c>
      <c r="D199" s="17">
        <v>2.9312</v>
      </c>
      <c r="E199" s="11">
        <f t="shared" si="9"/>
        <v>2.9281999999999999</v>
      </c>
      <c r="F199" s="11">
        <f t="shared" si="10"/>
        <v>3.3293855368906096</v>
      </c>
      <c r="G199" s="13">
        <f t="shared" si="11"/>
        <v>-1.3574855368906096</v>
      </c>
    </row>
    <row r="200" spans="1:7" x14ac:dyDescent="0.25">
      <c r="A200" s="15" t="s">
        <v>34</v>
      </c>
      <c r="B200" s="16">
        <v>40841</v>
      </c>
      <c r="C200" s="17">
        <v>-0.27929999999999999</v>
      </c>
      <c r="D200" s="17">
        <v>0.27950000000000003</v>
      </c>
      <c r="E200" s="11">
        <f t="shared" si="9"/>
        <v>0.27650000000000002</v>
      </c>
      <c r="F200" s="11">
        <f t="shared" si="10"/>
        <v>0.38284511000611726</v>
      </c>
      <c r="G200" s="13">
        <f t="shared" si="11"/>
        <v>-0.66214511000611731</v>
      </c>
    </row>
    <row r="201" spans="1:7" x14ac:dyDescent="0.25">
      <c r="A201" s="15" t="s">
        <v>34</v>
      </c>
      <c r="B201" s="16">
        <v>40842</v>
      </c>
      <c r="C201" s="17">
        <v>0.55789999999999995</v>
      </c>
      <c r="D201" s="17">
        <v>0.59370000000000001</v>
      </c>
      <c r="E201" s="11">
        <f t="shared" si="9"/>
        <v>0.5907</v>
      </c>
      <c r="F201" s="11">
        <f t="shared" si="10"/>
        <v>0.73198075963733777</v>
      </c>
      <c r="G201" s="13">
        <f t="shared" si="11"/>
        <v>-0.17408075963733782</v>
      </c>
    </row>
    <row r="202" spans="1:7" x14ac:dyDescent="0.25">
      <c r="A202" s="15" t="s">
        <v>34</v>
      </c>
      <c r="B202" s="16">
        <v>40843</v>
      </c>
      <c r="C202" s="17">
        <v>0</v>
      </c>
      <c r="D202" s="17">
        <v>0.38919999999999999</v>
      </c>
      <c r="E202" s="11">
        <f t="shared" si="9"/>
        <v>0.38619999999999999</v>
      </c>
      <c r="F202" s="11">
        <f t="shared" si="10"/>
        <v>0.50474256629047398</v>
      </c>
      <c r="G202" s="13">
        <f t="shared" si="11"/>
        <v>-0.50474256629047398</v>
      </c>
    </row>
    <row r="203" spans="1:7" x14ac:dyDescent="0.25">
      <c r="A203" s="15" t="s">
        <v>34</v>
      </c>
      <c r="B203" s="16">
        <v>40844</v>
      </c>
      <c r="C203" s="17">
        <v>1.6552</v>
      </c>
      <c r="D203" s="17">
        <v>0.66990000000000005</v>
      </c>
      <c r="E203" s="11">
        <f t="shared" si="9"/>
        <v>0.66690000000000005</v>
      </c>
      <c r="F203" s="11">
        <f t="shared" si="10"/>
        <v>0.81665337740277077</v>
      </c>
      <c r="G203" s="13">
        <f t="shared" si="11"/>
        <v>0.83854662259722923</v>
      </c>
    </row>
    <row r="204" spans="1:7" x14ac:dyDescent="0.25">
      <c r="A204" s="15" t="s">
        <v>34</v>
      </c>
      <c r="B204" s="16">
        <v>40847</v>
      </c>
      <c r="C204" s="17">
        <v>0.68169999999999997</v>
      </c>
      <c r="D204" s="17">
        <v>-0.37319999999999998</v>
      </c>
      <c r="E204" s="11">
        <f t="shared" si="9"/>
        <v>-0.37619999999999998</v>
      </c>
      <c r="F204" s="11">
        <f t="shared" si="10"/>
        <v>-0.3424280870476627</v>
      </c>
      <c r="G204" s="13">
        <f t="shared" si="11"/>
        <v>1.0241280870476626</v>
      </c>
    </row>
    <row r="205" spans="1:7" x14ac:dyDescent="0.25">
      <c r="A205" s="15" t="s">
        <v>34</v>
      </c>
      <c r="B205" s="16">
        <v>40848</v>
      </c>
      <c r="C205" s="17">
        <v>0.27139999999999997</v>
      </c>
      <c r="D205" s="17">
        <v>0.45129999999999998</v>
      </c>
      <c r="E205" s="11">
        <f t="shared" si="9"/>
        <v>0.44829999999999998</v>
      </c>
      <c r="F205" s="11">
        <f t="shared" si="10"/>
        <v>0.57374741620167324</v>
      </c>
      <c r="G205" s="13">
        <f t="shared" si="11"/>
        <v>-0.30234741620167327</v>
      </c>
    </row>
    <row r="206" spans="1:7" x14ac:dyDescent="0.25">
      <c r="A206" s="15" t="s">
        <v>34</v>
      </c>
      <c r="B206" s="16">
        <v>40849</v>
      </c>
      <c r="C206" s="17">
        <v>0.13539999999999999</v>
      </c>
      <c r="D206" s="17">
        <v>-0.30959999999999999</v>
      </c>
      <c r="E206" s="11">
        <f t="shared" si="9"/>
        <v>-0.31259999999999999</v>
      </c>
      <c r="F206" s="11">
        <f t="shared" si="10"/>
        <v>-0.27175645332218329</v>
      </c>
      <c r="G206" s="13">
        <f t="shared" si="11"/>
        <v>0.40715645332218331</v>
      </c>
    </row>
    <row r="207" spans="1:7" x14ac:dyDescent="0.25">
      <c r="A207" s="15" t="s">
        <v>34</v>
      </c>
      <c r="B207" s="16">
        <v>40850</v>
      </c>
      <c r="C207" s="17">
        <v>-0.54269999999999996</v>
      </c>
      <c r="D207" s="17">
        <v>-1.8347</v>
      </c>
      <c r="E207" s="11">
        <f t="shared" si="9"/>
        <v>-1.8376999999999999</v>
      </c>
      <c r="F207" s="11">
        <f t="shared" si="10"/>
        <v>-1.9664311167613127</v>
      </c>
      <c r="G207" s="13">
        <f t="shared" si="11"/>
        <v>1.4237311167613127</v>
      </c>
    </row>
    <row r="208" spans="1:7" x14ac:dyDescent="0.25">
      <c r="A208" s="15" t="s">
        <v>34</v>
      </c>
      <c r="B208" s="16">
        <v>40851</v>
      </c>
      <c r="C208" s="17">
        <v>1.4855</v>
      </c>
      <c r="D208" s="17">
        <v>1.8976</v>
      </c>
      <c r="E208" s="11">
        <f t="shared" si="9"/>
        <v>1.8946000000000001</v>
      </c>
      <c r="F208" s="11">
        <f t="shared" si="10"/>
        <v>2.1808603699306177</v>
      </c>
      <c r="G208" s="13">
        <f t="shared" si="11"/>
        <v>-0.69536036993061767</v>
      </c>
    </row>
    <row r="209" spans="1:7" x14ac:dyDescent="0.25">
      <c r="A209" s="15" t="s">
        <v>34</v>
      </c>
      <c r="B209" s="16">
        <v>40854</v>
      </c>
      <c r="C209" s="17">
        <v>0.53480000000000005</v>
      </c>
      <c r="D209" s="17">
        <v>0.2429</v>
      </c>
      <c r="E209" s="11">
        <f t="shared" si="9"/>
        <v>0.2399</v>
      </c>
      <c r="F209" s="11">
        <f t="shared" si="10"/>
        <v>0.34217558493768097</v>
      </c>
      <c r="G209" s="13">
        <f t="shared" si="11"/>
        <v>0.19262441506231909</v>
      </c>
    </row>
    <row r="210" spans="1:7" x14ac:dyDescent="0.25">
      <c r="A210" s="15" t="s">
        <v>34</v>
      </c>
      <c r="B210" s="16">
        <v>40855</v>
      </c>
      <c r="C210" s="17">
        <v>-0.66890000000000005</v>
      </c>
      <c r="D210" s="17">
        <v>-0.27500000000000002</v>
      </c>
      <c r="E210" s="11">
        <f t="shared" si="9"/>
        <v>-0.27800000000000002</v>
      </c>
      <c r="F210" s="11">
        <f t="shared" si="10"/>
        <v>-0.23330930667278732</v>
      </c>
      <c r="G210" s="13">
        <f t="shared" si="11"/>
        <v>-0.43559069332721273</v>
      </c>
    </row>
    <row r="211" spans="1:7" x14ac:dyDescent="0.25">
      <c r="A211" s="15" t="s">
        <v>34</v>
      </c>
      <c r="B211" s="16">
        <v>40856</v>
      </c>
      <c r="C211" s="17">
        <v>-0.53839999999999999</v>
      </c>
      <c r="D211" s="17">
        <v>-0.51349999999999996</v>
      </c>
      <c r="E211" s="11">
        <f t="shared" si="9"/>
        <v>-0.51649999999999996</v>
      </c>
      <c r="F211" s="11">
        <f t="shared" si="10"/>
        <v>-0.49832793314333501</v>
      </c>
      <c r="G211" s="13">
        <f t="shared" si="11"/>
        <v>-4.0072066856664978E-2</v>
      </c>
    </row>
    <row r="212" spans="1:7" x14ac:dyDescent="0.25">
      <c r="A212" s="15" t="s">
        <v>34</v>
      </c>
      <c r="B212" s="16">
        <v>40857</v>
      </c>
      <c r="C212" s="17">
        <v>-2.0451000000000001</v>
      </c>
      <c r="D212" s="17">
        <v>-3.4055</v>
      </c>
      <c r="E212" s="11">
        <f t="shared" si="9"/>
        <v>-3.4085000000000001</v>
      </c>
      <c r="F212" s="11">
        <f t="shared" si="10"/>
        <v>-3.7118871270755114</v>
      </c>
      <c r="G212" s="13">
        <f t="shared" si="11"/>
        <v>1.6667871270755112</v>
      </c>
    </row>
    <row r="213" spans="1:7" x14ac:dyDescent="0.25">
      <c r="A213" s="15" t="s">
        <v>34</v>
      </c>
      <c r="B213" s="16">
        <v>40858</v>
      </c>
      <c r="C213" s="17">
        <v>1.0959000000000001</v>
      </c>
      <c r="D213" s="17">
        <v>0.79869999999999997</v>
      </c>
      <c r="E213" s="11">
        <f t="shared" si="9"/>
        <v>0.79569999999999996</v>
      </c>
      <c r="F213" s="11">
        <f t="shared" si="10"/>
        <v>0.95977454758896164</v>
      </c>
      <c r="G213" s="13">
        <f t="shared" si="11"/>
        <v>0.13612545241103846</v>
      </c>
    </row>
    <row r="214" spans="1:7" x14ac:dyDescent="0.25">
      <c r="A214" s="15" t="s">
        <v>34</v>
      </c>
      <c r="B214" s="16">
        <v>40861</v>
      </c>
      <c r="C214" s="17">
        <v>3.3492999999999999</v>
      </c>
      <c r="D214" s="17">
        <v>2.1267</v>
      </c>
      <c r="E214" s="11">
        <f t="shared" si="9"/>
        <v>2.1236999999999999</v>
      </c>
      <c r="F214" s="11">
        <f t="shared" si="10"/>
        <v>2.4354338178316759</v>
      </c>
      <c r="G214" s="13">
        <f t="shared" si="11"/>
        <v>0.91386618216832405</v>
      </c>
    </row>
    <row r="215" spans="1:7" x14ac:dyDescent="0.25">
      <c r="A215" s="15" t="s">
        <v>34</v>
      </c>
      <c r="B215" s="16">
        <v>40862</v>
      </c>
      <c r="C215" s="17">
        <v>0.13170000000000001</v>
      </c>
      <c r="D215" s="17">
        <v>-0.4607</v>
      </c>
      <c r="E215" s="11">
        <f t="shared" si="9"/>
        <v>-0.4637</v>
      </c>
      <c r="F215" s="11">
        <f t="shared" si="10"/>
        <v>-0.43965714288067292</v>
      </c>
      <c r="G215" s="13">
        <f t="shared" si="11"/>
        <v>0.57135714288067296</v>
      </c>
    </row>
    <row r="216" spans="1:7" x14ac:dyDescent="0.25">
      <c r="A216" s="15" t="s">
        <v>34</v>
      </c>
      <c r="B216" s="16">
        <v>40863</v>
      </c>
      <c r="C216" s="17">
        <v>-0.79259999999999997</v>
      </c>
      <c r="D216" s="17">
        <v>-1.3917999999999999</v>
      </c>
      <c r="E216" s="11">
        <f t="shared" si="9"/>
        <v>-1.3947999999999998</v>
      </c>
      <c r="F216" s="11">
        <f t="shared" si="10"/>
        <v>-1.4742854158648531</v>
      </c>
      <c r="G216" s="13">
        <f t="shared" si="11"/>
        <v>0.68168541586485309</v>
      </c>
    </row>
    <row r="217" spans="1:7" x14ac:dyDescent="0.25">
      <c r="A217" s="15" t="s">
        <v>34</v>
      </c>
      <c r="B217" s="16">
        <v>40864</v>
      </c>
      <c r="C217" s="17">
        <v>0.39710000000000001</v>
      </c>
      <c r="D217" s="17">
        <v>3.8999999999999998E-3</v>
      </c>
      <c r="E217" s="11">
        <f t="shared" si="9"/>
        <v>8.9999999999999976E-4</v>
      </c>
      <c r="F217" s="11">
        <f t="shared" si="10"/>
        <v>7.6601363862373192E-2</v>
      </c>
      <c r="G217" s="13">
        <f t="shared" si="11"/>
        <v>0.3204986361376268</v>
      </c>
    </row>
    <row r="218" spans="1:7" x14ac:dyDescent="0.25">
      <c r="A218" s="15" t="s">
        <v>34</v>
      </c>
      <c r="B218" s="16">
        <v>40865</v>
      </c>
      <c r="C218" s="17">
        <v>-2.0013999999999998</v>
      </c>
      <c r="D218" s="17">
        <v>-2.1070000000000002</v>
      </c>
      <c r="E218" s="11">
        <f t="shared" si="9"/>
        <v>-2.1100000000000003</v>
      </c>
      <c r="F218" s="11">
        <f t="shared" si="10"/>
        <v>-2.2690079385136408</v>
      </c>
      <c r="G218" s="13">
        <f t="shared" si="11"/>
        <v>0.26760793851364095</v>
      </c>
    </row>
    <row r="219" spans="1:7" x14ac:dyDescent="0.25">
      <c r="A219" s="15" t="s">
        <v>34</v>
      </c>
      <c r="B219" s="16">
        <v>40868</v>
      </c>
      <c r="C219" s="17">
        <v>-1.2203999999999999</v>
      </c>
      <c r="D219" s="17">
        <v>-2.6779000000000002</v>
      </c>
      <c r="E219" s="11">
        <f t="shared" si="9"/>
        <v>-2.6809000000000003</v>
      </c>
      <c r="F219" s="11">
        <f t="shared" si="10"/>
        <v>-2.9033858582286753</v>
      </c>
      <c r="G219" s="13">
        <f t="shared" si="11"/>
        <v>1.6829858582286754</v>
      </c>
    </row>
    <row r="220" spans="1:7" x14ac:dyDescent="0.25">
      <c r="A220" s="15" t="s">
        <v>34</v>
      </c>
      <c r="B220" s="16">
        <v>40869</v>
      </c>
      <c r="C220" s="17">
        <v>0.95040000000000002</v>
      </c>
      <c r="D220" s="17">
        <v>-0.6069</v>
      </c>
      <c r="E220" s="11">
        <f t="shared" si="9"/>
        <v>-0.6099</v>
      </c>
      <c r="F220" s="11">
        <f t="shared" si="10"/>
        <v>-0.60211300531251388</v>
      </c>
      <c r="G220" s="13">
        <f t="shared" si="11"/>
        <v>1.5525130053125138</v>
      </c>
    </row>
    <row r="221" spans="1:7" x14ac:dyDescent="0.25">
      <c r="A221" s="15" t="s">
        <v>34</v>
      </c>
      <c r="B221" s="16">
        <v>40870</v>
      </c>
      <c r="C221" s="17">
        <v>-0.81410000000000005</v>
      </c>
      <c r="D221" s="17">
        <v>-2.8047</v>
      </c>
      <c r="E221" s="11">
        <f t="shared" si="9"/>
        <v>-2.8077000000000001</v>
      </c>
      <c r="F221" s="11">
        <f t="shared" si="10"/>
        <v>-3.0442846499958258</v>
      </c>
      <c r="G221" s="13">
        <f t="shared" si="11"/>
        <v>2.2301846499958256</v>
      </c>
    </row>
    <row r="222" spans="1:7" x14ac:dyDescent="0.25">
      <c r="A222" s="15" t="s">
        <v>34</v>
      </c>
      <c r="B222" s="16">
        <v>40871</v>
      </c>
      <c r="C222" s="17">
        <v>-0.82079999999999997</v>
      </c>
      <c r="D222" s="17">
        <v>0.84789999999999999</v>
      </c>
      <c r="E222" s="11">
        <f t="shared" si="9"/>
        <v>0.84489999999999998</v>
      </c>
      <c r="F222" s="11">
        <f t="shared" si="10"/>
        <v>1.0144450566973515</v>
      </c>
      <c r="G222" s="13">
        <f t="shared" si="11"/>
        <v>-1.8352450566973515</v>
      </c>
    </row>
    <row r="223" spans="1:7" x14ac:dyDescent="0.25">
      <c r="A223" s="15" t="s">
        <v>34</v>
      </c>
      <c r="B223" s="16">
        <v>40872</v>
      </c>
      <c r="C223" s="17">
        <v>-1.6620999999999999</v>
      </c>
      <c r="D223" s="17">
        <v>-1.1704000000000001</v>
      </c>
      <c r="E223" s="11">
        <f t="shared" si="9"/>
        <v>-1.1734</v>
      </c>
      <c r="F223" s="11">
        <f t="shared" si="10"/>
        <v>-1.2282681248770995</v>
      </c>
      <c r="G223" s="13">
        <f t="shared" si="11"/>
        <v>-0.43383187512290045</v>
      </c>
    </row>
    <row r="224" spans="1:7" x14ac:dyDescent="0.25">
      <c r="A224" s="15" t="s">
        <v>34</v>
      </c>
      <c r="B224" s="16">
        <v>40875</v>
      </c>
      <c r="C224" s="17">
        <v>2.7549999999999999</v>
      </c>
      <c r="D224" s="17">
        <v>1.6700999999999999</v>
      </c>
      <c r="E224" s="11">
        <f t="shared" si="9"/>
        <v>1.6671</v>
      </c>
      <c r="F224" s="11">
        <f t="shared" si="10"/>
        <v>1.9280648247647911</v>
      </c>
      <c r="G224" s="13">
        <f t="shared" si="11"/>
        <v>0.82693517523520876</v>
      </c>
    </row>
    <row r="225" spans="1:7" x14ac:dyDescent="0.25">
      <c r="A225" s="15" t="s">
        <v>34</v>
      </c>
      <c r="B225" s="16">
        <v>40876</v>
      </c>
      <c r="C225" s="17">
        <v>0</v>
      </c>
      <c r="D225" s="17">
        <v>1.2943</v>
      </c>
      <c r="E225" s="11">
        <f t="shared" si="9"/>
        <v>1.2913000000000001</v>
      </c>
      <c r="F225" s="11">
        <f t="shared" si="10"/>
        <v>1.5104799198271315</v>
      </c>
      <c r="G225" s="13">
        <f t="shared" si="11"/>
        <v>-1.5104799198271315</v>
      </c>
    </row>
    <row r="226" spans="1:7" x14ac:dyDescent="0.25">
      <c r="A226" s="15" t="s">
        <v>34</v>
      </c>
      <c r="B226" s="16">
        <v>40877</v>
      </c>
      <c r="C226" s="17">
        <v>1.3494999999999999</v>
      </c>
      <c r="D226" s="17">
        <v>-1.2169000000000001</v>
      </c>
      <c r="E226" s="11">
        <f t="shared" si="9"/>
        <v>-1.2199</v>
      </c>
      <c r="F226" s="11">
        <f t="shared" si="10"/>
        <v>-1.2799384231197848</v>
      </c>
      <c r="G226" s="13">
        <f t="shared" si="11"/>
        <v>2.6294384231197849</v>
      </c>
    </row>
    <row r="227" spans="1:7" x14ac:dyDescent="0.25">
      <c r="A227" s="15" t="s">
        <v>34</v>
      </c>
      <c r="B227" s="16">
        <v>40878</v>
      </c>
      <c r="C227" s="17">
        <v>2.6457000000000002</v>
      </c>
      <c r="D227" s="17">
        <v>3.8999000000000001</v>
      </c>
      <c r="E227" s="11">
        <f t="shared" si="9"/>
        <v>3.8969</v>
      </c>
      <c r="F227" s="11">
        <f t="shared" si="10"/>
        <v>4.4057945241527463</v>
      </c>
      <c r="G227" s="13">
        <f t="shared" si="11"/>
        <v>-1.7600945241527461</v>
      </c>
    </row>
    <row r="228" spans="1:7" x14ac:dyDescent="0.25">
      <c r="A228" s="15" t="s">
        <v>34</v>
      </c>
      <c r="B228" s="16">
        <v>40879</v>
      </c>
      <c r="C228" s="17">
        <v>-0.78639999999999999</v>
      </c>
      <c r="D228" s="17">
        <v>-0.53090000000000004</v>
      </c>
      <c r="E228" s="11">
        <f t="shared" si="9"/>
        <v>-0.53390000000000004</v>
      </c>
      <c r="F228" s="11">
        <f t="shared" si="10"/>
        <v>-0.51766262538898511</v>
      </c>
      <c r="G228" s="13">
        <f t="shared" si="11"/>
        <v>-0.26873737461101488</v>
      </c>
    </row>
    <row r="229" spans="1:7" x14ac:dyDescent="0.25">
      <c r="A229" s="15" t="s">
        <v>34</v>
      </c>
      <c r="B229" s="16">
        <v>40882</v>
      </c>
      <c r="C229" s="17">
        <v>0.39400000000000002</v>
      </c>
      <c r="D229" s="17">
        <v>-0.59840000000000004</v>
      </c>
      <c r="E229" s="11">
        <f t="shared" si="9"/>
        <v>-0.60140000000000005</v>
      </c>
      <c r="F229" s="11">
        <f t="shared" si="10"/>
        <v>-0.59266789703159295</v>
      </c>
      <c r="G229" s="13">
        <f t="shared" si="11"/>
        <v>0.98666789703159297</v>
      </c>
    </row>
    <row r="230" spans="1:7" x14ac:dyDescent="0.25">
      <c r="A230" s="15" t="s">
        <v>34</v>
      </c>
      <c r="B230" s="16">
        <v>40883</v>
      </c>
      <c r="C230" s="17">
        <v>-1.1866000000000001</v>
      </c>
      <c r="D230" s="17">
        <v>-2.0179</v>
      </c>
      <c r="E230" s="11">
        <f t="shared" si="9"/>
        <v>-2.0209000000000001</v>
      </c>
      <c r="F230" s="11">
        <f t="shared" si="10"/>
        <v>-2.1700009799453981</v>
      </c>
      <c r="G230" s="13">
        <f t="shared" si="11"/>
        <v>0.98340097994539799</v>
      </c>
    </row>
    <row r="231" spans="1:7" x14ac:dyDescent="0.25">
      <c r="A231" s="15" t="s">
        <v>34</v>
      </c>
      <c r="B231" s="16">
        <v>40884</v>
      </c>
      <c r="C231" s="17">
        <v>1.3174999999999999</v>
      </c>
      <c r="D231" s="17">
        <v>1.0969</v>
      </c>
      <c r="E231" s="11">
        <f t="shared" si="9"/>
        <v>1.0939000000000001</v>
      </c>
      <c r="F231" s="11">
        <f t="shared" si="10"/>
        <v>1.2911311698678605</v>
      </c>
      <c r="G231" s="13">
        <f t="shared" si="11"/>
        <v>2.636883013213942E-2</v>
      </c>
    </row>
    <row r="232" spans="1:7" x14ac:dyDescent="0.25">
      <c r="A232" s="15" t="s">
        <v>34</v>
      </c>
      <c r="B232" s="16">
        <v>40885</v>
      </c>
      <c r="C232" s="17">
        <v>-0.13100000000000001</v>
      </c>
      <c r="D232" s="17">
        <v>-0.71489999999999998</v>
      </c>
      <c r="E232" s="11">
        <f t="shared" si="9"/>
        <v>-0.71789999999999998</v>
      </c>
      <c r="F232" s="11">
        <f t="shared" si="10"/>
        <v>-0.72212143994068645</v>
      </c>
      <c r="G232" s="13">
        <f t="shared" si="11"/>
        <v>0.59112143994068644</v>
      </c>
    </row>
    <row r="233" spans="1:7" x14ac:dyDescent="0.25">
      <c r="A233" s="15" t="s">
        <v>34</v>
      </c>
      <c r="B233" s="16">
        <v>40886</v>
      </c>
      <c r="C233" s="17">
        <v>-2.9257</v>
      </c>
      <c r="D233" s="17">
        <v>-1.2914000000000001</v>
      </c>
      <c r="E233" s="11">
        <f t="shared" si="9"/>
        <v>-1.2944</v>
      </c>
      <c r="F233" s="11">
        <f t="shared" si="10"/>
        <v>-1.3627220192290335</v>
      </c>
      <c r="G233" s="13">
        <f t="shared" si="11"/>
        <v>-1.5629779807709665</v>
      </c>
    </row>
    <row r="234" spans="1:7" x14ac:dyDescent="0.25">
      <c r="A234" s="15" t="s">
        <v>34</v>
      </c>
      <c r="B234" s="16">
        <v>40889</v>
      </c>
      <c r="C234" s="17">
        <v>1.2073</v>
      </c>
      <c r="D234" s="17">
        <v>0.8054</v>
      </c>
      <c r="E234" s="11">
        <f t="shared" si="9"/>
        <v>0.8024</v>
      </c>
      <c r="F234" s="11">
        <f t="shared" si="10"/>
        <v>0.96721951529274641</v>
      </c>
      <c r="G234" s="13">
        <f t="shared" si="11"/>
        <v>0.24008048470725363</v>
      </c>
    </row>
    <row r="235" spans="1:7" x14ac:dyDescent="0.25">
      <c r="A235" s="15" t="s">
        <v>34</v>
      </c>
      <c r="B235" s="16">
        <v>40890</v>
      </c>
      <c r="C235" s="17">
        <v>0.26629999999999998</v>
      </c>
      <c r="D235" s="17">
        <v>-0.76170000000000004</v>
      </c>
      <c r="E235" s="11">
        <f t="shared" si="9"/>
        <v>-0.76470000000000005</v>
      </c>
      <c r="F235" s="11">
        <f t="shared" si="10"/>
        <v>-0.77412509494622794</v>
      </c>
      <c r="G235" s="13">
        <f t="shared" si="11"/>
        <v>1.0404250949462279</v>
      </c>
    </row>
    <row r="236" spans="1:7" x14ac:dyDescent="0.25">
      <c r="A236" s="15" t="s">
        <v>34</v>
      </c>
      <c r="B236" s="16">
        <v>40891</v>
      </c>
      <c r="C236" s="17">
        <v>-0.93520000000000003</v>
      </c>
      <c r="D236" s="17">
        <v>0.38009999999999999</v>
      </c>
      <c r="E236" s="11">
        <f t="shared" si="9"/>
        <v>0.37709999999999999</v>
      </c>
      <c r="F236" s="11">
        <f t="shared" si="10"/>
        <v>0.49463074448384092</v>
      </c>
      <c r="G236" s="13">
        <f t="shared" si="11"/>
        <v>-1.429830744483841</v>
      </c>
    </row>
    <row r="237" spans="1:7" x14ac:dyDescent="0.25">
      <c r="A237" s="15" t="s">
        <v>34</v>
      </c>
      <c r="B237" s="16">
        <v>40892</v>
      </c>
      <c r="C237" s="17">
        <v>-2.7212999999999998</v>
      </c>
      <c r="D237" s="17">
        <v>-2.3085</v>
      </c>
      <c r="E237" s="11">
        <f t="shared" si="9"/>
        <v>-2.3115000000000001</v>
      </c>
      <c r="F237" s="11">
        <f t="shared" si="10"/>
        <v>-2.4929125642319439</v>
      </c>
      <c r="G237" s="13">
        <f t="shared" si="11"/>
        <v>-0.22838743576805598</v>
      </c>
    </row>
    <row r="238" spans="1:7" x14ac:dyDescent="0.25">
      <c r="A238" s="15" t="s">
        <v>34</v>
      </c>
      <c r="B238" s="16">
        <v>40893</v>
      </c>
      <c r="C238" s="17">
        <v>0.27550000000000002</v>
      </c>
      <c r="D238" s="17">
        <v>0.30259999999999998</v>
      </c>
      <c r="E238" s="11">
        <f t="shared" si="9"/>
        <v>0.29959999999999998</v>
      </c>
      <c r="F238" s="11">
        <f t="shared" si="10"/>
        <v>0.40851358074603189</v>
      </c>
      <c r="G238" s="13">
        <f t="shared" si="11"/>
        <v>-0.13301358074603187</v>
      </c>
    </row>
    <row r="239" spans="1:7" x14ac:dyDescent="0.25">
      <c r="A239" s="15" t="s">
        <v>34</v>
      </c>
      <c r="B239" s="16">
        <v>40896</v>
      </c>
      <c r="C239" s="17">
        <v>-0.27550000000000002</v>
      </c>
      <c r="D239" s="17">
        <v>-2.2621000000000002</v>
      </c>
      <c r="E239" s="11">
        <f t="shared" si="9"/>
        <v>-2.2651000000000003</v>
      </c>
      <c r="F239" s="11">
        <f t="shared" si="10"/>
        <v>-2.4413533849102107</v>
      </c>
      <c r="G239" s="13">
        <f t="shared" si="11"/>
        <v>2.1658533849102106</v>
      </c>
    </row>
    <row r="240" spans="1:7" x14ac:dyDescent="0.25">
      <c r="A240" s="15" t="s">
        <v>34</v>
      </c>
      <c r="B240" s="16">
        <v>40897</v>
      </c>
      <c r="C240" s="17">
        <v>0.41289999999999999</v>
      </c>
      <c r="D240" s="17">
        <v>0.44090000000000001</v>
      </c>
      <c r="E240" s="11">
        <f t="shared" si="9"/>
        <v>0.43790000000000001</v>
      </c>
      <c r="F240" s="11">
        <f t="shared" si="10"/>
        <v>0.5621910484226641</v>
      </c>
      <c r="G240" s="13">
        <f t="shared" si="11"/>
        <v>-0.14929104842266411</v>
      </c>
    </row>
    <row r="241" spans="1:7" x14ac:dyDescent="0.25">
      <c r="A241" s="15" t="s">
        <v>34</v>
      </c>
      <c r="B241" s="16">
        <v>40898</v>
      </c>
      <c r="C241" s="17">
        <v>4.3017000000000003</v>
      </c>
      <c r="D241" s="17">
        <v>4.4593999999999996</v>
      </c>
      <c r="E241" s="11">
        <f t="shared" si="9"/>
        <v>4.4563999999999995</v>
      </c>
      <c r="F241" s="11">
        <f t="shared" si="10"/>
        <v>5.0275048868792513</v>
      </c>
      <c r="G241" s="13">
        <f t="shared" si="11"/>
        <v>-0.72580488687925104</v>
      </c>
    </row>
    <row r="242" spans="1:7" x14ac:dyDescent="0.25">
      <c r="A242" s="15" t="s">
        <v>34</v>
      </c>
      <c r="B242" s="16">
        <v>40899</v>
      </c>
      <c r="C242" s="17">
        <v>-1.3245</v>
      </c>
      <c r="D242" s="17">
        <v>-1.9E-3</v>
      </c>
      <c r="E242" s="11">
        <f t="shared" si="9"/>
        <v>-4.8999999999999998E-3</v>
      </c>
      <c r="F242" s="11">
        <f t="shared" si="10"/>
        <v>7.0156466447156521E-2</v>
      </c>
      <c r="G242" s="13">
        <f t="shared" si="11"/>
        <v>-1.3946564664471566</v>
      </c>
    </row>
    <row r="243" spans="1:7" x14ac:dyDescent="0.25">
      <c r="A243" s="15" t="s">
        <v>34</v>
      </c>
      <c r="B243" s="16">
        <v>40900</v>
      </c>
      <c r="C243" s="17">
        <v>0.53190000000000004</v>
      </c>
      <c r="D243" s="17">
        <v>2.0512999999999999</v>
      </c>
      <c r="E243" s="11">
        <f t="shared" si="9"/>
        <v>2.0482999999999998</v>
      </c>
      <c r="F243" s="11">
        <f t="shared" si="10"/>
        <v>2.351650151433859</v>
      </c>
      <c r="G243" s="13">
        <f t="shared" si="11"/>
        <v>-1.819750151433859</v>
      </c>
    </row>
    <row r="244" spans="1:7" x14ac:dyDescent="0.25">
      <c r="A244" s="15" t="s">
        <v>34</v>
      </c>
      <c r="B244" s="16">
        <v>40903</v>
      </c>
      <c r="C244" s="17">
        <v>-0.53190000000000004</v>
      </c>
      <c r="D244" s="17">
        <v>-0.25559999999999999</v>
      </c>
      <c r="E244" s="11">
        <f t="shared" si="9"/>
        <v>-0.2586</v>
      </c>
      <c r="F244" s="11">
        <f t="shared" si="10"/>
        <v>-0.21175223600809701</v>
      </c>
      <c r="G244" s="13">
        <f t="shared" si="11"/>
        <v>-0.32014776399190303</v>
      </c>
    </row>
    <row r="245" spans="1:7" x14ac:dyDescent="0.25">
      <c r="A245" s="15" t="s">
        <v>34</v>
      </c>
      <c r="B245" s="16">
        <v>40904</v>
      </c>
      <c r="C245" s="17">
        <v>0.66449999999999998</v>
      </c>
      <c r="D245" s="17">
        <v>-0.1065</v>
      </c>
      <c r="E245" s="11">
        <f t="shared" si="9"/>
        <v>-0.1095</v>
      </c>
      <c r="F245" s="11">
        <f t="shared" si="10"/>
        <v>-4.6073924868647656E-2</v>
      </c>
      <c r="G245" s="13">
        <f t="shared" si="11"/>
        <v>0.71057392486864768</v>
      </c>
    </row>
    <row r="246" spans="1:7" x14ac:dyDescent="0.25">
      <c r="A246" s="15" t="s">
        <v>34</v>
      </c>
      <c r="B246" s="16">
        <v>40905</v>
      </c>
      <c r="C246" s="17">
        <v>0.2646</v>
      </c>
      <c r="D246" s="17">
        <v>-0.40110000000000001</v>
      </c>
      <c r="E246" s="11">
        <f t="shared" si="9"/>
        <v>-0.40410000000000001</v>
      </c>
      <c r="F246" s="11">
        <f t="shared" si="10"/>
        <v>-0.37343026599327395</v>
      </c>
      <c r="G246" s="13">
        <f t="shared" si="11"/>
        <v>0.63803026599327395</v>
      </c>
    </row>
    <row r="247" spans="1:7" x14ac:dyDescent="0.25">
      <c r="A247" s="15" t="s">
        <v>34</v>
      </c>
      <c r="B247" s="16">
        <v>40906</v>
      </c>
      <c r="C247" s="17">
        <v>0.13200000000000001</v>
      </c>
      <c r="D247" s="17">
        <v>0.25690000000000002</v>
      </c>
      <c r="E247" s="11">
        <f t="shared" si="9"/>
        <v>0.25390000000000001</v>
      </c>
      <c r="F247" s="11">
        <f t="shared" si="10"/>
        <v>0.35773223387096265</v>
      </c>
      <c r="G247" s="13">
        <f t="shared" si="11"/>
        <v>-0.22573223387096264</v>
      </c>
    </row>
    <row r="248" spans="1:7" x14ac:dyDescent="0.25">
      <c r="A248" s="15" t="s">
        <v>34</v>
      </c>
      <c r="B248" s="16">
        <v>40907</v>
      </c>
      <c r="C248" s="17">
        <v>0</v>
      </c>
      <c r="D248" s="17">
        <v>-3.8699999999999998E-2</v>
      </c>
      <c r="E248" s="11">
        <f t="shared" si="9"/>
        <v>-4.1700000000000001E-2</v>
      </c>
      <c r="F248" s="11">
        <f t="shared" si="10"/>
        <v>2.9264703536816233E-2</v>
      </c>
      <c r="G248" s="13">
        <f t="shared" si="11"/>
        <v>-2.9264703536816233E-2</v>
      </c>
    </row>
    <row r="249" spans="1:7" x14ac:dyDescent="0.25">
      <c r="A249" s="15" t="s">
        <v>34</v>
      </c>
      <c r="B249" s="16">
        <v>40910</v>
      </c>
      <c r="C249" s="17">
        <v>-1.0609999999999999</v>
      </c>
      <c r="D249" s="17">
        <v>-1.7095</v>
      </c>
      <c r="E249" s="11">
        <f t="shared" si="9"/>
        <v>-1.7124999999999999</v>
      </c>
      <c r="F249" s="11">
        <f t="shared" si="10"/>
        <v>-1.827310227729394</v>
      </c>
      <c r="G249" s="13">
        <f t="shared" si="11"/>
        <v>0.76631022772939406</v>
      </c>
    </row>
    <row r="250" spans="1:7" x14ac:dyDescent="0.25">
      <c r="A250" s="15" t="s">
        <v>34</v>
      </c>
      <c r="B250" s="16">
        <v>40911</v>
      </c>
      <c r="C250" s="17">
        <v>0.92900000000000005</v>
      </c>
      <c r="D250" s="17">
        <v>1.4447000000000001</v>
      </c>
      <c r="E250" s="11">
        <f t="shared" si="9"/>
        <v>1.4417000000000002</v>
      </c>
      <c r="F250" s="11">
        <f t="shared" si="10"/>
        <v>1.677602776938957</v>
      </c>
      <c r="G250" s="13">
        <f t="shared" si="11"/>
        <v>-0.74860277693895694</v>
      </c>
    </row>
    <row r="251" spans="1:7" x14ac:dyDescent="0.25">
      <c r="A251" s="15" t="s">
        <v>34</v>
      </c>
      <c r="B251" s="16">
        <v>40912</v>
      </c>
      <c r="C251" s="17">
        <v>0.13200000000000001</v>
      </c>
      <c r="D251" s="17">
        <v>0.41860000000000003</v>
      </c>
      <c r="E251" s="11">
        <f t="shared" si="9"/>
        <v>0.41560000000000002</v>
      </c>
      <c r="F251" s="11">
        <f t="shared" si="10"/>
        <v>0.53741152905036549</v>
      </c>
      <c r="G251" s="13">
        <f t="shared" si="11"/>
        <v>-0.40541152905036548</v>
      </c>
    </row>
    <row r="252" spans="1:7" x14ac:dyDescent="0.25">
      <c r="A252" s="15" t="s">
        <v>34</v>
      </c>
      <c r="B252" s="16">
        <v>40913</v>
      </c>
      <c r="C252" s="17">
        <v>0.26350000000000001</v>
      </c>
      <c r="D252" s="17">
        <v>0.67390000000000005</v>
      </c>
      <c r="E252" s="11">
        <f t="shared" si="9"/>
        <v>0.67090000000000005</v>
      </c>
      <c r="F252" s="11">
        <f t="shared" si="10"/>
        <v>0.82109813424085121</v>
      </c>
      <c r="G252" s="13">
        <f t="shared" si="11"/>
        <v>-0.55759813424085114</v>
      </c>
    </row>
    <row r="253" spans="1:7" x14ac:dyDescent="0.25">
      <c r="A253" s="15" t="s">
        <v>34</v>
      </c>
      <c r="B253" s="16">
        <v>40914</v>
      </c>
      <c r="C253" s="17">
        <v>-0.52769999999999995</v>
      </c>
      <c r="D253" s="17">
        <v>-0.1452</v>
      </c>
      <c r="E253" s="11">
        <f t="shared" si="9"/>
        <v>-0.1482</v>
      </c>
      <c r="F253" s="11">
        <f t="shared" si="10"/>
        <v>-8.9076947277076143E-2</v>
      </c>
      <c r="G253" s="13">
        <f t="shared" si="11"/>
        <v>-0.43862305272292379</v>
      </c>
    </row>
    <row r="254" spans="1:7" x14ac:dyDescent="0.25">
      <c r="A254" s="15" t="s">
        <v>34</v>
      </c>
      <c r="B254" s="16">
        <v>40917</v>
      </c>
      <c r="C254" s="17">
        <v>0</v>
      </c>
      <c r="D254" s="17">
        <v>-0.38650000000000001</v>
      </c>
      <c r="E254" s="11">
        <f t="shared" si="9"/>
        <v>-0.38950000000000001</v>
      </c>
      <c r="F254" s="11">
        <f t="shared" si="10"/>
        <v>-0.35720690353428025</v>
      </c>
      <c r="G254" s="13">
        <f t="shared" si="11"/>
        <v>0.35720690353428025</v>
      </c>
    </row>
    <row r="255" spans="1:7" x14ac:dyDescent="0.25">
      <c r="A255" s="15" t="s">
        <v>34</v>
      </c>
      <c r="B255" s="16">
        <v>40918</v>
      </c>
      <c r="C255" s="17">
        <v>1.1834</v>
      </c>
      <c r="D255" s="17">
        <v>1.2028000000000001</v>
      </c>
      <c r="E255" s="11">
        <f t="shared" si="9"/>
        <v>1.1998000000000002</v>
      </c>
      <c r="F255" s="11">
        <f t="shared" si="10"/>
        <v>1.4088061071560409</v>
      </c>
      <c r="G255" s="13">
        <f t="shared" si="11"/>
        <v>-0.22540610715604092</v>
      </c>
    </row>
    <row r="256" spans="1:7" x14ac:dyDescent="0.25">
      <c r="A256" s="15" t="s">
        <v>34</v>
      </c>
      <c r="B256" s="16">
        <v>40919</v>
      </c>
      <c r="C256" s="17">
        <v>0</v>
      </c>
      <c r="D256" s="17">
        <v>0.13</v>
      </c>
      <c r="E256" s="11">
        <f t="shared" si="9"/>
        <v>0.127</v>
      </c>
      <c r="F256" s="11">
        <f t="shared" si="10"/>
        <v>0.21672232318285989</v>
      </c>
      <c r="G256" s="13">
        <f t="shared" si="11"/>
        <v>-0.21672232318285989</v>
      </c>
    </row>
    <row r="257" spans="1:7" x14ac:dyDescent="0.25">
      <c r="A257" s="15" t="s">
        <v>34</v>
      </c>
      <c r="B257" s="16">
        <v>40920</v>
      </c>
      <c r="C257" s="17">
        <v>0.65149999999999997</v>
      </c>
      <c r="D257" s="17">
        <v>-2.2700000000000001E-2</v>
      </c>
      <c r="E257" s="11">
        <f t="shared" si="9"/>
        <v>-2.5700000000000001E-2</v>
      </c>
      <c r="F257" s="11">
        <f t="shared" si="10"/>
        <v>4.7043730889138095E-2</v>
      </c>
      <c r="G257" s="13">
        <f t="shared" si="11"/>
        <v>0.60445626911086192</v>
      </c>
    </row>
    <row r="258" spans="1:7" x14ac:dyDescent="0.25">
      <c r="A258" s="15" t="s">
        <v>34</v>
      </c>
      <c r="B258" s="16">
        <v>40921</v>
      </c>
      <c r="C258" s="17">
        <v>0.64729999999999999</v>
      </c>
      <c r="D258" s="17">
        <v>-7.0199999999999999E-2</v>
      </c>
      <c r="E258" s="11">
        <f t="shared" si="9"/>
        <v>-7.3200000000000001E-2</v>
      </c>
      <c r="F258" s="11">
        <f t="shared" si="10"/>
        <v>-5.7377565630674365E-3</v>
      </c>
      <c r="G258" s="13">
        <f t="shared" si="11"/>
        <v>0.6530377565630674</v>
      </c>
    </row>
    <row r="259" spans="1:7" x14ac:dyDescent="0.25">
      <c r="A259" s="15" t="s">
        <v>34</v>
      </c>
      <c r="B259" s="16">
        <v>40924</v>
      </c>
      <c r="C259" s="17">
        <v>-2.8797999999999999</v>
      </c>
      <c r="D259" s="17">
        <v>-1.0909</v>
      </c>
      <c r="E259" s="11">
        <f t="shared" ref="E259:E322" si="12">D259-$K$1</f>
        <v>-1.0938999999999999</v>
      </c>
      <c r="F259" s="11">
        <f t="shared" ref="F259:F322" si="13">K$2+K$3*E259</f>
        <v>-1.1399285827202501</v>
      </c>
      <c r="G259" s="13">
        <f t="shared" ref="G259:G322" si="14">C259-F259</f>
        <v>-1.7398714172797498</v>
      </c>
    </row>
    <row r="260" spans="1:7" x14ac:dyDescent="0.25">
      <c r="A260" s="15" t="s">
        <v>34</v>
      </c>
      <c r="B260" s="16">
        <v>40925</v>
      </c>
      <c r="C260" s="17">
        <v>0.39760000000000001</v>
      </c>
      <c r="D260" s="17">
        <v>1.64</v>
      </c>
      <c r="E260" s="11">
        <f t="shared" si="12"/>
        <v>1.637</v>
      </c>
      <c r="F260" s="11">
        <f t="shared" si="13"/>
        <v>1.8946180295582356</v>
      </c>
      <c r="G260" s="13">
        <f t="shared" si="14"/>
        <v>-1.4970180295582356</v>
      </c>
    </row>
    <row r="261" spans="1:7" x14ac:dyDescent="0.25">
      <c r="A261" s="15" t="s">
        <v>34</v>
      </c>
      <c r="B261" s="16">
        <v>40926</v>
      </c>
      <c r="C261" s="17">
        <v>1.4444999999999999</v>
      </c>
      <c r="D261" s="17">
        <v>0.17449999999999999</v>
      </c>
      <c r="E261" s="11">
        <f t="shared" si="12"/>
        <v>0.17149999999999999</v>
      </c>
      <c r="F261" s="11">
        <f t="shared" si="13"/>
        <v>0.26617024300650505</v>
      </c>
      <c r="G261" s="13">
        <f t="shared" si="14"/>
        <v>1.1783297569934947</v>
      </c>
    </row>
    <row r="262" spans="1:7" x14ac:dyDescent="0.25">
      <c r="A262" s="15" t="s">
        <v>34</v>
      </c>
      <c r="B262" s="16">
        <v>40938</v>
      </c>
      <c r="C262" s="17">
        <v>2.5741000000000001</v>
      </c>
      <c r="D262" s="17">
        <v>2.3732000000000002</v>
      </c>
      <c r="E262" s="11">
        <f t="shared" si="12"/>
        <v>2.3702000000000001</v>
      </c>
      <c r="F262" s="11">
        <f t="shared" si="13"/>
        <v>2.7093419579783848</v>
      </c>
      <c r="G262" s="13">
        <f t="shared" si="14"/>
        <v>-0.13524195797838479</v>
      </c>
    </row>
    <row r="263" spans="1:7" x14ac:dyDescent="0.25">
      <c r="A263" s="15" t="s">
        <v>34</v>
      </c>
      <c r="B263" s="16">
        <v>40939</v>
      </c>
      <c r="C263" s="17">
        <v>-0.2545</v>
      </c>
      <c r="D263" s="17">
        <v>1.4697</v>
      </c>
      <c r="E263" s="11">
        <f t="shared" si="12"/>
        <v>1.4667000000000001</v>
      </c>
      <c r="F263" s="11">
        <f t="shared" si="13"/>
        <v>1.7053825071769599</v>
      </c>
      <c r="G263" s="13">
        <f t="shared" si="14"/>
        <v>-1.9598825071769599</v>
      </c>
    </row>
    <row r="264" spans="1:7" x14ac:dyDescent="0.25">
      <c r="A264" s="15" t="s">
        <v>34</v>
      </c>
      <c r="B264" s="16">
        <v>40940</v>
      </c>
      <c r="C264" s="17">
        <v>-1.9293</v>
      </c>
      <c r="D264" s="17">
        <v>0.42649999999999999</v>
      </c>
      <c r="E264" s="11">
        <f t="shared" si="12"/>
        <v>0.42349999999999999</v>
      </c>
      <c r="F264" s="11">
        <f t="shared" si="13"/>
        <v>0.54618992380557441</v>
      </c>
      <c r="G264" s="13">
        <f t="shared" si="14"/>
        <v>-2.4754899238055743</v>
      </c>
    </row>
    <row r="265" spans="1:7" x14ac:dyDescent="0.25">
      <c r="A265" s="15" t="s">
        <v>34</v>
      </c>
      <c r="B265" s="16">
        <v>40941</v>
      </c>
      <c r="C265" s="17">
        <v>-0.2601</v>
      </c>
      <c r="D265" s="17">
        <v>1.3584000000000001</v>
      </c>
      <c r="E265" s="11">
        <f t="shared" si="12"/>
        <v>1.3554000000000002</v>
      </c>
      <c r="F265" s="11">
        <f t="shared" si="13"/>
        <v>1.581707148157371</v>
      </c>
      <c r="G265" s="13">
        <f t="shared" si="14"/>
        <v>-1.841807148157371</v>
      </c>
    </row>
    <row r="266" spans="1:7" x14ac:dyDescent="0.25">
      <c r="A266" s="15" t="s">
        <v>34</v>
      </c>
      <c r="B266" s="16">
        <v>40942</v>
      </c>
      <c r="C266" s="17">
        <v>-0.7843</v>
      </c>
      <c r="D266" s="17">
        <v>0.29399999999999998</v>
      </c>
      <c r="E266" s="11">
        <f t="shared" si="12"/>
        <v>0.29099999999999998</v>
      </c>
      <c r="F266" s="11">
        <f t="shared" si="13"/>
        <v>0.3989573535441589</v>
      </c>
      <c r="G266" s="13">
        <f t="shared" si="14"/>
        <v>-1.1832573535441588</v>
      </c>
    </row>
    <row r="267" spans="1:7" x14ac:dyDescent="0.25">
      <c r="A267" s="15" t="s">
        <v>34</v>
      </c>
      <c r="B267" s="16">
        <v>40943</v>
      </c>
      <c r="C267" s="17">
        <v>0.39290000000000003</v>
      </c>
      <c r="D267" s="17">
        <v>0.85950000000000004</v>
      </c>
      <c r="E267" s="11">
        <f t="shared" si="12"/>
        <v>0.85650000000000004</v>
      </c>
      <c r="F267" s="11">
        <f t="shared" si="13"/>
        <v>1.0273348515277849</v>
      </c>
      <c r="G267" s="13">
        <f t="shared" si="14"/>
        <v>-0.63443485152778489</v>
      </c>
    </row>
    <row r="268" spans="1:7" x14ac:dyDescent="0.25">
      <c r="A268" s="15" t="s">
        <v>34</v>
      </c>
      <c r="B268" s="16">
        <v>40945</v>
      </c>
      <c r="C268" s="17">
        <v>1.1696</v>
      </c>
      <c r="D268" s="17">
        <v>-0.69040000000000001</v>
      </c>
      <c r="E268" s="11">
        <f t="shared" si="12"/>
        <v>-0.69340000000000002</v>
      </c>
      <c r="F268" s="11">
        <f t="shared" si="13"/>
        <v>-0.69489730430744368</v>
      </c>
      <c r="G268" s="13">
        <f t="shared" si="14"/>
        <v>1.8644973043074438</v>
      </c>
    </row>
    <row r="269" spans="1:7" x14ac:dyDescent="0.25">
      <c r="A269" s="15" t="s">
        <v>34</v>
      </c>
      <c r="B269" s="16">
        <v>40946</v>
      </c>
      <c r="C269" s="17">
        <v>0</v>
      </c>
      <c r="D269" s="17">
        <v>0.25280000000000002</v>
      </c>
      <c r="E269" s="11">
        <f t="shared" si="12"/>
        <v>0.24980000000000002</v>
      </c>
      <c r="F269" s="11">
        <f t="shared" si="13"/>
        <v>0.35317635811193016</v>
      </c>
      <c r="G269" s="13">
        <f t="shared" si="14"/>
        <v>-0.35317635811193016</v>
      </c>
    </row>
    <row r="270" spans="1:7" x14ac:dyDescent="0.25">
      <c r="A270" s="15" t="s">
        <v>34</v>
      </c>
      <c r="B270" s="16">
        <v>40947</v>
      </c>
      <c r="C270" s="17">
        <v>0.12909999999999999</v>
      </c>
      <c r="D270" s="17">
        <v>2.0861000000000001</v>
      </c>
      <c r="E270" s="11">
        <f t="shared" si="12"/>
        <v>2.0831</v>
      </c>
      <c r="F270" s="11">
        <f t="shared" si="13"/>
        <v>2.3903195359251592</v>
      </c>
      <c r="G270" s="13">
        <f t="shared" si="14"/>
        <v>-2.261219535925159</v>
      </c>
    </row>
    <row r="271" spans="1:7" x14ac:dyDescent="0.25">
      <c r="A271" s="15" t="s">
        <v>34</v>
      </c>
      <c r="B271" s="16">
        <v>40948</v>
      </c>
      <c r="C271" s="17">
        <v>0.6431</v>
      </c>
      <c r="D271" s="17">
        <v>0.51800000000000002</v>
      </c>
      <c r="E271" s="11">
        <f t="shared" si="12"/>
        <v>0.51500000000000001</v>
      </c>
      <c r="F271" s="11">
        <f t="shared" si="13"/>
        <v>0.64786373647666495</v>
      </c>
      <c r="G271" s="13">
        <f t="shared" si="14"/>
        <v>-4.7637364766649481E-3</v>
      </c>
    </row>
    <row r="272" spans="1:7" x14ac:dyDescent="0.25">
      <c r="A272" s="15" t="s">
        <v>34</v>
      </c>
      <c r="B272" s="16">
        <v>40949</v>
      </c>
      <c r="C272" s="17">
        <v>-1.4202999999999999</v>
      </c>
      <c r="D272" s="17">
        <v>-0.61509999999999998</v>
      </c>
      <c r="E272" s="11">
        <f t="shared" si="12"/>
        <v>-0.61809999999999998</v>
      </c>
      <c r="F272" s="11">
        <f t="shared" si="13"/>
        <v>-0.61122475683057886</v>
      </c>
      <c r="G272" s="13">
        <f t="shared" si="14"/>
        <v>-0.80907524316942103</v>
      </c>
    </row>
    <row r="273" spans="1:7" x14ac:dyDescent="0.25">
      <c r="A273" s="15" t="s">
        <v>34</v>
      </c>
      <c r="B273" s="16">
        <v>40952</v>
      </c>
      <c r="C273" s="17">
        <v>-0.39090000000000003</v>
      </c>
      <c r="D273" s="17">
        <v>0.64200000000000002</v>
      </c>
      <c r="E273" s="11">
        <f t="shared" si="12"/>
        <v>0.63900000000000001</v>
      </c>
      <c r="F273" s="11">
        <f t="shared" si="13"/>
        <v>0.78565119845715947</v>
      </c>
      <c r="G273" s="13">
        <f t="shared" si="14"/>
        <v>-1.1765511984571595</v>
      </c>
    </row>
    <row r="274" spans="1:7" x14ac:dyDescent="0.25">
      <c r="A274" s="15" t="s">
        <v>34</v>
      </c>
      <c r="B274" s="16">
        <v>40953</v>
      </c>
      <c r="C274" s="17">
        <v>0.90969999999999995</v>
      </c>
      <c r="D274" s="17">
        <v>-0.36499999999999999</v>
      </c>
      <c r="E274" s="11">
        <f t="shared" si="12"/>
        <v>-0.36799999999999999</v>
      </c>
      <c r="F274" s="11">
        <f t="shared" si="13"/>
        <v>-0.33331633552959772</v>
      </c>
      <c r="G274" s="13">
        <f t="shared" si="14"/>
        <v>1.2430163355295978</v>
      </c>
    </row>
    <row r="275" spans="1:7" x14ac:dyDescent="0.25">
      <c r="A275" s="15" t="s">
        <v>34</v>
      </c>
      <c r="B275" s="16">
        <v>40954</v>
      </c>
      <c r="C275" s="17">
        <v>1.5405</v>
      </c>
      <c r="D275" s="17">
        <v>1.5250999999999999</v>
      </c>
      <c r="E275" s="11">
        <f t="shared" si="12"/>
        <v>1.5221</v>
      </c>
      <c r="F275" s="11">
        <f t="shared" si="13"/>
        <v>1.7669423893843741</v>
      </c>
      <c r="G275" s="13">
        <f t="shared" si="14"/>
        <v>-0.22644238938437411</v>
      </c>
    </row>
    <row r="276" spans="1:7" x14ac:dyDescent="0.25">
      <c r="A276" s="15" t="s">
        <v>34</v>
      </c>
      <c r="B276" s="16">
        <v>40955</v>
      </c>
      <c r="C276" s="17">
        <v>0</v>
      </c>
      <c r="D276" s="17">
        <v>-1.7076</v>
      </c>
      <c r="E276" s="11">
        <f t="shared" si="12"/>
        <v>-1.7105999999999999</v>
      </c>
      <c r="F276" s="11">
        <f t="shared" si="13"/>
        <v>-1.8251989682313059</v>
      </c>
      <c r="G276" s="13">
        <f t="shared" si="14"/>
        <v>1.8251989682313059</v>
      </c>
    </row>
    <row r="277" spans="1:7" x14ac:dyDescent="0.25">
      <c r="A277" s="15" t="s">
        <v>34</v>
      </c>
      <c r="B277" s="16">
        <v>40956</v>
      </c>
      <c r="C277" s="17">
        <v>1.8928</v>
      </c>
      <c r="D277" s="17">
        <v>0.31290000000000001</v>
      </c>
      <c r="E277" s="11">
        <f t="shared" si="12"/>
        <v>0.30990000000000001</v>
      </c>
      <c r="F277" s="11">
        <f t="shared" si="13"/>
        <v>0.41995882960408915</v>
      </c>
      <c r="G277" s="13">
        <f t="shared" si="14"/>
        <v>1.472841170395911</v>
      </c>
    </row>
    <row r="278" spans="1:7" x14ac:dyDescent="0.25">
      <c r="A278" s="15" t="s">
        <v>34</v>
      </c>
      <c r="B278" s="16">
        <v>40959</v>
      </c>
      <c r="C278" s="17">
        <v>0</v>
      </c>
      <c r="D278" s="17">
        <v>0.76290000000000002</v>
      </c>
      <c r="E278" s="11">
        <f t="shared" si="12"/>
        <v>0.75990000000000002</v>
      </c>
      <c r="F278" s="11">
        <f t="shared" si="13"/>
        <v>0.91999397388814153</v>
      </c>
      <c r="G278" s="13">
        <f t="shared" si="14"/>
        <v>-0.91999397388814153</v>
      </c>
    </row>
    <row r="279" spans="1:7" x14ac:dyDescent="0.25">
      <c r="A279" s="15" t="s">
        <v>34</v>
      </c>
      <c r="B279" s="16">
        <v>40960</v>
      </c>
      <c r="C279" s="17">
        <v>0</v>
      </c>
      <c r="D279" s="17">
        <v>-0.41970000000000002</v>
      </c>
      <c r="E279" s="11">
        <f t="shared" si="12"/>
        <v>-0.42270000000000002</v>
      </c>
      <c r="F279" s="11">
        <f t="shared" si="13"/>
        <v>-0.39409838529034813</v>
      </c>
      <c r="G279" s="13">
        <f t="shared" si="14"/>
        <v>0.39409838529034813</v>
      </c>
    </row>
    <row r="280" spans="1:7" x14ac:dyDescent="0.25">
      <c r="A280" s="15" t="s">
        <v>34</v>
      </c>
      <c r="B280" s="16">
        <v>40961</v>
      </c>
      <c r="C280" s="17">
        <v>-0.37569999999999998</v>
      </c>
      <c r="D280" s="17">
        <v>1.0071000000000001</v>
      </c>
      <c r="E280" s="11">
        <f t="shared" si="12"/>
        <v>1.0041000000000002</v>
      </c>
      <c r="F280" s="11">
        <f t="shared" si="13"/>
        <v>1.1913463788529541</v>
      </c>
      <c r="G280" s="13">
        <f t="shared" si="14"/>
        <v>-1.5670463788529541</v>
      </c>
    </row>
    <row r="281" spans="1:7" x14ac:dyDescent="0.25">
      <c r="A281" s="15" t="s">
        <v>34</v>
      </c>
      <c r="B281" s="16">
        <v>40962</v>
      </c>
      <c r="C281" s="17">
        <v>-2.028</v>
      </c>
      <c r="D281" s="17">
        <v>-0.80779999999999996</v>
      </c>
      <c r="E281" s="11">
        <f t="shared" si="12"/>
        <v>-0.81079999999999997</v>
      </c>
      <c r="F281" s="11">
        <f t="shared" si="13"/>
        <v>-0.82535091750510525</v>
      </c>
      <c r="G281" s="13">
        <f t="shared" si="14"/>
        <v>-1.2026490824948948</v>
      </c>
    </row>
    <row r="282" spans="1:7" x14ac:dyDescent="0.25">
      <c r="A282" s="15" t="s">
        <v>34</v>
      </c>
      <c r="B282" s="16">
        <v>40963</v>
      </c>
      <c r="C282" s="17">
        <v>1.2723</v>
      </c>
      <c r="D282" s="17">
        <v>0.27729999999999999</v>
      </c>
      <c r="E282" s="11">
        <f t="shared" si="12"/>
        <v>0.27429999999999999</v>
      </c>
      <c r="F282" s="11">
        <f t="shared" si="13"/>
        <v>0.38040049374517299</v>
      </c>
      <c r="G282" s="13">
        <f t="shared" si="14"/>
        <v>0.89189950625482695</v>
      </c>
    </row>
    <row r="283" spans="1:7" x14ac:dyDescent="0.25">
      <c r="A283" s="15" t="s">
        <v>34</v>
      </c>
      <c r="B283" s="16">
        <v>40968</v>
      </c>
      <c r="C283" s="17">
        <v>2.4969999999999999</v>
      </c>
      <c r="D283" s="17">
        <v>2.0160999999999998</v>
      </c>
      <c r="E283" s="11">
        <f t="shared" si="12"/>
        <v>2.0130999999999997</v>
      </c>
      <c r="F283" s="11">
        <f t="shared" si="13"/>
        <v>2.312536291258751</v>
      </c>
      <c r="G283" s="13">
        <f t="shared" si="14"/>
        <v>0.18446370874124884</v>
      </c>
    </row>
    <row r="284" spans="1:7" x14ac:dyDescent="0.25">
      <c r="A284" s="15" t="s">
        <v>34</v>
      </c>
      <c r="B284" s="16">
        <v>40969</v>
      </c>
      <c r="C284" s="17">
        <v>-1.2406999999999999</v>
      </c>
      <c r="D284" s="17">
        <v>-3.8199999999999998E-2</v>
      </c>
      <c r="E284" s="11">
        <f t="shared" si="12"/>
        <v>-4.1200000000000001E-2</v>
      </c>
      <c r="F284" s="11">
        <f t="shared" si="13"/>
        <v>2.9820298141576294E-2</v>
      </c>
      <c r="G284" s="13">
        <f t="shared" si="14"/>
        <v>-1.2705202981415762</v>
      </c>
    </row>
    <row r="285" spans="1:7" x14ac:dyDescent="0.25">
      <c r="A285" s="15" t="s">
        <v>34</v>
      </c>
      <c r="B285" s="16">
        <v>40970</v>
      </c>
      <c r="C285" s="17">
        <v>-0.1249</v>
      </c>
      <c r="D285" s="17">
        <v>0.31609999999999999</v>
      </c>
      <c r="E285" s="11">
        <f t="shared" si="12"/>
        <v>0.31309999999999999</v>
      </c>
      <c r="F285" s="11">
        <f t="shared" si="13"/>
        <v>0.4235146350745535</v>
      </c>
      <c r="G285" s="13">
        <f t="shared" si="14"/>
        <v>-0.54841463507455346</v>
      </c>
    </row>
    <row r="286" spans="1:7" x14ac:dyDescent="0.25">
      <c r="A286" s="15" t="s">
        <v>34</v>
      </c>
      <c r="B286" s="16">
        <v>40971</v>
      </c>
      <c r="C286" s="17">
        <v>-0.87890000000000001</v>
      </c>
      <c r="D286" s="17">
        <v>-0.36409999999999998</v>
      </c>
      <c r="E286" s="11">
        <f t="shared" si="12"/>
        <v>-0.36709999999999998</v>
      </c>
      <c r="F286" s="11">
        <f t="shared" si="13"/>
        <v>-0.33231626524102964</v>
      </c>
      <c r="G286" s="13">
        <f t="shared" si="14"/>
        <v>-0.54658373475897037</v>
      </c>
    </row>
    <row r="287" spans="1:7" x14ac:dyDescent="0.25">
      <c r="A287" s="15" t="s">
        <v>34</v>
      </c>
      <c r="B287" s="16">
        <v>40973</v>
      </c>
      <c r="C287" s="17">
        <v>-0.50570000000000004</v>
      </c>
      <c r="D287" s="17">
        <v>-1.3611</v>
      </c>
      <c r="E287" s="11">
        <f t="shared" si="12"/>
        <v>-1.3640999999999999</v>
      </c>
      <c r="F287" s="11">
        <f t="shared" si="13"/>
        <v>-1.4401719071325856</v>
      </c>
      <c r="G287" s="13">
        <f t="shared" si="14"/>
        <v>0.93447190713258554</v>
      </c>
    </row>
    <row r="288" spans="1:7" x14ac:dyDescent="0.25">
      <c r="A288" s="15" t="s">
        <v>34</v>
      </c>
      <c r="B288" s="16">
        <v>40974</v>
      </c>
      <c r="C288" s="17">
        <v>0.75760000000000005</v>
      </c>
      <c r="D288" s="17">
        <v>-0.83760000000000001</v>
      </c>
      <c r="E288" s="11">
        <f t="shared" si="12"/>
        <v>-0.84060000000000001</v>
      </c>
      <c r="F288" s="11">
        <f t="shared" si="13"/>
        <v>-0.85846435594880477</v>
      </c>
      <c r="G288" s="13">
        <f t="shared" si="14"/>
        <v>1.6160643559488048</v>
      </c>
    </row>
    <row r="289" spans="1:7" x14ac:dyDescent="0.25">
      <c r="A289" s="15" t="s">
        <v>34</v>
      </c>
      <c r="B289" s="16">
        <v>40975</v>
      </c>
      <c r="C289" s="17">
        <v>-0.50439999999999996</v>
      </c>
      <c r="D289" s="17">
        <v>-0.4405</v>
      </c>
      <c r="E289" s="11">
        <f t="shared" si="12"/>
        <v>-0.44350000000000001</v>
      </c>
      <c r="F289" s="11">
        <f t="shared" si="13"/>
        <v>-0.41721112084836653</v>
      </c>
      <c r="G289" s="13">
        <f t="shared" si="14"/>
        <v>-8.7188879151633425E-2</v>
      </c>
    </row>
    <row r="290" spans="1:7" x14ac:dyDescent="0.25">
      <c r="A290" s="15" t="s">
        <v>34</v>
      </c>
      <c r="B290" s="16">
        <v>40976</v>
      </c>
      <c r="C290" s="17">
        <v>0.75570000000000004</v>
      </c>
      <c r="D290" s="17">
        <v>1.0257000000000001</v>
      </c>
      <c r="E290" s="11">
        <f t="shared" si="12"/>
        <v>1.0227000000000002</v>
      </c>
      <c r="F290" s="11">
        <f t="shared" si="13"/>
        <v>1.2120144981500283</v>
      </c>
      <c r="G290" s="13">
        <f t="shared" si="14"/>
        <v>-0.45631449815002822</v>
      </c>
    </row>
    <row r="291" spans="1:7" x14ac:dyDescent="0.25">
      <c r="A291" s="15" t="s">
        <v>34</v>
      </c>
      <c r="B291" s="16">
        <v>40977</v>
      </c>
      <c r="C291" s="17">
        <v>0.37569999999999998</v>
      </c>
      <c r="D291" s="17">
        <v>0.3931</v>
      </c>
      <c r="E291" s="11">
        <f t="shared" si="12"/>
        <v>0.3901</v>
      </c>
      <c r="F291" s="11">
        <f t="shared" si="13"/>
        <v>0.50907620420760247</v>
      </c>
      <c r="G291" s="13">
        <f t="shared" si="14"/>
        <v>-0.13337620420760249</v>
      </c>
    </row>
    <row r="292" spans="1:7" x14ac:dyDescent="0.25">
      <c r="A292" s="15" t="s">
        <v>34</v>
      </c>
      <c r="B292" s="16">
        <v>40980</v>
      </c>
      <c r="C292" s="17">
        <v>0</v>
      </c>
      <c r="D292" s="17">
        <v>-1.1096999999999999</v>
      </c>
      <c r="E292" s="11">
        <f t="shared" si="12"/>
        <v>-1.1126999999999998</v>
      </c>
      <c r="F292" s="11">
        <f t="shared" si="13"/>
        <v>-1.1608189398592281</v>
      </c>
      <c r="G292" s="13">
        <f t="shared" si="14"/>
        <v>1.1608189398592281</v>
      </c>
    </row>
    <row r="293" spans="1:7" x14ac:dyDescent="0.25">
      <c r="A293" s="15" t="s">
        <v>34</v>
      </c>
      <c r="B293" s="16">
        <v>40981</v>
      </c>
      <c r="C293" s="17">
        <v>1.6119000000000001</v>
      </c>
      <c r="D293" s="17">
        <v>1.3028999999999999</v>
      </c>
      <c r="E293" s="11">
        <f t="shared" si="12"/>
        <v>1.2999000000000001</v>
      </c>
      <c r="F293" s="11">
        <f t="shared" si="13"/>
        <v>1.5200361470290045</v>
      </c>
      <c r="G293" s="13">
        <f t="shared" si="14"/>
        <v>9.1863852970995641E-2</v>
      </c>
    </row>
    <row r="294" spans="1:7" x14ac:dyDescent="0.25">
      <c r="A294" s="15" t="s">
        <v>34</v>
      </c>
      <c r="B294" s="16">
        <v>40982</v>
      </c>
      <c r="C294" s="17">
        <v>2.3100999999999998</v>
      </c>
      <c r="D294" s="17">
        <v>1.1605000000000001</v>
      </c>
      <c r="E294" s="11">
        <f t="shared" si="12"/>
        <v>1.1575000000000002</v>
      </c>
      <c r="F294" s="11">
        <f t="shared" si="13"/>
        <v>1.36180280359334</v>
      </c>
      <c r="G294" s="13">
        <f t="shared" si="14"/>
        <v>0.94829719640665977</v>
      </c>
    </row>
    <row r="295" spans="1:7" x14ac:dyDescent="0.25">
      <c r="A295" s="15" t="s">
        <v>34</v>
      </c>
      <c r="B295" s="16">
        <v>40983</v>
      </c>
      <c r="C295" s="17">
        <v>0</v>
      </c>
      <c r="D295" s="17">
        <v>-4.48E-2</v>
      </c>
      <c r="E295" s="11">
        <f t="shared" si="12"/>
        <v>-4.7800000000000002E-2</v>
      </c>
      <c r="F295" s="11">
        <f t="shared" si="13"/>
        <v>2.248644935874352E-2</v>
      </c>
      <c r="G295" s="13">
        <f t="shared" si="14"/>
        <v>-2.248644935874352E-2</v>
      </c>
    </row>
    <row r="296" spans="1:7" x14ac:dyDescent="0.25">
      <c r="A296" s="15" t="s">
        <v>34</v>
      </c>
      <c r="B296" s="16">
        <v>40984</v>
      </c>
      <c r="C296" s="17">
        <v>-2.5564</v>
      </c>
      <c r="D296" s="17">
        <v>-0.82440000000000002</v>
      </c>
      <c r="E296" s="11">
        <f t="shared" si="12"/>
        <v>-0.82740000000000002</v>
      </c>
      <c r="F296" s="11">
        <f t="shared" si="13"/>
        <v>-0.84379665838313922</v>
      </c>
      <c r="G296" s="13">
        <f t="shared" si="14"/>
        <v>-1.7126033416168607</v>
      </c>
    </row>
    <row r="297" spans="1:7" x14ac:dyDescent="0.25">
      <c r="A297" s="15" t="s">
        <v>34</v>
      </c>
      <c r="B297" s="16">
        <v>40987</v>
      </c>
      <c r="C297" s="17">
        <v>3.1556000000000002</v>
      </c>
      <c r="D297" s="17">
        <v>-0.13689999999999999</v>
      </c>
      <c r="E297" s="11">
        <f t="shared" si="12"/>
        <v>-0.1399</v>
      </c>
      <c r="F297" s="11">
        <f t="shared" si="13"/>
        <v>-7.9854076838059188E-2</v>
      </c>
      <c r="G297" s="13">
        <f t="shared" si="14"/>
        <v>3.2354540768380593</v>
      </c>
    </row>
    <row r="298" spans="1:7" x14ac:dyDescent="0.25">
      <c r="A298" s="15" t="s">
        <v>34</v>
      </c>
      <c r="B298" s="16">
        <v>40988</v>
      </c>
      <c r="C298" s="17">
        <v>-0.59919999999999995</v>
      </c>
      <c r="D298" s="17">
        <v>-0.88929999999999998</v>
      </c>
      <c r="E298" s="11">
        <f t="shared" si="12"/>
        <v>-0.89229999999999998</v>
      </c>
      <c r="F298" s="11">
        <f t="shared" si="13"/>
        <v>-0.91591283808099477</v>
      </c>
      <c r="G298" s="13">
        <f t="shared" si="14"/>
        <v>0.31671283808099482</v>
      </c>
    </row>
    <row r="299" spans="1:7" x14ac:dyDescent="0.25">
      <c r="A299" s="15" t="s">
        <v>34</v>
      </c>
      <c r="B299" s="16">
        <v>40989</v>
      </c>
      <c r="C299" s="17">
        <v>2.0226999999999999</v>
      </c>
      <c r="D299" s="17">
        <v>0.1158</v>
      </c>
      <c r="E299" s="11">
        <f t="shared" si="12"/>
        <v>0.1128</v>
      </c>
      <c r="F299" s="11">
        <f t="shared" si="13"/>
        <v>0.2009434364076742</v>
      </c>
      <c r="G299" s="13">
        <f t="shared" si="14"/>
        <v>1.8217565635923259</v>
      </c>
    </row>
    <row r="300" spans="1:7" x14ac:dyDescent="0.25">
      <c r="A300" s="15" t="s">
        <v>34</v>
      </c>
      <c r="B300" s="16">
        <v>40990</v>
      </c>
      <c r="C300" s="17">
        <v>0.35270000000000001</v>
      </c>
      <c r="D300" s="17">
        <v>0.97250000000000003</v>
      </c>
      <c r="E300" s="11">
        <f t="shared" si="12"/>
        <v>0.96950000000000003</v>
      </c>
      <c r="F300" s="11">
        <f t="shared" si="13"/>
        <v>1.1528992322035578</v>
      </c>
      <c r="G300" s="13">
        <f t="shared" si="14"/>
        <v>-0.80019923220355782</v>
      </c>
    </row>
    <row r="301" spans="1:7" x14ac:dyDescent="0.25">
      <c r="A301" s="15" t="s">
        <v>34</v>
      </c>
      <c r="B301" s="16">
        <v>40991</v>
      </c>
      <c r="C301" s="17">
        <v>0.23449999999999999</v>
      </c>
      <c r="D301" s="17">
        <v>0.20660000000000001</v>
      </c>
      <c r="E301" s="11">
        <f t="shared" si="12"/>
        <v>0.2036</v>
      </c>
      <c r="F301" s="11">
        <f t="shared" si="13"/>
        <v>0.30183941663210079</v>
      </c>
      <c r="G301" s="13">
        <f t="shared" si="14"/>
        <v>-6.7339416632100801E-2</v>
      </c>
    </row>
    <row r="302" spans="1:7" x14ac:dyDescent="0.25">
      <c r="A302" s="15" t="s">
        <v>34</v>
      </c>
      <c r="B302" s="16">
        <v>40994</v>
      </c>
      <c r="C302" s="17">
        <v>-2.1303000000000001</v>
      </c>
      <c r="D302" s="17">
        <v>-1.3586</v>
      </c>
      <c r="E302" s="11">
        <f t="shared" si="12"/>
        <v>-1.3615999999999999</v>
      </c>
      <c r="F302" s="11">
        <f t="shared" si="13"/>
        <v>-1.4373939341087854</v>
      </c>
      <c r="G302" s="13">
        <f t="shared" si="14"/>
        <v>-0.69290606589121473</v>
      </c>
    </row>
    <row r="303" spans="1:7" x14ac:dyDescent="0.25">
      <c r="A303" s="15" t="s">
        <v>34</v>
      </c>
      <c r="B303" s="16">
        <v>40995</v>
      </c>
      <c r="C303" s="17">
        <v>2.5975000000000001</v>
      </c>
      <c r="D303" s="17">
        <v>0.77310000000000001</v>
      </c>
      <c r="E303" s="11">
        <f t="shared" si="12"/>
        <v>0.77010000000000001</v>
      </c>
      <c r="F303" s="11">
        <f t="shared" si="13"/>
        <v>0.93132810382524667</v>
      </c>
      <c r="G303" s="13">
        <f t="shared" si="14"/>
        <v>1.6661718961747534</v>
      </c>
    </row>
    <row r="304" spans="1:7" x14ac:dyDescent="0.25">
      <c r="A304" s="15" t="s">
        <v>34</v>
      </c>
      <c r="B304" s="16">
        <v>40996</v>
      </c>
      <c r="C304" s="17">
        <v>-0.3503</v>
      </c>
      <c r="D304" s="17">
        <v>0.1072</v>
      </c>
      <c r="E304" s="11">
        <f t="shared" si="12"/>
        <v>0.1042</v>
      </c>
      <c r="F304" s="11">
        <f t="shared" si="13"/>
        <v>0.19138720920580121</v>
      </c>
      <c r="G304" s="13">
        <f t="shared" si="14"/>
        <v>-0.54168720920580116</v>
      </c>
    </row>
    <row r="305" spans="1:7" x14ac:dyDescent="0.25">
      <c r="A305" s="15" t="s">
        <v>34</v>
      </c>
      <c r="B305" s="16">
        <v>40997</v>
      </c>
      <c r="C305" s="17">
        <v>-1.651</v>
      </c>
      <c r="D305" s="17">
        <v>-2.0792999999999999</v>
      </c>
      <c r="E305" s="11">
        <f t="shared" si="12"/>
        <v>-2.0823</v>
      </c>
      <c r="F305" s="11">
        <f t="shared" si="13"/>
        <v>-2.2382279974099331</v>
      </c>
      <c r="G305" s="13">
        <f t="shared" si="14"/>
        <v>0.58722799740993303</v>
      </c>
    </row>
    <row r="306" spans="1:7" x14ac:dyDescent="0.25">
      <c r="A306" s="15" t="s">
        <v>34</v>
      </c>
      <c r="B306" s="16">
        <v>40998</v>
      </c>
      <c r="C306" s="17">
        <v>0.94679999999999997</v>
      </c>
      <c r="D306" s="17">
        <v>0.76349999999999996</v>
      </c>
      <c r="E306" s="11">
        <f t="shared" si="12"/>
        <v>0.76049999999999995</v>
      </c>
      <c r="F306" s="11">
        <f t="shared" si="13"/>
        <v>0.92066068741385354</v>
      </c>
      <c r="G306" s="13">
        <f t="shared" si="14"/>
        <v>2.6139312586146435E-2</v>
      </c>
    </row>
    <row r="307" spans="1:7" x14ac:dyDescent="0.25">
      <c r="A307" s="15" t="s">
        <v>34</v>
      </c>
      <c r="B307" s="16">
        <v>41001</v>
      </c>
      <c r="C307" s="17">
        <v>0.23530000000000001</v>
      </c>
      <c r="D307" s="17">
        <v>-0.88759999999999994</v>
      </c>
      <c r="E307" s="11">
        <f t="shared" si="12"/>
        <v>-0.89059999999999995</v>
      </c>
      <c r="F307" s="11">
        <f t="shared" si="13"/>
        <v>-0.91402381642481045</v>
      </c>
      <c r="G307" s="13">
        <f t="shared" si="14"/>
        <v>1.1493238164248105</v>
      </c>
    </row>
    <row r="308" spans="1:7" x14ac:dyDescent="0.25">
      <c r="A308" s="15" t="s">
        <v>34</v>
      </c>
      <c r="B308" s="16">
        <v>41002</v>
      </c>
      <c r="C308" s="17">
        <v>-0.1176</v>
      </c>
      <c r="D308" s="17">
        <v>-1.3064</v>
      </c>
      <c r="E308" s="11">
        <f t="shared" si="12"/>
        <v>-1.3093999999999999</v>
      </c>
      <c r="F308" s="11">
        <f t="shared" si="13"/>
        <v>-1.3793898573718351</v>
      </c>
      <c r="G308" s="13">
        <f t="shared" si="14"/>
        <v>1.2617898573718351</v>
      </c>
    </row>
    <row r="309" spans="1:7" x14ac:dyDescent="0.25">
      <c r="A309" s="15" t="s">
        <v>34</v>
      </c>
      <c r="B309" s="16">
        <v>41004</v>
      </c>
      <c r="C309" s="17">
        <v>-2.2606999999999999</v>
      </c>
      <c r="D309" s="17">
        <v>-1.5718000000000001</v>
      </c>
      <c r="E309" s="11">
        <f t="shared" si="12"/>
        <v>-1.5748</v>
      </c>
      <c r="F309" s="11">
        <f t="shared" si="13"/>
        <v>-1.6742994735784742</v>
      </c>
      <c r="G309" s="13">
        <f t="shared" si="14"/>
        <v>-0.58640052642152574</v>
      </c>
    </row>
    <row r="310" spans="1:7" x14ac:dyDescent="0.25">
      <c r="A310" s="15" t="s">
        <v>34</v>
      </c>
      <c r="B310" s="16">
        <v>41005</v>
      </c>
      <c r="C310" s="17">
        <v>0.83879999999999999</v>
      </c>
      <c r="D310" s="17">
        <v>0.8659</v>
      </c>
      <c r="E310" s="11">
        <f t="shared" si="12"/>
        <v>0.8629</v>
      </c>
      <c r="F310" s="11">
        <f t="shared" si="13"/>
        <v>1.0344464624687135</v>
      </c>
      <c r="G310" s="13">
        <f t="shared" si="14"/>
        <v>-0.19564646246871353</v>
      </c>
    </row>
    <row r="311" spans="1:7" x14ac:dyDescent="0.25">
      <c r="A311" s="15" t="s">
        <v>34</v>
      </c>
      <c r="B311" s="16">
        <v>41008</v>
      </c>
      <c r="C311" s="17">
        <v>-0.95920000000000005</v>
      </c>
      <c r="D311" s="17">
        <v>-1.377</v>
      </c>
      <c r="E311" s="11">
        <f t="shared" si="12"/>
        <v>-1.38</v>
      </c>
      <c r="F311" s="11">
        <f t="shared" si="13"/>
        <v>-1.4578398155639554</v>
      </c>
      <c r="G311" s="13">
        <f t="shared" si="14"/>
        <v>0.49863981556395531</v>
      </c>
    </row>
    <row r="312" spans="1:7" x14ac:dyDescent="0.25">
      <c r="A312" s="15" t="s">
        <v>34</v>
      </c>
      <c r="B312" s="16">
        <v>41009</v>
      </c>
      <c r="C312" s="17">
        <v>-1.2121</v>
      </c>
      <c r="D312" s="17">
        <v>0.52239999999999998</v>
      </c>
      <c r="E312" s="11">
        <f t="shared" si="12"/>
        <v>0.51939999999999997</v>
      </c>
      <c r="F312" s="11">
        <f t="shared" si="13"/>
        <v>0.65275296899855351</v>
      </c>
      <c r="G312" s="13">
        <f t="shared" si="14"/>
        <v>-1.8648529689985534</v>
      </c>
    </row>
    <row r="313" spans="1:7" x14ac:dyDescent="0.25">
      <c r="A313" s="15" t="s">
        <v>34</v>
      </c>
      <c r="B313" s="16">
        <v>41010</v>
      </c>
      <c r="C313" s="17">
        <v>0.48659999999999998</v>
      </c>
      <c r="D313" s="17">
        <v>0.20910000000000001</v>
      </c>
      <c r="E313" s="11">
        <f t="shared" si="12"/>
        <v>0.20610000000000001</v>
      </c>
      <c r="F313" s="11">
        <f t="shared" si="13"/>
        <v>0.30461738965590107</v>
      </c>
      <c r="G313" s="13">
        <f t="shared" si="14"/>
        <v>0.18198261034409891</v>
      </c>
    </row>
    <row r="314" spans="1:7" x14ac:dyDescent="0.25">
      <c r="A314" s="15" t="s">
        <v>34</v>
      </c>
      <c r="B314" s="16">
        <v>41011</v>
      </c>
      <c r="C314" s="17">
        <v>0.2424</v>
      </c>
      <c r="D314" s="17">
        <v>8.1600000000000006E-2</v>
      </c>
      <c r="E314" s="11">
        <f t="shared" si="12"/>
        <v>7.8600000000000003E-2</v>
      </c>
      <c r="F314" s="11">
        <f t="shared" si="13"/>
        <v>0.16294076544208624</v>
      </c>
      <c r="G314" s="13">
        <f t="shared" si="14"/>
        <v>7.945923455791376E-2</v>
      </c>
    </row>
    <row r="315" spans="1:7" x14ac:dyDescent="0.25">
      <c r="A315" s="15" t="s">
        <v>34</v>
      </c>
      <c r="B315" s="16">
        <v>41012</v>
      </c>
      <c r="C315" s="17">
        <v>2.7464</v>
      </c>
      <c r="D315" s="17">
        <v>1.6226</v>
      </c>
      <c r="E315" s="11">
        <f t="shared" si="12"/>
        <v>1.6196000000000002</v>
      </c>
      <c r="F315" s="11">
        <f t="shared" si="13"/>
        <v>1.8752833373125857</v>
      </c>
      <c r="G315" s="13">
        <f t="shared" si="14"/>
        <v>0.87111666268741428</v>
      </c>
    </row>
    <row r="316" spans="1:7" x14ac:dyDescent="0.25">
      <c r="A316" s="15" t="s">
        <v>34</v>
      </c>
      <c r="B316" s="16">
        <v>41015</v>
      </c>
      <c r="C316" s="17">
        <v>0</v>
      </c>
      <c r="D316" s="17">
        <v>-0.75280000000000002</v>
      </c>
      <c r="E316" s="11">
        <f t="shared" si="12"/>
        <v>-0.75580000000000003</v>
      </c>
      <c r="F316" s="11">
        <f t="shared" si="13"/>
        <v>-0.76423551098149889</v>
      </c>
      <c r="G316" s="13">
        <f t="shared" si="14"/>
        <v>0.76423551098149889</v>
      </c>
    </row>
    <row r="317" spans="1:7" x14ac:dyDescent="0.25">
      <c r="A317" s="15" t="s">
        <v>34</v>
      </c>
      <c r="B317" s="16">
        <v>41016</v>
      </c>
      <c r="C317" s="17">
        <v>-1.3041</v>
      </c>
      <c r="D317" s="17">
        <v>-1.8803000000000001</v>
      </c>
      <c r="E317" s="11">
        <f t="shared" si="12"/>
        <v>-1.8833</v>
      </c>
      <c r="F317" s="11">
        <f t="shared" si="13"/>
        <v>-2.0171013447154302</v>
      </c>
      <c r="G317" s="13">
        <f t="shared" si="14"/>
        <v>0.7130013447154302</v>
      </c>
    </row>
    <row r="318" spans="1:7" x14ac:dyDescent="0.25">
      <c r="A318" s="15" t="s">
        <v>34</v>
      </c>
      <c r="B318" s="16">
        <v>41017</v>
      </c>
      <c r="C318" s="17">
        <v>1.4218</v>
      </c>
      <c r="D318" s="17">
        <v>0.25190000000000001</v>
      </c>
      <c r="E318" s="11">
        <f t="shared" si="12"/>
        <v>0.24890000000000001</v>
      </c>
      <c r="F318" s="11">
        <f t="shared" si="13"/>
        <v>0.35217628782336202</v>
      </c>
      <c r="G318" s="13">
        <f t="shared" si="14"/>
        <v>1.0696237121766379</v>
      </c>
    </row>
    <row r="319" spans="1:7" x14ac:dyDescent="0.25">
      <c r="A319" s="15" t="s">
        <v>34</v>
      </c>
      <c r="B319" s="16">
        <v>41018</v>
      </c>
      <c r="C319" s="17">
        <v>0.93679999999999997</v>
      </c>
      <c r="D319" s="17">
        <v>0.23230000000000001</v>
      </c>
      <c r="E319" s="11">
        <f t="shared" si="12"/>
        <v>0.2293</v>
      </c>
      <c r="F319" s="11">
        <f t="shared" si="13"/>
        <v>0.33039697931676776</v>
      </c>
      <c r="G319" s="13">
        <f t="shared" si="14"/>
        <v>0.60640302068323226</v>
      </c>
    </row>
    <row r="320" spans="1:7" x14ac:dyDescent="0.25">
      <c r="A320" s="15" t="s">
        <v>34</v>
      </c>
      <c r="B320" s="16">
        <v>41019</v>
      </c>
      <c r="C320" s="17">
        <v>-1.7637</v>
      </c>
      <c r="D320" s="17">
        <v>-1.5273000000000001</v>
      </c>
      <c r="E320" s="11">
        <f t="shared" si="12"/>
        <v>-1.5303</v>
      </c>
      <c r="F320" s="11">
        <f t="shared" si="13"/>
        <v>-1.6248515537548289</v>
      </c>
      <c r="G320" s="13">
        <f t="shared" si="14"/>
        <v>-0.13884844624517112</v>
      </c>
    </row>
    <row r="321" spans="1:7" x14ac:dyDescent="0.25">
      <c r="A321" s="15" t="s">
        <v>34</v>
      </c>
      <c r="B321" s="16">
        <v>41022</v>
      </c>
      <c r="C321" s="17">
        <v>0</v>
      </c>
      <c r="D321" s="17">
        <v>-0.34770000000000001</v>
      </c>
      <c r="E321" s="11">
        <f t="shared" si="12"/>
        <v>-0.35070000000000001</v>
      </c>
      <c r="F321" s="11">
        <f t="shared" si="13"/>
        <v>-0.31409276220489973</v>
      </c>
      <c r="G321" s="13">
        <f t="shared" si="14"/>
        <v>0.31409276220489973</v>
      </c>
    </row>
    <row r="322" spans="1:7" x14ac:dyDescent="0.25">
      <c r="A322" s="15" t="s">
        <v>34</v>
      </c>
      <c r="B322" s="16">
        <v>41023</v>
      </c>
      <c r="C322" s="17">
        <v>0.35520000000000002</v>
      </c>
      <c r="D322" s="17">
        <v>0.23699999999999999</v>
      </c>
      <c r="E322" s="11">
        <f t="shared" si="12"/>
        <v>0.23399999999999999</v>
      </c>
      <c r="F322" s="11">
        <f t="shared" si="13"/>
        <v>0.33561956860151226</v>
      </c>
      <c r="G322" s="13">
        <f t="shared" si="14"/>
        <v>1.9580431398487752E-2</v>
      </c>
    </row>
    <row r="323" spans="1:7" x14ac:dyDescent="0.25">
      <c r="A323" s="15" t="s">
        <v>34</v>
      </c>
      <c r="B323" s="16">
        <v>41024</v>
      </c>
      <c r="C323" s="17">
        <v>-0.47389999999999999</v>
      </c>
      <c r="D323" s="17">
        <v>0.85429999999999995</v>
      </c>
      <c r="E323" s="11">
        <f t="shared" ref="E323:E386" si="15">D323-$K$1</f>
        <v>0.85129999999999995</v>
      </c>
      <c r="F323" s="11">
        <f t="shared" ref="F323:F386" si="16">K$2+K$3*E323</f>
        <v>1.0215566676382801</v>
      </c>
      <c r="G323" s="13">
        <f t="shared" ref="G323:G386" si="17">C323-F323</f>
        <v>-1.4954566676382801</v>
      </c>
    </row>
    <row r="324" spans="1:7" x14ac:dyDescent="0.25">
      <c r="A324" s="15" t="s">
        <v>34</v>
      </c>
      <c r="B324" s="16">
        <v>41025</v>
      </c>
      <c r="C324" s="17">
        <v>-0.23780000000000001</v>
      </c>
      <c r="D324" s="17">
        <v>-0.55459999999999998</v>
      </c>
      <c r="E324" s="11">
        <f t="shared" si="15"/>
        <v>-0.55759999999999998</v>
      </c>
      <c r="F324" s="11">
        <f t="shared" si="16"/>
        <v>-0.54399780965461175</v>
      </c>
      <c r="G324" s="13">
        <f t="shared" si="17"/>
        <v>0.30619780965461174</v>
      </c>
    </row>
    <row r="325" spans="1:7" x14ac:dyDescent="0.25">
      <c r="A325" s="15" t="s">
        <v>34</v>
      </c>
      <c r="B325" s="16">
        <v>41026</v>
      </c>
      <c r="C325" s="17">
        <v>2.3530000000000002</v>
      </c>
      <c r="D325" s="17">
        <v>-0.54459999999999997</v>
      </c>
      <c r="E325" s="11">
        <f t="shared" si="15"/>
        <v>-0.54759999999999998</v>
      </c>
      <c r="F325" s="11">
        <f t="shared" si="16"/>
        <v>-0.53288591755941062</v>
      </c>
      <c r="G325" s="13">
        <f t="shared" si="17"/>
        <v>2.8858859175594107</v>
      </c>
    </row>
    <row r="326" spans="1:7" x14ac:dyDescent="0.25">
      <c r="A326" s="15" t="s">
        <v>34</v>
      </c>
      <c r="B326" s="16">
        <v>41029</v>
      </c>
      <c r="C326" s="17">
        <v>0.92589999999999995</v>
      </c>
      <c r="D326" s="17">
        <v>0.2833</v>
      </c>
      <c r="E326" s="11">
        <f t="shared" si="15"/>
        <v>0.28029999999999999</v>
      </c>
      <c r="F326" s="11">
        <f t="shared" si="16"/>
        <v>0.38706762900229369</v>
      </c>
      <c r="G326" s="13">
        <f t="shared" si="17"/>
        <v>0.53883237099770631</v>
      </c>
    </row>
    <row r="327" spans="1:7" x14ac:dyDescent="0.25">
      <c r="A327" s="15" t="s">
        <v>34</v>
      </c>
      <c r="B327" s="16">
        <v>41031</v>
      </c>
      <c r="C327" s="17">
        <v>1.8265</v>
      </c>
      <c r="D327" s="17">
        <v>2.3071999999999999</v>
      </c>
      <c r="E327" s="11">
        <f t="shared" si="15"/>
        <v>2.3041999999999998</v>
      </c>
      <c r="F327" s="11">
        <f t="shared" si="16"/>
        <v>2.6360034701500568</v>
      </c>
      <c r="G327" s="13">
        <f t="shared" si="17"/>
        <v>-0.80950347015005675</v>
      </c>
    </row>
    <row r="328" spans="1:7" x14ac:dyDescent="0.25">
      <c r="A328" s="15" t="s">
        <v>34</v>
      </c>
      <c r="B328" s="16">
        <v>41032</v>
      </c>
      <c r="C328" s="17">
        <v>0.56399999999999995</v>
      </c>
      <c r="D328" s="17">
        <v>-0.2253</v>
      </c>
      <c r="E328" s="11">
        <f t="shared" si="15"/>
        <v>-0.2283</v>
      </c>
      <c r="F328" s="11">
        <f t="shared" si="16"/>
        <v>-0.17808320295963748</v>
      </c>
      <c r="G328" s="13">
        <f t="shared" si="17"/>
        <v>0.74208320295963737</v>
      </c>
    </row>
    <row r="329" spans="1:7" x14ac:dyDescent="0.25">
      <c r="A329" s="15" t="s">
        <v>34</v>
      </c>
      <c r="B329" s="16">
        <v>41033</v>
      </c>
      <c r="C329" s="17">
        <v>-1.4731000000000001</v>
      </c>
      <c r="D329" s="17">
        <v>0.5393</v>
      </c>
      <c r="E329" s="11">
        <f t="shared" si="15"/>
        <v>0.5363</v>
      </c>
      <c r="F329" s="11">
        <f t="shared" si="16"/>
        <v>0.67153206663944343</v>
      </c>
      <c r="G329" s="13">
        <f t="shared" si="17"/>
        <v>-2.1446320666394434</v>
      </c>
    </row>
    <row r="330" spans="1:7" x14ac:dyDescent="0.25">
      <c r="A330" s="15" t="s">
        <v>34</v>
      </c>
      <c r="B330" s="16">
        <v>41036</v>
      </c>
      <c r="C330" s="17">
        <v>-2.3096000000000001</v>
      </c>
      <c r="D330" s="17">
        <v>-2.1375999999999999</v>
      </c>
      <c r="E330" s="11">
        <f t="shared" si="15"/>
        <v>-2.1406000000000001</v>
      </c>
      <c r="F330" s="11">
        <f t="shared" si="16"/>
        <v>-2.3030103283249561</v>
      </c>
      <c r="G330" s="13">
        <f t="shared" si="17"/>
        <v>-6.5896716750439843E-3</v>
      </c>
    </row>
    <row r="331" spans="1:7" x14ac:dyDescent="0.25">
      <c r="A331" s="15" t="s">
        <v>34</v>
      </c>
      <c r="B331" s="16">
        <v>41037</v>
      </c>
      <c r="C331" s="17">
        <v>-1.4117999999999999</v>
      </c>
      <c r="D331" s="17">
        <v>0.1012</v>
      </c>
      <c r="E331" s="11">
        <f t="shared" si="15"/>
        <v>9.8199999999999996E-2</v>
      </c>
      <c r="F331" s="11">
        <f t="shared" si="16"/>
        <v>0.18472007394868051</v>
      </c>
      <c r="G331" s="13">
        <f t="shared" si="17"/>
        <v>-1.5965200739486805</v>
      </c>
    </row>
    <row r="332" spans="1:7" x14ac:dyDescent="0.25">
      <c r="A332" s="15" t="s">
        <v>34</v>
      </c>
      <c r="B332" s="16">
        <v>41038</v>
      </c>
      <c r="C332" s="17">
        <v>0.23669999999999999</v>
      </c>
      <c r="D332" s="17">
        <v>-0.93200000000000005</v>
      </c>
      <c r="E332" s="11">
        <f t="shared" si="15"/>
        <v>-0.93500000000000005</v>
      </c>
      <c r="F332" s="11">
        <f t="shared" si="16"/>
        <v>-0.96336061732750378</v>
      </c>
      <c r="G332" s="13">
        <f t="shared" si="17"/>
        <v>1.2000606173275037</v>
      </c>
    </row>
    <row r="333" spans="1:7" x14ac:dyDescent="0.25">
      <c r="A333" s="15" t="s">
        <v>34</v>
      </c>
      <c r="B333" s="16">
        <v>41039</v>
      </c>
      <c r="C333" s="17">
        <v>0.82399999999999995</v>
      </c>
      <c r="D333" s="17">
        <v>0.111</v>
      </c>
      <c r="E333" s="11">
        <f t="shared" si="15"/>
        <v>0.108</v>
      </c>
      <c r="F333" s="11">
        <f t="shared" si="16"/>
        <v>0.19560972820197764</v>
      </c>
      <c r="G333" s="13">
        <f t="shared" si="17"/>
        <v>0.62839027179802232</v>
      </c>
    </row>
    <row r="334" spans="1:7" x14ac:dyDescent="0.25">
      <c r="A334" s="15" t="s">
        <v>34</v>
      </c>
      <c r="B334" s="16">
        <v>41040</v>
      </c>
      <c r="C334" s="17">
        <v>0.23419999999999999</v>
      </c>
      <c r="D334" s="17">
        <v>-1.1104000000000001</v>
      </c>
      <c r="E334" s="11">
        <f t="shared" si="15"/>
        <v>-1.1133999999999999</v>
      </c>
      <c r="F334" s="11">
        <f t="shared" si="16"/>
        <v>-1.1615967723058924</v>
      </c>
      <c r="G334" s="13">
        <f t="shared" si="17"/>
        <v>1.3957967723058924</v>
      </c>
    </row>
    <row r="335" spans="1:7" x14ac:dyDescent="0.25">
      <c r="A335" s="15" t="s">
        <v>34</v>
      </c>
      <c r="B335" s="16">
        <v>41043</v>
      </c>
      <c r="C335" s="17">
        <v>-0.11700000000000001</v>
      </c>
      <c r="D335" s="17">
        <v>-0.32740000000000002</v>
      </c>
      <c r="E335" s="11">
        <f t="shared" si="15"/>
        <v>-0.33040000000000003</v>
      </c>
      <c r="F335" s="11">
        <f t="shared" si="16"/>
        <v>-0.2915356212516414</v>
      </c>
      <c r="G335" s="13">
        <f t="shared" si="17"/>
        <v>0.1745356212516414</v>
      </c>
    </row>
    <row r="336" spans="1:7" x14ac:dyDescent="0.25">
      <c r="A336" s="15" t="s">
        <v>34</v>
      </c>
      <c r="B336" s="16">
        <v>41044</v>
      </c>
      <c r="C336" s="17">
        <v>0.11700000000000001</v>
      </c>
      <c r="D336" s="17">
        <v>0.24990000000000001</v>
      </c>
      <c r="E336" s="11">
        <f t="shared" si="15"/>
        <v>0.24690000000000001</v>
      </c>
      <c r="F336" s="11">
        <f t="shared" si="16"/>
        <v>0.34995390940432181</v>
      </c>
      <c r="G336" s="13">
        <f t="shared" si="17"/>
        <v>-0.23295390940432181</v>
      </c>
    </row>
    <row r="337" spans="1:7" x14ac:dyDescent="0.25">
      <c r="A337" s="15" t="s">
        <v>34</v>
      </c>
      <c r="B337" s="16">
        <v>41045</v>
      </c>
      <c r="C337" s="17">
        <v>-2.4868000000000001</v>
      </c>
      <c r="D337" s="17">
        <v>-2.202</v>
      </c>
      <c r="E337" s="11">
        <f t="shared" si="15"/>
        <v>-2.2050000000000001</v>
      </c>
      <c r="F337" s="11">
        <f t="shared" si="16"/>
        <v>-2.3745709134180517</v>
      </c>
      <c r="G337" s="13">
        <f t="shared" si="17"/>
        <v>-0.11222908658194841</v>
      </c>
    </row>
    <row r="338" spans="1:7" x14ac:dyDescent="0.25">
      <c r="A338" s="15" t="s">
        <v>34</v>
      </c>
      <c r="B338" s="16">
        <v>41046</v>
      </c>
      <c r="C338" s="17">
        <v>2.0179</v>
      </c>
      <c r="D338" s="17">
        <v>1.675</v>
      </c>
      <c r="E338" s="11">
        <f t="shared" si="15"/>
        <v>1.6720000000000002</v>
      </c>
      <c r="F338" s="11">
        <f t="shared" si="16"/>
        <v>1.9335096518914399</v>
      </c>
      <c r="G338" s="13">
        <f t="shared" si="17"/>
        <v>8.4390348108560165E-2</v>
      </c>
    </row>
    <row r="339" spans="1:7" x14ac:dyDescent="0.25">
      <c r="A339" s="15" t="s">
        <v>34</v>
      </c>
      <c r="B339" s="16">
        <v>41047</v>
      </c>
      <c r="C339" s="17">
        <v>-3.9550000000000001</v>
      </c>
      <c r="D339" s="17">
        <v>-2.8342000000000001</v>
      </c>
      <c r="E339" s="11">
        <f t="shared" si="15"/>
        <v>-2.8372000000000002</v>
      </c>
      <c r="F339" s="11">
        <f t="shared" si="16"/>
        <v>-3.0770647316766691</v>
      </c>
      <c r="G339" s="13">
        <f t="shared" si="17"/>
        <v>-0.87793526832333102</v>
      </c>
    </row>
    <row r="340" spans="1:7" x14ac:dyDescent="0.25">
      <c r="A340" s="15" t="s">
        <v>34</v>
      </c>
      <c r="B340" s="16">
        <v>41050</v>
      </c>
      <c r="C340" s="17">
        <v>0.85209999999999997</v>
      </c>
      <c r="D340" s="17">
        <v>0.57230000000000003</v>
      </c>
      <c r="E340" s="11">
        <f t="shared" si="15"/>
        <v>0.56930000000000003</v>
      </c>
      <c r="F340" s="11">
        <f t="shared" si="16"/>
        <v>0.70820131055360735</v>
      </c>
      <c r="G340" s="13">
        <f t="shared" si="17"/>
        <v>0.14389868944639261</v>
      </c>
    </row>
    <row r="341" spans="1:7" x14ac:dyDescent="0.25">
      <c r="A341" s="15" t="s">
        <v>34</v>
      </c>
      <c r="B341" s="16">
        <v>41051</v>
      </c>
      <c r="C341" s="17">
        <v>-0.36430000000000001</v>
      </c>
      <c r="D341" s="17">
        <v>1.1427</v>
      </c>
      <c r="E341" s="11">
        <f t="shared" si="15"/>
        <v>1.1397000000000002</v>
      </c>
      <c r="F341" s="11">
        <f t="shared" si="16"/>
        <v>1.3420236356638819</v>
      </c>
      <c r="G341" s="13">
        <f t="shared" si="17"/>
        <v>-1.706323635663882</v>
      </c>
    </row>
    <row r="342" spans="1:7" x14ac:dyDescent="0.25">
      <c r="A342" s="15" t="s">
        <v>34</v>
      </c>
      <c r="B342" s="16">
        <v>41052</v>
      </c>
      <c r="C342" s="17">
        <v>-3.8441999999999998</v>
      </c>
      <c r="D342" s="17">
        <v>-1.7630999999999999</v>
      </c>
      <c r="E342" s="11">
        <f t="shared" si="15"/>
        <v>-1.7660999999999998</v>
      </c>
      <c r="F342" s="11">
        <f t="shared" si="16"/>
        <v>-1.8868699693596722</v>
      </c>
      <c r="G342" s="13">
        <f t="shared" si="17"/>
        <v>-1.9573300306403276</v>
      </c>
    </row>
    <row r="343" spans="1:7" x14ac:dyDescent="0.25">
      <c r="A343" s="15" t="s">
        <v>34</v>
      </c>
      <c r="B343" s="16">
        <v>41053</v>
      </c>
      <c r="C343" s="17">
        <v>1.8786</v>
      </c>
      <c r="D343" s="17">
        <v>-0.32029999999999997</v>
      </c>
      <c r="E343" s="11">
        <f t="shared" si="15"/>
        <v>-0.32329999999999998</v>
      </c>
      <c r="F343" s="11">
        <f t="shared" si="16"/>
        <v>-0.2836461778640485</v>
      </c>
      <c r="G343" s="13">
        <f t="shared" si="17"/>
        <v>2.1622461778640485</v>
      </c>
    </row>
    <row r="344" spans="1:7" x14ac:dyDescent="0.25">
      <c r="A344" s="15" t="s">
        <v>34</v>
      </c>
      <c r="B344" s="16">
        <v>41054</v>
      </c>
      <c r="C344" s="17">
        <v>-0.74719999999999998</v>
      </c>
      <c r="D344" s="17">
        <v>-0.75029999999999997</v>
      </c>
      <c r="E344" s="11">
        <f t="shared" si="15"/>
        <v>-0.75329999999999997</v>
      </c>
      <c r="F344" s="11">
        <f t="shared" si="16"/>
        <v>-0.76145753795769855</v>
      </c>
      <c r="G344" s="13">
        <f t="shared" si="17"/>
        <v>1.4257537957698574E-2</v>
      </c>
    </row>
    <row r="345" spans="1:7" x14ac:dyDescent="0.25">
      <c r="A345" s="15" t="s">
        <v>34</v>
      </c>
      <c r="B345" s="16">
        <v>41057</v>
      </c>
      <c r="C345" s="17">
        <v>1.9802999999999999</v>
      </c>
      <c r="D345" s="17">
        <v>0.90610000000000002</v>
      </c>
      <c r="E345" s="11">
        <f t="shared" si="15"/>
        <v>0.90310000000000001</v>
      </c>
      <c r="F345" s="11">
        <f t="shared" si="16"/>
        <v>1.0791162686914222</v>
      </c>
      <c r="G345" s="13">
        <f t="shared" si="17"/>
        <v>0.90118373130857776</v>
      </c>
    </row>
    <row r="346" spans="1:7" x14ac:dyDescent="0.25">
      <c r="A346" s="15" t="s">
        <v>34</v>
      </c>
      <c r="B346" s="16">
        <v>41058</v>
      </c>
      <c r="C346" s="17">
        <v>0.85419999999999996</v>
      </c>
      <c r="D346" s="17">
        <v>2.8498000000000001</v>
      </c>
      <c r="E346" s="11">
        <f t="shared" si="15"/>
        <v>2.8468</v>
      </c>
      <c r="F346" s="11">
        <f t="shared" si="16"/>
        <v>3.2389347352356723</v>
      </c>
      <c r="G346" s="13">
        <f t="shared" si="17"/>
        <v>-2.3847347352356723</v>
      </c>
    </row>
    <row r="347" spans="1:7" x14ac:dyDescent="0.25">
      <c r="A347" s="15" t="s">
        <v>34</v>
      </c>
      <c r="B347" s="16">
        <v>41059</v>
      </c>
      <c r="C347" s="17">
        <v>-0.73170000000000002</v>
      </c>
      <c r="D347" s="17">
        <v>-1.1023000000000001</v>
      </c>
      <c r="E347" s="11">
        <f t="shared" si="15"/>
        <v>-1.1052999999999999</v>
      </c>
      <c r="F347" s="11">
        <f t="shared" si="16"/>
        <v>-1.1525961397087794</v>
      </c>
      <c r="G347" s="13">
        <f t="shared" si="17"/>
        <v>0.42089613970877937</v>
      </c>
    </row>
    <row r="348" spans="1:7" x14ac:dyDescent="0.25">
      <c r="A348" s="15" t="s">
        <v>34</v>
      </c>
      <c r="B348" s="16">
        <v>41060</v>
      </c>
      <c r="C348" s="17">
        <v>4.0773000000000001</v>
      </c>
      <c r="D348" s="17">
        <v>0.54520000000000002</v>
      </c>
      <c r="E348" s="11">
        <f t="shared" si="15"/>
        <v>0.54220000000000002</v>
      </c>
      <c r="F348" s="11">
        <f t="shared" si="16"/>
        <v>0.67808808297561218</v>
      </c>
      <c r="G348" s="13">
        <f t="shared" si="17"/>
        <v>3.3992119170243882</v>
      </c>
    </row>
    <row r="349" spans="1:7" x14ac:dyDescent="0.25">
      <c r="A349" s="15" t="s">
        <v>34</v>
      </c>
      <c r="B349" s="16">
        <v>41061</v>
      </c>
      <c r="C349" s="17">
        <v>-6.3051000000000004</v>
      </c>
      <c r="D349" s="17">
        <v>-2.7128000000000001</v>
      </c>
      <c r="E349" s="11">
        <f t="shared" si="15"/>
        <v>-2.7158000000000002</v>
      </c>
      <c r="F349" s="11">
        <f t="shared" si="16"/>
        <v>-2.9421663616409273</v>
      </c>
      <c r="G349" s="13">
        <f t="shared" si="17"/>
        <v>-3.3629336383590731</v>
      </c>
    </row>
    <row r="350" spans="1:7" x14ac:dyDescent="0.25">
      <c r="A350" s="15" t="s">
        <v>34</v>
      </c>
      <c r="B350" s="16">
        <v>41064</v>
      </c>
      <c r="C350" s="17">
        <v>-4.3484999999999996</v>
      </c>
      <c r="D350" s="17">
        <v>-3.0205000000000002</v>
      </c>
      <c r="E350" s="11">
        <f t="shared" si="15"/>
        <v>-3.0235000000000003</v>
      </c>
      <c r="F350" s="11">
        <f t="shared" si="16"/>
        <v>-3.2840792814102668</v>
      </c>
      <c r="G350" s="13">
        <f t="shared" si="17"/>
        <v>-1.0644207185897328</v>
      </c>
    </row>
    <row r="351" spans="1:7" x14ac:dyDescent="0.25">
      <c r="A351" s="15" t="s">
        <v>34</v>
      </c>
      <c r="B351" s="16">
        <v>41065</v>
      </c>
      <c r="C351" s="17">
        <v>2.1979000000000002</v>
      </c>
      <c r="D351" s="17">
        <v>1.5226999999999999</v>
      </c>
      <c r="E351" s="11">
        <f t="shared" si="15"/>
        <v>1.5197000000000001</v>
      </c>
      <c r="F351" s="11">
        <f t="shared" si="16"/>
        <v>1.764275535281526</v>
      </c>
      <c r="G351" s="13">
        <f t="shared" si="17"/>
        <v>0.43362446471847416</v>
      </c>
    </row>
    <row r="352" spans="1:7" x14ac:dyDescent="0.25">
      <c r="A352" s="15" t="s">
        <v>34</v>
      </c>
      <c r="B352" s="16">
        <v>41066</v>
      </c>
      <c r="C352" s="17">
        <v>-0.51280000000000003</v>
      </c>
      <c r="D352" s="17">
        <v>0.79249999999999998</v>
      </c>
      <c r="E352" s="11">
        <f t="shared" si="15"/>
        <v>0.78949999999999998</v>
      </c>
      <c r="F352" s="11">
        <f t="shared" si="16"/>
        <v>0.95288517448993693</v>
      </c>
      <c r="G352" s="13">
        <f t="shared" si="17"/>
        <v>-1.4656851744899368</v>
      </c>
    </row>
    <row r="353" spans="1:7" x14ac:dyDescent="0.25">
      <c r="A353" s="15" t="s">
        <v>34</v>
      </c>
      <c r="B353" s="16">
        <v>41067</v>
      </c>
      <c r="C353" s="17">
        <v>2.5381999999999998</v>
      </c>
      <c r="D353" s="17">
        <v>0.34179999999999999</v>
      </c>
      <c r="E353" s="11">
        <f t="shared" si="15"/>
        <v>0.33879999999999999</v>
      </c>
      <c r="F353" s="11">
        <f t="shared" si="16"/>
        <v>0.45207219775922047</v>
      </c>
      <c r="G353" s="13">
        <f t="shared" si="17"/>
        <v>2.0861278022407794</v>
      </c>
    </row>
    <row r="354" spans="1:7" x14ac:dyDescent="0.25">
      <c r="A354" s="15" t="s">
        <v>34</v>
      </c>
      <c r="B354" s="16">
        <v>41068</v>
      </c>
      <c r="C354" s="17">
        <v>-2.4098000000000002</v>
      </c>
      <c r="D354" s="17">
        <v>-1.1457999999999999</v>
      </c>
      <c r="E354" s="11">
        <f t="shared" si="15"/>
        <v>-1.1487999999999998</v>
      </c>
      <c r="F354" s="11">
        <f t="shared" si="16"/>
        <v>-1.2009328703229043</v>
      </c>
      <c r="G354" s="13">
        <f t="shared" si="17"/>
        <v>-1.2088671296770959</v>
      </c>
    </row>
    <row r="355" spans="1:7" x14ac:dyDescent="0.25">
      <c r="A355" s="15" t="s">
        <v>34</v>
      </c>
      <c r="B355" s="16">
        <v>41071</v>
      </c>
      <c r="C355" s="17">
        <v>3.1587999999999998</v>
      </c>
      <c r="D355" s="17">
        <v>1.708</v>
      </c>
      <c r="E355" s="11">
        <f t="shared" si="15"/>
        <v>1.7050000000000001</v>
      </c>
      <c r="F355" s="11">
        <f t="shared" si="16"/>
        <v>1.9701788958056035</v>
      </c>
      <c r="G355" s="13">
        <f t="shared" si="17"/>
        <v>1.1886211041943964</v>
      </c>
    </row>
    <row r="356" spans="1:7" x14ac:dyDescent="0.25">
      <c r="A356" s="15" t="s">
        <v>34</v>
      </c>
      <c r="B356" s="16">
        <v>41072</v>
      </c>
      <c r="C356" s="17">
        <v>-1.2516</v>
      </c>
      <c r="D356" s="17">
        <v>-0.67849999999999999</v>
      </c>
      <c r="E356" s="11">
        <f t="shared" si="15"/>
        <v>-0.68149999999999999</v>
      </c>
      <c r="F356" s="11">
        <f t="shared" si="16"/>
        <v>-0.68167415271415421</v>
      </c>
      <c r="G356" s="13">
        <f t="shared" si="17"/>
        <v>-0.56992584728584583</v>
      </c>
    </row>
    <row r="357" spans="1:7" x14ac:dyDescent="0.25">
      <c r="A357" s="15" t="s">
        <v>34</v>
      </c>
      <c r="B357" s="16">
        <v>41073</v>
      </c>
      <c r="C357" s="17">
        <v>0.75280000000000002</v>
      </c>
      <c r="D357" s="17">
        <v>0.2366</v>
      </c>
      <c r="E357" s="11">
        <f t="shared" si="15"/>
        <v>0.2336</v>
      </c>
      <c r="F357" s="11">
        <f t="shared" si="16"/>
        <v>0.33517509291770425</v>
      </c>
      <c r="G357" s="13">
        <f t="shared" si="17"/>
        <v>0.41762490708229577</v>
      </c>
    </row>
    <row r="358" spans="1:7" x14ac:dyDescent="0.25">
      <c r="A358" s="15" t="s">
        <v>34</v>
      </c>
      <c r="B358" s="16">
        <v>41074</v>
      </c>
      <c r="C358" s="17">
        <v>-1.0049999999999999</v>
      </c>
      <c r="D358" s="17">
        <v>-0.19389999999999999</v>
      </c>
      <c r="E358" s="11">
        <f t="shared" si="15"/>
        <v>-0.19689999999999999</v>
      </c>
      <c r="F358" s="11">
        <f t="shared" si="16"/>
        <v>-0.14319186178070581</v>
      </c>
      <c r="G358" s="13">
        <f t="shared" si="17"/>
        <v>-0.86180813821929414</v>
      </c>
    </row>
    <row r="359" spans="1:7" x14ac:dyDescent="0.25">
      <c r="A359" s="15" t="s">
        <v>34</v>
      </c>
      <c r="B359" s="16">
        <v>41075</v>
      </c>
      <c r="C359" s="17">
        <v>-1.3986000000000001</v>
      </c>
      <c r="D359" s="17">
        <v>1.1346000000000001</v>
      </c>
      <c r="E359" s="11">
        <f t="shared" si="15"/>
        <v>1.1316000000000002</v>
      </c>
      <c r="F359" s="11">
        <f t="shared" si="16"/>
        <v>1.3330230030667689</v>
      </c>
      <c r="G359" s="13">
        <f t="shared" si="17"/>
        <v>-2.731623003066769</v>
      </c>
    </row>
    <row r="360" spans="1:7" x14ac:dyDescent="0.25">
      <c r="A360" s="15" t="s">
        <v>34</v>
      </c>
      <c r="B360" s="16">
        <v>41078</v>
      </c>
      <c r="C360" s="17">
        <v>3.3986999999999998</v>
      </c>
      <c r="D360" s="17">
        <v>1.7408999999999999</v>
      </c>
      <c r="E360" s="11">
        <f t="shared" si="15"/>
        <v>1.7379</v>
      </c>
      <c r="F360" s="11">
        <f t="shared" si="16"/>
        <v>2.0067370207988153</v>
      </c>
      <c r="G360" s="13">
        <f t="shared" si="17"/>
        <v>1.3919629792011845</v>
      </c>
    </row>
    <row r="361" spans="1:7" x14ac:dyDescent="0.25">
      <c r="A361" s="15" t="s">
        <v>34</v>
      </c>
      <c r="B361" s="16">
        <v>41079</v>
      </c>
      <c r="C361" s="17">
        <v>-0.372</v>
      </c>
      <c r="D361" s="17">
        <v>-0.115</v>
      </c>
      <c r="E361" s="11">
        <f t="shared" si="15"/>
        <v>-0.11800000000000001</v>
      </c>
      <c r="F361" s="11">
        <f t="shared" si="16"/>
        <v>-5.5519033149568645E-2</v>
      </c>
      <c r="G361" s="13">
        <f t="shared" si="17"/>
        <v>-0.31648096685043137</v>
      </c>
    </row>
    <row r="362" spans="1:7" x14ac:dyDescent="0.25">
      <c r="A362" s="15" t="s">
        <v>34</v>
      </c>
      <c r="B362" s="16">
        <v>41080</v>
      </c>
      <c r="C362" s="17">
        <v>1.3572</v>
      </c>
      <c r="D362" s="17">
        <v>0.84199999999999997</v>
      </c>
      <c r="E362" s="11">
        <f t="shared" si="15"/>
        <v>0.83899999999999997</v>
      </c>
      <c r="F362" s="11">
        <f t="shared" si="16"/>
        <v>1.0078890403611827</v>
      </c>
      <c r="G362" s="13">
        <f t="shared" si="17"/>
        <v>0.34931095963881731</v>
      </c>
    </row>
    <row r="363" spans="1:7" x14ac:dyDescent="0.25">
      <c r="A363" s="15" t="s">
        <v>34</v>
      </c>
      <c r="B363" s="16">
        <v>41081</v>
      </c>
      <c r="C363" s="17">
        <v>-1.2331000000000001</v>
      </c>
      <c r="D363" s="17">
        <v>-0.76070000000000004</v>
      </c>
      <c r="E363" s="11">
        <f t="shared" si="15"/>
        <v>-0.76370000000000005</v>
      </c>
      <c r="F363" s="11">
        <f t="shared" si="16"/>
        <v>-0.77301390573670781</v>
      </c>
      <c r="G363" s="13">
        <f t="shared" si="17"/>
        <v>-0.46008609426329228</v>
      </c>
    </row>
    <row r="364" spans="1:7" x14ac:dyDescent="0.25">
      <c r="A364" s="15" t="s">
        <v>34</v>
      </c>
      <c r="B364" s="16">
        <v>41082</v>
      </c>
      <c r="C364" s="17">
        <v>-0.62229999999999996</v>
      </c>
      <c r="D364" s="17">
        <v>-0.78620000000000001</v>
      </c>
      <c r="E364" s="11">
        <f t="shared" si="15"/>
        <v>-0.78920000000000001</v>
      </c>
      <c r="F364" s="11">
        <f t="shared" si="16"/>
        <v>-0.80134923057947072</v>
      </c>
      <c r="G364" s="13">
        <f t="shared" si="17"/>
        <v>0.17904923057947075</v>
      </c>
    </row>
    <row r="365" spans="1:7" x14ac:dyDescent="0.25">
      <c r="A365" s="15" t="s">
        <v>34</v>
      </c>
      <c r="B365" s="16">
        <v>41085</v>
      </c>
      <c r="C365" s="17">
        <v>-0.62619999999999998</v>
      </c>
      <c r="D365" s="17">
        <v>-0.77380000000000004</v>
      </c>
      <c r="E365" s="11">
        <f t="shared" si="15"/>
        <v>-0.77680000000000005</v>
      </c>
      <c r="F365" s="11">
        <f t="shared" si="16"/>
        <v>-0.78757048438142141</v>
      </c>
      <c r="G365" s="13">
        <f t="shared" si="17"/>
        <v>0.16137048438142143</v>
      </c>
    </row>
    <row r="366" spans="1:7" x14ac:dyDescent="0.25">
      <c r="A366" s="15" t="s">
        <v>34</v>
      </c>
      <c r="B366" s="16">
        <v>41086</v>
      </c>
      <c r="C366" s="17">
        <v>-1.1371</v>
      </c>
      <c r="D366" s="17">
        <v>-0.39779999999999999</v>
      </c>
      <c r="E366" s="11">
        <f t="shared" si="15"/>
        <v>-0.40079999999999999</v>
      </c>
      <c r="F366" s="11">
        <f t="shared" si="16"/>
        <v>-0.36976334160185753</v>
      </c>
      <c r="G366" s="13">
        <f t="shared" si="17"/>
        <v>-0.76733665839814247</v>
      </c>
    </row>
    <row r="367" spans="1:7" x14ac:dyDescent="0.25">
      <c r="A367" s="15" t="s">
        <v>34</v>
      </c>
      <c r="B367" s="16">
        <v>41087</v>
      </c>
      <c r="C367" s="17">
        <v>0.75949999999999995</v>
      </c>
      <c r="D367" s="17">
        <v>0.62960000000000005</v>
      </c>
      <c r="E367" s="11">
        <f t="shared" si="15"/>
        <v>0.62660000000000005</v>
      </c>
      <c r="F367" s="11">
        <f t="shared" si="16"/>
        <v>0.77187245225911005</v>
      </c>
      <c r="G367" s="13">
        <f t="shared" si="17"/>
        <v>-1.23724522591101E-2</v>
      </c>
    </row>
    <row r="368" spans="1:7" x14ac:dyDescent="0.25">
      <c r="A368" s="15" t="s">
        <v>34</v>
      </c>
      <c r="B368" s="16">
        <v>41088</v>
      </c>
      <c r="C368" s="17">
        <v>0.75380000000000003</v>
      </c>
      <c r="D368" s="17">
        <v>-0.1867</v>
      </c>
      <c r="E368" s="11">
        <f t="shared" si="15"/>
        <v>-0.18970000000000001</v>
      </c>
      <c r="F368" s="11">
        <f t="shared" si="16"/>
        <v>-0.13519129947216102</v>
      </c>
      <c r="G368" s="13">
        <f t="shared" si="17"/>
        <v>0.88899129947216105</v>
      </c>
    </row>
    <row r="369" spans="1:7" x14ac:dyDescent="0.25">
      <c r="A369" s="15" t="s">
        <v>34</v>
      </c>
      <c r="B369" s="16">
        <v>41089</v>
      </c>
      <c r="C369" s="17">
        <v>1.7370000000000001</v>
      </c>
      <c r="D369" s="17">
        <v>1.7513000000000001</v>
      </c>
      <c r="E369" s="11">
        <f t="shared" si="15"/>
        <v>1.7483000000000002</v>
      </c>
      <c r="F369" s="11">
        <f t="shared" si="16"/>
        <v>2.0182933885778249</v>
      </c>
      <c r="G369" s="13">
        <f t="shared" si="17"/>
        <v>-0.28129338857782482</v>
      </c>
    </row>
    <row r="370" spans="1:7" x14ac:dyDescent="0.25">
      <c r="A370" s="15" t="s">
        <v>34</v>
      </c>
      <c r="B370" s="16">
        <v>41092</v>
      </c>
      <c r="C370" s="17">
        <v>2.4302999999999999</v>
      </c>
      <c r="D370" s="17">
        <v>0.66769999999999996</v>
      </c>
      <c r="E370" s="11">
        <f t="shared" si="15"/>
        <v>0.66469999999999996</v>
      </c>
      <c r="F370" s="11">
        <f t="shared" si="16"/>
        <v>0.81420876114182639</v>
      </c>
      <c r="G370" s="13">
        <f t="shared" si="17"/>
        <v>1.6160912388581736</v>
      </c>
    </row>
    <row r="371" spans="1:7" x14ac:dyDescent="0.25">
      <c r="A371" s="15" t="s">
        <v>34</v>
      </c>
      <c r="B371" s="16">
        <v>41093</v>
      </c>
      <c r="C371" s="17">
        <v>1.0746</v>
      </c>
      <c r="D371" s="17">
        <v>0.99160000000000004</v>
      </c>
      <c r="E371" s="11">
        <f t="shared" si="15"/>
        <v>0.98860000000000003</v>
      </c>
      <c r="F371" s="11">
        <f t="shared" si="16"/>
        <v>1.1741229461053921</v>
      </c>
      <c r="G371" s="13">
        <f t="shared" si="17"/>
        <v>-9.952294610539214E-2</v>
      </c>
    </row>
    <row r="372" spans="1:7" x14ac:dyDescent="0.25">
      <c r="A372" s="15" t="s">
        <v>34</v>
      </c>
      <c r="B372" s="16">
        <v>41094</v>
      </c>
      <c r="C372" s="17">
        <v>-5.9999999999999995E-4</v>
      </c>
      <c r="D372" s="17">
        <v>5.7000000000000002E-2</v>
      </c>
      <c r="E372" s="11">
        <f t="shared" si="15"/>
        <v>5.3999999999999999E-2</v>
      </c>
      <c r="F372" s="11">
        <f t="shared" si="16"/>
        <v>0.13560551088789136</v>
      </c>
      <c r="G372" s="13">
        <f t="shared" si="17"/>
        <v>-0.13620551088789135</v>
      </c>
    </row>
    <row r="373" spans="1:7" x14ac:dyDescent="0.25">
      <c r="A373" s="15" t="s">
        <v>34</v>
      </c>
      <c r="B373" s="16">
        <v>41095</v>
      </c>
      <c r="C373" s="17">
        <v>-0.24660000000000001</v>
      </c>
      <c r="D373" s="17">
        <v>-0.47010000000000002</v>
      </c>
      <c r="E373" s="11">
        <f t="shared" si="15"/>
        <v>-0.47310000000000002</v>
      </c>
      <c r="F373" s="11">
        <f t="shared" si="16"/>
        <v>-0.45010232145016205</v>
      </c>
      <c r="G373" s="13">
        <f t="shared" si="17"/>
        <v>0.20350232145016203</v>
      </c>
    </row>
    <row r="374" spans="1:7" x14ac:dyDescent="0.25">
      <c r="A374" s="15" t="s">
        <v>34</v>
      </c>
      <c r="B374" s="16">
        <v>41096</v>
      </c>
      <c r="C374" s="17">
        <v>-0.1235</v>
      </c>
      <c r="D374" s="17">
        <v>-0.2601</v>
      </c>
      <c r="E374" s="11">
        <f t="shared" si="15"/>
        <v>-0.2631</v>
      </c>
      <c r="F374" s="11">
        <f t="shared" si="16"/>
        <v>-0.21675258745093756</v>
      </c>
      <c r="G374" s="13">
        <f t="shared" si="17"/>
        <v>9.3252587450937563E-2</v>
      </c>
    </row>
    <row r="375" spans="1:7" x14ac:dyDescent="0.25">
      <c r="A375" s="15" t="s">
        <v>34</v>
      </c>
      <c r="B375" s="16">
        <v>41099</v>
      </c>
      <c r="C375" s="17">
        <v>-1.1187</v>
      </c>
      <c r="D375" s="17">
        <v>-0.79890000000000005</v>
      </c>
      <c r="E375" s="11">
        <f t="shared" si="15"/>
        <v>-0.80190000000000006</v>
      </c>
      <c r="F375" s="11">
        <f t="shared" si="16"/>
        <v>-0.81546133354037631</v>
      </c>
      <c r="G375" s="13">
        <f t="shared" si="17"/>
        <v>-0.30323866645962372</v>
      </c>
    </row>
    <row r="376" spans="1:7" x14ac:dyDescent="0.25">
      <c r="A376" s="15" t="s">
        <v>34</v>
      </c>
      <c r="B376" s="16">
        <v>41100</v>
      </c>
      <c r="C376" s="17">
        <v>-1.1314</v>
      </c>
      <c r="D376" s="17">
        <v>-0.80500000000000005</v>
      </c>
      <c r="E376" s="11">
        <f t="shared" si="15"/>
        <v>-0.80800000000000005</v>
      </c>
      <c r="F376" s="11">
        <f t="shared" si="16"/>
        <v>-0.82223958771844896</v>
      </c>
      <c r="G376" s="13">
        <f t="shared" si="17"/>
        <v>-0.309160412281551</v>
      </c>
    </row>
    <row r="377" spans="1:7" x14ac:dyDescent="0.25">
      <c r="A377" s="15" t="s">
        <v>34</v>
      </c>
      <c r="B377" s="16">
        <v>41101</v>
      </c>
      <c r="C377" s="17">
        <v>-1.2723</v>
      </c>
      <c r="D377" s="17">
        <v>9.0399999999999994E-2</v>
      </c>
      <c r="E377" s="11">
        <f t="shared" si="15"/>
        <v>8.7399999999999992E-2</v>
      </c>
      <c r="F377" s="11">
        <f t="shared" si="16"/>
        <v>0.17271923048586324</v>
      </c>
      <c r="G377" s="13">
        <f t="shared" si="17"/>
        <v>-1.4450192304858631</v>
      </c>
    </row>
    <row r="378" spans="1:7" x14ac:dyDescent="0.25">
      <c r="A378" s="15" t="s">
        <v>34</v>
      </c>
      <c r="B378" s="16">
        <v>41102</v>
      </c>
      <c r="C378" s="17">
        <v>-3.1212</v>
      </c>
      <c r="D378" s="17">
        <v>-1.7649999999999999</v>
      </c>
      <c r="E378" s="11">
        <f t="shared" si="15"/>
        <v>-1.7679999999999998</v>
      </c>
      <c r="F378" s="11">
        <f t="shared" si="16"/>
        <v>-1.8889812288577603</v>
      </c>
      <c r="G378" s="13">
        <f t="shared" si="17"/>
        <v>-1.2322187711422397</v>
      </c>
    </row>
    <row r="379" spans="1:7" x14ac:dyDescent="0.25">
      <c r="A379" s="15" t="s">
        <v>34</v>
      </c>
      <c r="B379" s="16">
        <v>41103</v>
      </c>
      <c r="C379" s="17">
        <v>0.13200000000000001</v>
      </c>
      <c r="D379" s="17">
        <v>-0.37459999999999999</v>
      </c>
      <c r="E379" s="11">
        <f t="shared" si="15"/>
        <v>-0.37759999999999999</v>
      </c>
      <c r="F379" s="11">
        <f t="shared" si="16"/>
        <v>-0.34398375194099085</v>
      </c>
      <c r="G379" s="13">
        <f t="shared" si="17"/>
        <v>0.47598375194099085</v>
      </c>
    </row>
    <row r="380" spans="1:7" x14ac:dyDescent="0.25">
      <c r="A380" s="15" t="s">
        <v>34</v>
      </c>
      <c r="B380" s="16">
        <v>41106</v>
      </c>
      <c r="C380" s="17">
        <v>-0.39660000000000001</v>
      </c>
      <c r="D380" s="17">
        <v>-0.20050000000000001</v>
      </c>
      <c r="E380" s="11">
        <f t="shared" si="15"/>
        <v>-0.20350000000000001</v>
      </c>
      <c r="F380" s="11">
        <f t="shared" si="16"/>
        <v>-0.15052571056353858</v>
      </c>
      <c r="G380" s="13">
        <f t="shared" si="17"/>
        <v>-0.24607428943646142</v>
      </c>
    </row>
    <row r="381" spans="1:7" x14ac:dyDescent="0.25">
      <c r="A381" s="15" t="s">
        <v>34</v>
      </c>
      <c r="B381" s="16">
        <v>41107</v>
      </c>
      <c r="C381" s="17">
        <v>-0.93149999999999999</v>
      </c>
      <c r="D381" s="17">
        <v>0.51990000000000003</v>
      </c>
      <c r="E381" s="11">
        <f t="shared" si="15"/>
        <v>0.51690000000000003</v>
      </c>
      <c r="F381" s="11">
        <f t="shared" si="16"/>
        <v>0.64997499597475328</v>
      </c>
      <c r="G381" s="13">
        <f t="shared" si="17"/>
        <v>-1.5814749959747534</v>
      </c>
    </row>
    <row r="382" spans="1:7" x14ac:dyDescent="0.25">
      <c r="A382" s="15" t="s">
        <v>34</v>
      </c>
      <c r="B382" s="16">
        <v>41108</v>
      </c>
      <c r="C382" s="17">
        <v>0</v>
      </c>
      <c r="D382" s="17">
        <v>-1.0998000000000001</v>
      </c>
      <c r="E382" s="11">
        <f t="shared" si="15"/>
        <v>-1.1028</v>
      </c>
      <c r="F382" s="11">
        <f t="shared" si="16"/>
        <v>-1.1498181666849792</v>
      </c>
      <c r="G382" s="13">
        <f t="shared" si="17"/>
        <v>1.1498181666849792</v>
      </c>
    </row>
    <row r="383" spans="1:7" x14ac:dyDescent="0.25">
      <c r="A383" s="15" t="s">
        <v>34</v>
      </c>
      <c r="B383" s="16">
        <v>41109</v>
      </c>
      <c r="C383" s="17">
        <v>3.5459999999999998</v>
      </c>
      <c r="D383" s="17">
        <v>1.4018999999999999</v>
      </c>
      <c r="E383" s="11">
        <f t="shared" si="15"/>
        <v>1.3989</v>
      </c>
      <c r="F383" s="11">
        <f t="shared" si="16"/>
        <v>1.6300438787714959</v>
      </c>
      <c r="G383" s="13">
        <f t="shared" si="17"/>
        <v>1.9159561212285039</v>
      </c>
    </row>
    <row r="384" spans="1:7" x14ac:dyDescent="0.25">
      <c r="A384" s="15" t="s">
        <v>34</v>
      </c>
      <c r="B384" s="16">
        <v>41110</v>
      </c>
      <c r="C384" s="17">
        <v>-1.0376000000000001</v>
      </c>
      <c r="D384" s="17">
        <v>0.22509999999999999</v>
      </c>
      <c r="E384" s="11">
        <f t="shared" si="15"/>
        <v>0.22209999999999999</v>
      </c>
      <c r="F384" s="11">
        <f t="shared" si="16"/>
        <v>0.32239641700822291</v>
      </c>
      <c r="G384" s="13">
        <f t="shared" si="17"/>
        <v>-1.359996417008223</v>
      </c>
    </row>
    <row r="385" spans="1:7" x14ac:dyDescent="0.25">
      <c r="A385" s="15" t="s">
        <v>34</v>
      </c>
      <c r="B385" s="16">
        <v>41113</v>
      </c>
      <c r="C385" s="17">
        <v>-3.1791</v>
      </c>
      <c r="D385" s="17">
        <v>-1.9157</v>
      </c>
      <c r="E385" s="11">
        <f t="shared" si="15"/>
        <v>-1.9186999999999999</v>
      </c>
      <c r="F385" s="11">
        <f t="shared" si="16"/>
        <v>-2.0564374427324421</v>
      </c>
      <c r="G385" s="13">
        <f t="shared" si="17"/>
        <v>-1.1226625572675579</v>
      </c>
    </row>
    <row r="386" spans="1:7" x14ac:dyDescent="0.25">
      <c r="A386" s="15" t="s">
        <v>34</v>
      </c>
      <c r="B386" s="16">
        <v>41114</v>
      </c>
      <c r="C386" s="17">
        <v>0.67069999999999996</v>
      </c>
      <c r="D386" s="17">
        <v>-0.29039999999999999</v>
      </c>
      <c r="E386" s="11">
        <f t="shared" si="15"/>
        <v>-0.29339999999999999</v>
      </c>
      <c r="F386" s="11">
        <f t="shared" si="16"/>
        <v>-0.25042162049939704</v>
      </c>
      <c r="G386" s="13">
        <f t="shared" si="17"/>
        <v>0.92112162049939705</v>
      </c>
    </row>
    <row r="387" spans="1:7" x14ac:dyDescent="0.25">
      <c r="A387" s="15" t="s">
        <v>34</v>
      </c>
      <c r="B387" s="16">
        <v>41115</v>
      </c>
      <c r="C387" s="17">
        <v>-0.26769999999999999</v>
      </c>
      <c r="D387" s="17">
        <v>-0.4178</v>
      </c>
      <c r="E387" s="11">
        <f t="shared" ref="E387:E450" si="18">D387-$K$1</f>
        <v>-0.42080000000000001</v>
      </c>
      <c r="F387" s="11">
        <f t="shared" ref="F387:F450" si="19">K$2+K$3*E387</f>
        <v>-0.39198712579225992</v>
      </c>
      <c r="G387" s="13">
        <f t="shared" ref="G387:G450" si="20">C387-F387</f>
        <v>0.12428712579225992</v>
      </c>
    </row>
    <row r="388" spans="1:7" x14ac:dyDescent="0.25">
      <c r="A388" s="15" t="s">
        <v>34</v>
      </c>
      <c r="B388" s="16">
        <v>41116</v>
      </c>
      <c r="C388" s="17">
        <v>2.2532000000000001</v>
      </c>
      <c r="D388" s="17">
        <v>-0.121</v>
      </c>
      <c r="E388" s="11">
        <f t="shared" si="18"/>
        <v>-0.124</v>
      </c>
      <c r="F388" s="11">
        <f t="shared" si="19"/>
        <v>-6.2186168406689349E-2</v>
      </c>
      <c r="G388" s="13">
        <f t="shared" si="20"/>
        <v>2.3153861684066896</v>
      </c>
    </row>
    <row r="389" spans="1:7" x14ac:dyDescent="0.25">
      <c r="A389" s="15" t="s">
        <v>34</v>
      </c>
      <c r="B389" s="16">
        <v>41117</v>
      </c>
      <c r="C389" s="17">
        <v>3.8565</v>
      </c>
      <c r="D389" s="17">
        <v>2.1823999999999999</v>
      </c>
      <c r="E389" s="11">
        <f t="shared" si="18"/>
        <v>2.1793999999999998</v>
      </c>
      <c r="F389" s="11">
        <f t="shared" si="19"/>
        <v>2.4973270568019466</v>
      </c>
      <c r="G389" s="13">
        <f t="shared" si="20"/>
        <v>1.3591729431980535</v>
      </c>
    </row>
    <row r="390" spans="1:7" x14ac:dyDescent="0.25">
      <c r="A390" s="15" t="s">
        <v>34</v>
      </c>
      <c r="B390" s="16">
        <v>41120</v>
      </c>
      <c r="C390" s="17">
        <v>-0.379</v>
      </c>
      <c r="D390" s="17">
        <v>0.48149999999999998</v>
      </c>
      <c r="E390" s="11">
        <f t="shared" si="18"/>
        <v>0.47849999999999998</v>
      </c>
      <c r="F390" s="11">
        <f t="shared" si="19"/>
        <v>0.60730533032918077</v>
      </c>
      <c r="G390" s="13">
        <f t="shared" si="20"/>
        <v>-0.98630533032918077</v>
      </c>
    </row>
    <row r="391" spans="1:7" x14ac:dyDescent="0.25">
      <c r="A391" s="15" t="s">
        <v>34</v>
      </c>
      <c r="B391" s="16">
        <v>41121</v>
      </c>
      <c r="C391" s="17">
        <v>2.5001000000000002</v>
      </c>
      <c r="D391" s="17">
        <v>1.5469999999999999</v>
      </c>
      <c r="E391" s="11">
        <f t="shared" si="18"/>
        <v>1.544</v>
      </c>
      <c r="F391" s="11">
        <f t="shared" si="19"/>
        <v>1.7912774330728647</v>
      </c>
      <c r="G391" s="13">
        <f t="shared" si="20"/>
        <v>0.70882256692713552</v>
      </c>
    </row>
    <row r="392" spans="1:7" x14ac:dyDescent="0.25">
      <c r="A392" s="15" t="s">
        <v>34</v>
      </c>
      <c r="B392" s="16">
        <v>41122</v>
      </c>
      <c r="C392" s="17">
        <v>-1.2423</v>
      </c>
      <c r="D392" s="17">
        <v>-3.4799999999999998E-2</v>
      </c>
      <c r="E392" s="11">
        <f t="shared" si="18"/>
        <v>-3.78E-2</v>
      </c>
      <c r="F392" s="11">
        <f t="shared" si="19"/>
        <v>3.3598341453944691E-2</v>
      </c>
      <c r="G392" s="13">
        <f t="shared" si="20"/>
        <v>-1.2758983414539447</v>
      </c>
    </row>
    <row r="393" spans="1:7" x14ac:dyDescent="0.25">
      <c r="A393" s="15" t="s">
        <v>34</v>
      </c>
      <c r="B393" s="16">
        <v>41124</v>
      </c>
      <c r="C393" s="17">
        <v>-0.25030000000000002</v>
      </c>
      <c r="D393" s="17">
        <v>-0.6966</v>
      </c>
      <c r="E393" s="11">
        <f t="shared" si="18"/>
        <v>-0.6996</v>
      </c>
      <c r="F393" s="11">
        <f t="shared" si="19"/>
        <v>-0.70178667740646827</v>
      </c>
      <c r="G393" s="13">
        <f t="shared" si="20"/>
        <v>0.45148667740646825</v>
      </c>
    </row>
    <row r="394" spans="1:7" x14ac:dyDescent="0.25">
      <c r="A394" s="15" t="s">
        <v>34</v>
      </c>
      <c r="B394" s="16">
        <v>41127</v>
      </c>
      <c r="C394" s="17">
        <v>1.369</v>
      </c>
      <c r="D394" s="17">
        <v>0.94899999999999995</v>
      </c>
      <c r="E394" s="11">
        <f t="shared" si="18"/>
        <v>0.94599999999999995</v>
      </c>
      <c r="F394" s="11">
        <f t="shared" si="19"/>
        <v>1.1267862857798352</v>
      </c>
      <c r="G394" s="13">
        <f t="shared" si="20"/>
        <v>0.2422137142201648</v>
      </c>
    </row>
    <row r="395" spans="1:7" x14ac:dyDescent="0.25">
      <c r="A395" s="15" t="s">
        <v>34</v>
      </c>
      <c r="B395" s="16">
        <v>41128</v>
      </c>
      <c r="C395" s="17">
        <v>0.61609999999999998</v>
      </c>
      <c r="D395" s="17">
        <v>0.12520000000000001</v>
      </c>
      <c r="E395" s="11">
        <f t="shared" si="18"/>
        <v>0.1222</v>
      </c>
      <c r="F395" s="11">
        <f t="shared" si="19"/>
        <v>0.21138861497716332</v>
      </c>
      <c r="G395" s="13">
        <f t="shared" si="20"/>
        <v>0.40471138502283666</v>
      </c>
    </row>
    <row r="396" spans="1:7" x14ac:dyDescent="0.25">
      <c r="A396" s="15" t="s">
        <v>34</v>
      </c>
      <c r="B396" s="16">
        <v>41129</v>
      </c>
      <c r="C396" s="17">
        <v>-1.1117999999999999</v>
      </c>
      <c r="D396" s="17">
        <v>0.33310000000000001</v>
      </c>
      <c r="E396" s="11">
        <f t="shared" si="18"/>
        <v>0.3301</v>
      </c>
      <c r="F396" s="11">
        <f t="shared" si="19"/>
        <v>0.44240485163639548</v>
      </c>
      <c r="G396" s="13">
        <f t="shared" si="20"/>
        <v>-1.5542048516363953</v>
      </c>
    </row>
    <row r="397" spans="1:7" x14ac:dyDescent="0.25">
      <c r="A397" s="15" t="s">
        <v>34</v>
      </c>
      <c r="B397" s="16">
        <v>41130</v>
      </c>
      <c r="C397" s="17">
        <v>2.2113999999999998</v>
      </c>
      <c r="D397" s="17">
        <v>1.5441</v>
      </c>
      <c r="E397" s="11">
        <f t="shared" si="18"/>
        <v>1.5411000000000001</v>
      </c>
      <c r="F397" s="11">
        <f t="shared" si="19"/>
        <v>1.7880549843652565</v>
      </c>
      <c r="G397" s="13">
        <f t="shared" si="20"/>
        <v>0.42334501563474336</v>
      </c>
    </row>
    <row r="398" spans="1:7" x14ac:dyDescent="0.25">
      <c r="A398" s="15" t="s">
        <v>34</v>
      </c>
      <c r="B398" s="16">
        <v>41131</v>
      </c>
      <c r="C398" s="17">
        <v>-0.36520000000000002</v>
      </c>
      <c r="D398" s="17">
        <v>9.98E-2</v>
      </c>
      <c r="E398" s="11">
        <f t="shared" si="18"/>
        <v>9.6799999999999997E-2</v>
      </c>
      <c r="F398" s="11">
        <f t="shared" si="19"/>
        <v>0.18316440905535236</v>
      </c>
      <c r="G398" s="13">
        <f t="shared" si="20"/>
        <v>-0.54836440905535233</v>
      </c>
    </row>
    <row r="399" spans="1:7" x14ac:dyDescent="0.25">
      <c r="A399" s="15" t="s">
        <v>34</v>
      </c>
      <c r="B399" s="16">
        <v>41134</v>
      </c>
      <c r="C399" s="17">
        <v>0.85</v>
      </c>
      <c r="D399" s="17">
        <v>-6.4799999999999996E-2</v>
      </c>
      <c r="E399" s="11">
        <f t="shared" si="18"/>
        <v>-6.7799999999999999E-2</v>
      </c>
      <c r="F399" s="11">
        <f t="shared" si="19"/>
        <v>2.6266516834119735E-4</v>
      </c>
      <c r="G399" s="13">
        <f t="shared" si="20"/>
        <v>0.84973733483165881</v>
      </c>
    </row>
    <row r="400" spans="1:7" x14ac:dyDescent="0.25">
      <c r="A400" s="15" t="s">
        <v>34</v>
      </c>
      <c r="B400" s="16">
        <v>41135</v>
      </c>
      <c r="C400" s="17">
        <v>0.6028</v>
      </c>
      <c r="D400" s="17">
        <v>0.57589999999999997</v>
      </c>
      <c r="E400" s="11">
        <f t="shared" si="18"/>
        <v>0.57289999999999996</v>
      </c>
      <c r="F400" s="11">
        <f t="shared" si="19"/>
        <v>0.71220159170787967</v>
      </c>
      <c r="G400" s="13">
        <f t="shared" si="20"/>
        <v>-0.10940159170787966</v>
      </c>
    </row>
    <row r="401" spans="1:7" x14ac:dyDescent="0.25">
      <c r="A401" s="15" t="s">
        <v>34</v>
      </c>
      <c r="B401" s="16">
        <v>41136</v>
      </c>
      <c r="C401" s="17">
        <v>-0.2407</v>
      </c>
      <c r="D401" s="17">
        <v>-0.154</v>
      </c>
      <c r="E401" s="11">
        <f t="shared" si="18"/>
        <v>-0.157</v>
      </c>
      <c r="F401" s="11">
        <f t="shared" si="19"/>
        <v>-9.8855412320853167E-2</v>
      </c>
      <c r="G401" s="13">
        <f t="shared" si="20"/>
        <v>-0.14184458767914682</v>
      </c>
    </row>
    <row r="402" spans="1:7" x14ac:dyDescent="0.25">
      <c r="A402" s="15" t="s">
        <v>34</v>
      </c>
      <c r="B402" s="16">
        <v>41137</v>
      </c>
      <c r="C402" s="17">
        <v>-0.1206</v>
      </c>
      <c r="D402" s="17">
        <v>0.3004</v>
      </c>
      <c r="E402" s="11">
        <f t="shared" si="18"/>
        <v>0.2974</v>
      </c>
      <c r="F402" s="11">
        <f t="shared" si="19"/>
        <v>0.40606896448508767</v>
      </c>
      <c r="G402" s="13">
        <f t="shared" si="20"/>
        <v>-0.52666896448508771</v>
      </c>
    </row>
    <row r="403" spans="1:7" x14ac:dyDescent="0.25">
      <c r="A403" s="15" t="s">
        <v>34</v>
      </c>
      <c r="B403" s="16">
        <v>41138</v>
      </c>
      <c r="C403" s="17">
        <v>-1.0915999999999999</v>
      </c>
      <c r="D403" s="17">
        <v>-0.29799999999999999</v>
      </c>
      <c r="E403" s="11">
        <f t="shared" si="18"/>
        <v>-0.30099999999999999</v>
      </c>
      <c r="F403" s="11">
        <f t="shared" si="19"/>
        <v>-0.25886665849174995</v>
      </c>
      <c r="G403" s="13">
        <f t="shared" si="20"/>
        <v>-0.83273334150824996</v>
      </c>
    </row>
    <row r="404" spans="1:7" x14ac:dyDescent="0.25">
      <c r="A404" s="15" t="s">
        <v>34</v>
      </c>
      <c r="B404" s="16">
        <v>41141</v>
      </c>
      <c r="C404" s="17">
        <v>0.48659999999999998</v>
      </c>
      <c r="D404" s="17">
        <v>-0.4834</v>
      </c>
      <c r="E404" s="11">
        <f t="shared" si="18"/>
        <v>-0.4864</v>
      </c>
      <c r="F404" s="11">
        <f t="shared" si="19"/>
        <v>-0.46488113793677954</v>
      </c>
      <c r="G404" s="13">
        <f t="shared" si="20"/>
        <v>0.95148113793677958</v>
      </c>
    </row>
    <row r="405" spans="1:7" x14ac:dyDescent="0.25">
      <c r="A405" s="15" t="s">
        <v>34</v>
      </c>
      <c r="B405" s="16">
        <v>41142</v>
      </c>
      <c r="C405" s="17">
        <v>1.4458</v>
      </c>
      <c r="D405" s="17">
        <v>1.0027999999999999</v>
      </c>
      <c r="E405" s="11">
        <f t="shared" si="18"/>
        <v>0.99979999999999991</v>
      </c>
      <c r="F405" s="11">
        <f t="shared" si="19"/>
        <v>1.1865682652520173</v>
      </c>
      <c r="G405" s="13">
        <f t="shared" si="20"/>
        <v>0.25923173474798267</v>
      </c>
    </row>
    <row r="406" spans="1:7" x14ac:dyDescent="0.25">
      <c r="A406" s="15" t="s">
        <v>34</v>
      </c>
      <c r="B406" s="16">
        <v>41143</v>
      </c>
      <c r="C406" s="17">
        <v>-1.4458</v>
      </c>
      <c r="D406" s="17">
        <v>-0.13639999999999999</v>
      </c>
      <c r="E406" s="11">
        <f t="shared" si="18"/>
        <v>-0.1394</v>
      </c>
      <c r="F406" s="11">
        <f t="shared" si="19"/>
        <v>-7.929848223329912E-2</v>
      </c>
      <c r="G406" s="13">
        <f t="shared" si="20"/>
        <v>-1.3665015177667008</v>
      </c>
    </row>
    <row r="407" spans="1:7" x14ac:dyDescent="0.25">
      <c r="A407" s="15" t="s">
        <v>34</v>
      </c>
      <c r="B407" s="16">
        <v>41144</v>
      </c>
      <c r="C407" s="17">
        <v>0.3634</v>
      </c>
      <c r="D407" s="17">
        <v>0.1145</v>
      </c>
      <c r="E407" s="11">
        <f t="shared" si="18"/>
        <v>0.1115</v>
      </c>
      <c r="F407" s="11">
        <f t="shared" si="19"/>
        <v>0.19949889043529806</v>
      </c>
      <c r="G407" s="13">
        <f t="shared" si="20"/>
        <v>0.16390110956470194</v>
      </c>
    </row>
    <row r="408" spans="1:7" x14ac:dyDescent="0.25">
      <c r="A408" s="15" t="s">
        <v>34</v>
      </c>
      <c r="B408" s="16">
        <v>41145</v>
      </c>
      <c r="C408" s="17">
        <v>-0.85</v>
      </c>
      <c r="D408" s="17">
        <v>-0.36899999999999999</v>
      </c>
      <c r="E408" s="11">
        <f t="shared" si="18"/>
        <v>-0.372</v>
      </c>
      <c r="F408" s="11">
        <f t="shared" si="19"/>
        <v>-0.33776109236767821</v>
      </c>
      <c r="G408" s="13">
        <f t="shared" si="20"/>
        <v>-0.51223890763232172</v>
      </c>
    </row>
    <row r="409" spans="1:7" x14ac:dyDescent="0.25">
      <c r="A409" s="15" t="s">
        <v>34</v>
      </c>
      <c r="B409" s="16">
        <v>41148</v>
      </c>
      <c r="C409" s="17">
        <v>1.2121</v>
      </c>
      <c r="D409" s="17">
        <v>-0.1246</v>
      </c>
      <c r="E409" s="11">
        <f t="shared" si="18"/>
        <v>-0.12759999999999999</v>
      </c>
      <c r="F409" s="11">
        <f t="shared" si="19"/>
        <v>-6.6186449560961744E-2</v>
      </c>
      <c r="G409" s="13">
        <f t="shared" si="20"/>
        <v>1.2782864495609616</v>
      </c>
    </row>
    <row r="410" spans="1:7" x14ac:dyDescent="0.25">
      <c r="A410" s="15" t="s">
        <v>34</v>
      </c>
      <c r="B410" s="16">
        <v>41149</v>
      </c>
      <c r="C410" s="17">
        <v>-0.72550000000000003</v>
      </c>
      <c r="D410" s="17">
        <v>-1.4333</v>
      </c>
      <c r="E410" s="11">
        <f t="shared" si="18"/>
        <v>-1.4362999999999999</v>
      </c>
      <c r="F410" s="11">
        <f t="shared" si="19"/>
        <v>-1.5203997680599379</v>
      </c>
      <c r="G410" s="13">
        <f t="shared" si="20"/>
        <v>0.79489976805993789</v>
      </c>
    </row>
    <row r="411" spans="1:7" x14ac:dyDescent="0.25">
      <c r="A411" s="15" t="s">
        <v>34</v>
      </c>
      <c r="B411" s="16">
        <v>41150</v>
      </c>
      <c r="C411" s="17">
        <v>0.3634</v>
      </c>
      <c r="D411" s="17">
        <v>0.39600000000000002</v>
      </c>
      <c r="E411" s="11">
        <f t="shared" si="18"/>
        <v>0.39300000000000002</v>
      </c>
      <c r="F411" s="11">
        <f t="shared" si="19"/>
        <v>0.51229865291521082</v>
      </c>
      <c r="G411" s="13">
        <f t="shared" si="20"/>
        <v>-0.14889865291521082</v>
      </c>
    </row>
    <row r="412" spans="1:7" x14ac:dyDescent="0.25">
      <c r="A412" s="15" t="s">
        <v>34</v>
      </c>
      <c r="B412" s="16">
        <v>41151</v>
      </c>
      <c r="C412" s="17">
        <v>0</v>
      </c>
      <c r="D412" s="17">
        <v>-0.26700000000000002</v>
      </c>
      <c r="E412" s="11">
        <f t="shared" si="18"/>
        <v>-0.27</v>
      </c>
      <c r="F412" s="11">
        <f t="shared" si="19"/>
        <v>-0.22441979299662634</v>
      </c>
      <c r="G412" s="13">
        <f t="shared" si="20"/>
        <v>0.22441979299662634</v>
      </c>
    </row>
    <row r="413" spans="1:7" x14ac:dyDescent="0.25">
      <c r="A413" s="15" t="s">
        <v>34</v>
      </c>
      <c r="B413" s="16">
        <v>41152</v>
      </c>
      <c r="C413" s="17">
        <v>0.72289999999999999</v>
      </c>
      <c r="D413" s="17">
        <v>0.34699999999999998</v>
      </c>
      <c r="E413" s="11">
        <f t="shared" si="18"/>
        <v>0.34399999999999997</v>
      </c>
      <c r="F413" s="11">
        <f t="shared" si="19"/>
        <v>0.45785038164872505</v>
      </c>
      <c r="G413" s="13">
        <f t="shared" si="20"/>
        <v>0.26504961835127494</v>
      </c>
    </row>
    <row r="414" spans="1:7" x14ac:dyDescent="0.25">
      <c r="A414" s="15" t="s">
        <v>34</v>
      </c>
      <c r="B414" s="16">
        <v>41155</v>
      </c>
      <c r="C414" s="17">
        <v>0.7177</v>
      </c>
      <c r="D414" s="17">
        <v>0.72030000000000005</v>
      </c>
      <c r="E414" s="11">
        <f t="shared" si="18"/>
        <v>0.71730000000000005</v>
      </c>
      <c r="F414" s="11">
        <f t="shared" si="19"/>
        <v>0.87265731356258458</v>
      </c>
      <c r="G414" s="13">
        <f t="shared" si="20"/>
        <v>-0.15495731356258458</v>
      </c>
    </row>
    <row r="415" spans="1:7" x14ac:dyDescent="0.25">
      <c r="A415" s="15" t="s">
        <v>34</v>
      </c>
      <c r="B415" s="16">
        <v>41156</v>
      </c>
      <c r="C415" s="17">
        <v>0.1191</v>
      </c>
      <c r="D415" s="17">
        <v>1.0999999999999999E-2</v>
      </c>
      <c r="E415" s="11">
        <f t="shared" si="18"/>
        <v>8.0000000000000002E-3</v>
      </c>
      <c r="F415" s="11">
        <f t="shared" si="19"/>
        <v>8.4490807249966021E-2</v>
      </c>
      <c r="G415" s="13">
        <f t="shared" si="20"/>
        <v>3.4609192750033976E-2</v>
      </c>
    </row>
    <row r="416" spans="1:7" x14ac:dyDescent="0.25">
      <c r="A416" s="15" t="s">
        <v>34</v>
      </c>
      <c r="B416" s="16">
        <v>41157</v>
      </c>
      <c r="C416" s="17">
        <v>-2.4098000000000002</v>
      </c>
      <c r="D416" s="17">
        <v>-1.1325000000000001</v>
      </c>
      <c r="E416" s="11">
        <f t="shared" si="18"/>
        <v>-1.1355</v>
      </c>
      <c r="F416" s="11">
        <f t="shared" si="19"/>
        <v>-1.1861540538362869</v>
      </c>
      <c r="G416" s="13">
        <f t="shared" si="20"/>
        <v>-1.2236459461637132</v>
      </c>
    </row>
    <row r="417" spans="1:7" x14ac:dyDescent="0.25">
      <c r="A417" s="15" t="s">
        <v>34</v>
      </c>
      <c r="B417" s="16">
        <v>41158</v>
      </c>
      <c r="C417" s="17">
        <v>-1.1035999999999999</v>
      </c>
      <c r="D417" s="17">
        <v>-0.55420000000000003</v>
      </c>
      <c r="E417" s="11">
        <f t="shared" si="18"/>
        <v>-0.55720000000000003</v>
      </c>
      <c r="F417" s="11">
        <f t="shared" si="19"/>
        <v>-0.54355333397080374</v>
      </c>
      <c r="G417" s="13">
        <f t="shared" si="20"/>
        <v>-0.56004666602919617</v>
      </c>
    </row>
    <row r="418" spans="1:7" x14ac:dyDescent="0.25">
      <c r="A418" s="15" t="s">
        <v>34</v>
      </c>
      <c r="B418" s="16">
        <v>41159</v>
      </c>
      <c r="C418" s="17">
        <v>3.2749999999999999</v>
      </c>
      <c r="D418" s="17">
        <v>1.3312999999999999</v>
      </c>
      <c r="E418" s="11">
        <f t="shared" si="18"/>
        <v>1.3283</v>
      </c>
      <c r="F418" s="11">
        <f t="shared" si="19"/>
        <v>1.5515939205793756</v>
      </c>
      <c r="G418" s="13">
        <f t="shared" si="20"/>
        <v>1.7234060794206243</v>
      </c>
    </row>
    <row r="419" spans="1:7" x14ac:dyDescent="0.25">
      <c r="A419" s="15" t="s">
        <v>34</v>
      </c>
      <c r="B419" s="16">
        <v>41162</v>
      </c>
      <c r="C419" s="17">
        <v>-0.35859999999999997</v>
      </c>
      <c r="D419" s="17">
        <v>0.77580000000000005</v>
      </c>
      <c r="E419" s="11">
        <f t="shared" si="18"/>
        <v>0.77280000000000004</v>
      </c>
      <c r="F419" s="11">
        <f t="shared" si="19"/>
        <v>0.93432831469095101</v>
      </c>
      <c r="G419" s="13">
        <f t="shared" si="20"/>
        <v>-1.2929283146909509</v>
      </c>
    </row>
    <row r="420" spans="1:7" x14ac:dyDescent="0.25">
      <c r="A420" s="15" t="s">
        <v>34</v>
      </c>
      <c r="B420" s="16">
        <v>41163</v>
      </c>
      <c r="C420" s="17">
        <v>1.0721000000000001</v>
      </c>
      <c r="D420" s="17">
        <v>3.1899999999999998E-2</v>
      </c>
      <c r="E420" s="11">
        <f t="shared" si="18"/>
        <v>2.8899999999999999E-2</v>
      </c>
      <c r="F420" s="11">
        <f t="shared" si="19"/>
        <v>0.10771466172893646</v>
      </c>
      <c r="G420" s="13">
        <f t="shared" si="20"/>
        <v>0.96438533827106365</v>
      </c>
    </row>
    <row r="421" spans="1:7" x14ac:dyDescent="0.25">
      <c r="A421" s="15" t="s">
        <v>34</v>
      </c>
      <c r="B421" s="16">
        <v>41164</v>
      </c>
      <c r="C421" s="17">
        <v>0.11840000000000001</v>
      </c>
      <c r="D421" s="17">
        <v>1.1334</v>
      </c>
      <c r="E421" s="11">
        <f t="shared" si="18"/>
        <v>1.1304000000000001</v>
      </c>
      <c r="F421" s="11">
        <f t="shared" si="19"/>
        <v>1.3316895760153447</v>
      </c>
      <c r="G421" s="13">
        <f t="shared" si="20"/>
        <v>-1.2132895760153446</v>
      </c>
    </row>
    <row r="422" spans="1:7" x14ac:dyDescent="0.25">
      <c r="A422" s="15" t="s">
        <v>34</v>
      </c>
      <c r="B422" s="16">
        <v>41165</v>
      </c>
      <c r="C422" s="17">
        <v>0.59</v>
      </c>
      <c r="D422" s="17">
        <v>0.11020000000000001</v>
      </c>
      <c r="E422" s="11">
        <f t="shared" si="18"/>
        <v>0.1072</v>
      </c>
      <c r="F422" s="11">
        <f t="shared" si="19"/>
        <v>0.19472077683436156</v>
      </c>
      <c r="G422" s="13">
        <f t="shared" si="20"/>
        <v>0.3952792231656384</v>
      </c>
    </row>
    <row r="423" spans="1:7" x14ac:dyDescent="0.25">
      <c r="A423" s="15" t="s">
        <v>34</v>
      </c>
      <c r="B423" s="16">
        <v>41166</v>
      </c>
      <c r="C423" s="17">
        <v>1.7493000000000001</v>
      </c>
      <c r="D423" s="17">
        <v>2.0794999999999999</v>
      </c>
      <c r="E423" s="11">
        <f t="shared" si="18"/>
        <v>2.0764999999999998</v>
      </c>
      <c r="F423" s="11">
        <f t="shared" si="19"/>
        <v>2.3829856871423263</v>
      </c>
      <c r="G423" s="13">
        <f t="shared" si="20"/>
        <v>-0.6336856871423262</v>
      </c>
    </row>
    <row r="424" spans="1:7" x14ac:dyDescent="0.25">
      <c r="A424" s="15" t="s">
        <v>34</v>
      </c>
      <c r="B424" s="16">
        <v>41169</v>
      </c>
      <c r="C424" s="17">
        <v>0</v>
      </c>
      <c r="D424" s="17">
        <v>0.31190000000000001</v>
      </c>
      <c r="E424" s="11">
        <f t="shared" si="18"/>
        <v>0.30890000000000001</v>
      </c>
      <c r="F424" s="11">
        <f t="shared" si="19"/>
        <v>0.41884764039456901</v>
      </c>
      <c r="G424" s="13">
        <f t="shared" si="20"/>
        <v>-0.41884764039456901</v>
      </c>
    </row>
    <row r="425" spans="1:7" x14ac:dyDescent="0.25">
      <c r="A425" s="15" t="s">
        <v>34</v>
      </c>
      <c r="B425" s="16">
        <v>41170</v>
      </c>
      <c r="C425" s="17">
        <v>-0.92920000000000003</v>
      </c>
      <c r="D425" s="17">
        <v>-0.3609</v>
      </c>
      <c r="E425" s="11">
        <f t="shared" si="18"/>
        <v>-0.3639</v>
      </c>
      <c r="F425" s="11">
        <f t="shared" si="19"/>
        <v>-0.32876045977056528</v>
      </c>
      <c r="G425" s="13">
        <f t="shared" si="20"/>
        <v>-0.60043954022943469</v>
      </c>
    </row>
    <row r="426" spans="1:7" x14ac:dyDescent="0.25">
      <c r="A426" s="15" t="s">
        <v>34</v>
      </c>
      <c r="B426" s="16">
        <v>41171</v>
      </c>
      <c r="C426" s="17">
        <v>0.34939999999999999</v>
      </c>
      <c r="D426" s="17">
        <v>0.61419999999999997</v>
      </c>
      <c r="E426" s="11">
        <f t="shared" si="18"/>
        <v>0.61119999999999997</v>
      </c>
      <c r="F426" s="11">
        <f t="shared" si="19"/>
        <v>0.75476013843250012</v>
      </c>
      <c r="G426" s="13">
        <f t="shared" si="20"/>
        <v>-0.40536013843250013</v>
      </c>
    </row>
    <row r="427" spans="1:7" x14ac:dyDescent="0.25">
      <c r="A427" s="15" t="s">
        <v>34</v>
      </c>
      <c r="B427" s="16">
        <v>41172</v>
      </c>
      <c r="C427" s="17">
        <v>-0.81730000000000003</v>
      </c>
      <c r="D427" s="17">
        <v>-0.70099999999999996</v>
      </c>
      <c r="E427" s="11">
        <f t="shared" si="18"/>
        <v>-0.70399999999999996</v>
      </c>
      <c r="F427" s="11">
        <f t="shared" si="19"/>
        <v>-0.70667590992835683</v>
      </c>
      <c r="G427" s="13">
        <f t="shared" si="20"/>
        <v>-0.1106240900716432</v>
      </c>
    </row>
    <row r="428" spans="1:7" x14ac:dyDescent="0.25">
      <c r="A428" s="15" t="s">
        <v>34</v>
      </c>
      <c r="B428" s="16">
        <v>41173</v>
      </c>
      <c r="C428" s="17">
        <v>0.46779999999999999</v>
      </c>
      <c r="D428" s="17">
        <v>0.3493</v>
      </c>
      <c r="E428" s="11">
        <f t="shared" si="18"/>
        <v>0.3463</v>
      </c>
      <c r="F428" s="11">
        <f t="shared" si="19"/>
        <v>0.46040611683062138</v>
      </c>
      <c r="G428" s="13">
        <f t="shared" si="20"/>
        <v>7.3938831693786122E-3</v>
      </c>
    </row>
    <row r="429" spans="1:7" x14ac:dyDescent="0.25">
      <c r="A429" s="15" t="s">
        <v>34</v>
      </c>
      <c r="B429" s="16">
        <v>41176</v>
      </c>
      <c r="C429" s="17">
        <v>0.4657</v>
      </c>
      <c r="D429" s="17">
        <v>0.17660000000000001</v>
      </c>
      <c r="E429" s="11">
        <f t="shared" si="18"/>
        <v>0.1736</v>
      </c>
      <c r="F429" s="11">
        <f t="shared" si="19"/>
        <v>0.26850374034649727</v>
      </c>
      <c r="G429" s="13">
        <f t="shared" si="20"/>
        <v>0.19719625965350274</v>
      </c>
    </row>
    <row r="430" spans="1:7" x14ac:dyDescent="0.25">
      <c r="A430" s="15" t="s">
        <v>34</v>
      </c>
      <c r="B430" s="16">
        <v>41177</v>
      </c>
      <c r="C430" s="17">
        <v>-0.2326</v>
      </c>
      <c r="D430" s="17">
        <v>-0.44080000000000003</v>
      </c>
      <c r="E430" s="11">
        <f t="shared" si="18"/>
        <v>-0.44380000000000003</v>
      </c>
      <c r="F430" s="11">
        <f t="shared" si="19"/>
        <v>-0.4175444776112226</v>
      </c>
      <c r="G430" s="13">
        <f t="shared" si="20"/>
        <v>0.1849444776112226</v>
      </c>
    </row>
    <row r="431" spans="1:7" x14ac:dyDescent="0.25">
      <c r="A431" s="15" t="s">
        <v>34</v>
      </c>
      <c r="B431" s="16">
        <v>41178</v>
      </c>
      <c r="C431" s="17">
        <v>0.58040000000000003</v>
      </c>
      <c r="D431" s="17">
        <v>-0.83750000000000002</v>
      </c>
      <c r="E431" s="11">
        <f t="shared" si="18"/>
        <v>-0.84050000000000002</v>
      </c>
      <c r="F431" s="11">
        <f t="shared" si="19"/>
        <v>-0.85835323702785271</v>
      </c>
      <c r="G431" s="13">
        <f t="shared" si="20"/>
        <v>1.4387532370278526</v>
      </c>
    </row>
    <row r="432" spans="1:7" x14ac:dyDescent="0.25">
      <c r="A432" s="15" t="s">
        <v>34</v>
      </c>
      <c r="B432" s="16">
        <v>41179</v>
      </c>
      <c r="C432" s="17">
        <v>1.3793</v>
      </c>
      <c r="D432" s="17">
        <v>0.18459999999999999</v>
      </c>
      <c r="E432" s="11">
        <f t="shared" si="18"/>
        <v>0.18159999999999998</v>
      </c>
      <c r="F432" s="11">
        <f t="shared" si="19"/>
        <v>0.27739325402265819</v>
      </c>
      <c r="G432" s="13">
        <f t="shared" si="20"/>
        <v>1.1019067459773417</v>
      </c>
    </row>
    <row r="433" spans="1:7" x14ac:dyDescent="0.25">
      <c r="A433" s="15" t="s">
        <v>34</v>
      </c>
      <c r="B433" s="16">
        <v>41180</v>
      </c>
      <c r="C433" s="17">
        <v>2.4803999999999999</v>
      </c>
      <c r="D433" s="17">
        <v>0.4073</v>
      </c>
      <c r="E433" s="11">
        <f t="shared" si="18"/>
        <v>0.40429999999999999</v>
      </c>
      <c r="F433" s="11">
        <f t="shared" si="19"/>
        <v>0.52485509098278815</v>
      </c>
      <c r="G433" s="13">
        <f t="shared" si="20"/>
        <v>1.9555449090172119</v>
      </c>
    </row>
    <row r="434" spans="1:7" x14ac:dyDescent="0.25">
      <c r="A434" s="15" t="s">
        <v>34</v>
      </c>
      <c r="B434" s="16">
        <v>41183</v>
      </c>
      <c r="C434" s="17">
        <v>-1.0073000000000001</v>
      </c>
      <c r="D434" s="17">
        <v>-0.51249999999999996</v>
      </c>
      <c r="E434" s="11">
        <f t="shared" si="18"/>
        <v>-0.51549999999999996</v>
      </c>
      <c r="F434" s="11">
        <f t="shared" si="19"/>
        <v>-0.49721674393381488</v>
      </c>
      <c r="G434" s="13">
        <f t="shared" si="20"/>
        <v>-0.51008325606618521</v>
      </c>
    </row>
    <row r="435" spans="1:7" x14ac:dyDescent="0.25">
      <c r="A435" s="15" t="s">
        <v>34</v>
      </c>
      <c r="B435" s="16">
        <v>41184</v>
      </c>
      <c r="C435" s="17">
        <v>0.7843</v>
      </c>
      <c r="D435" s="17">
        <v>0.55810000000000004</v>
      </c>
      <c r="E435" s="11">
        <f t="shared" si="18"/>
        <v>0.55510000000000004</v>
      </c>
      <c r="F435" s="11">
        <f t="shared" si="19"/>
        <v>0.69242242377842167</v>
      </c>
      <c r="G435" s="13">
        <f t="shared" si="20"/>
        <v>9.1877576221578328E-2</v>
      </c>
    </row>
    <row r="436" spans="1:7" x14ac:dyDescent="0.25">
      <c r="A436" s="15" t="s">
        <v>34</v>
      </c>
      <c r="B436" s="16">
        <v>41185</v>
      </c>
      <c r="C436" s="17">
        <v>0.223</v>
      </c>
      <c r="D436" s="17">
        <v>-0.44209999999999999</v>
      </c>
      <c r="E436" s="11">
        <f t="shared" si="18"/>
        <v>-0.4451</v>
      </c>
      <c r="F436" s="11">
        <f t="shared" si="19"/>
        <v>-0.41898902358359869</v>
      </c>
      <c r="G436" s="13">
        <f t="shared" si="20"/>
        <v>0.64198902358359866</v>
      </c>
    </row>
    <row r="437" spans="1:7" x14ac:dyDescent="0.25">
      <c r="A437" s="15" t="s">
        <v>34</v>
      </c>
      <c r="B437" s="16">
        <v>41186</v>
      </c>
      <c r="C437" s="17">
        <v>0.88690000000000002</v>
      </c>
      <c r="D437" s="17">
        <v>-2.98E-2</v>
      </c>
      <c r="E437" s="11">
        <f t="shared" si="18"/>
        <v>-3.2800000000000003E-2</v>
      </c>
      <c r="F437" s="11">
        <f t="shared" si="19"/>
        <v>3.9154287501545267E-2</v>
      </c>
      <c r="G437" s="13">
        <f t="shared" si="20"/>
        <v>0.84774571249845476</v>
      </c>
    </row>
    <row r="438" spans="1:7" x14ac:dyDescent="0.25">
      <c r="A438" s="15" t="s">
        <v>34</v>
      </c>
      <c r="B438" s="16">
        <v>41187</v>
      </c>
      <c r="C438" s="17">
        <v>0.4405</v>
      </c>
      <c r="D438" s="17">
        <v>0.1081</v>
      </c>
      <c r="E438" s="11">
        <f t="shared" si="18"/>
        <v>0.1051</v>
      </c>
      <c r="F438" s="11">
        <f t="shared" si="19"/>
        <v>0.19238727949436932</v>
      </c>
      <c r="G438" s="13">
        <f t="shared" si="20"/>
        <v>0.24811272050563069</v>
      </c>
    </row>
    <row r="439" spans="1:7" x14ac:dyDescent="0.25">
      <c r="A439" s="15" t="s">
        <v>34</v>
      </c>
      <c r="B439" s="16">
        <v>41190</v>
      </c>
      <c r="C439" s="17">
        <v>-2.11</v>
      </c>
      <c r="D439" s="17">
        <v>-0.9768</v>
      </c>
      <c r="E439" s="11">
        <f t="shared" si="18"/>
        <v>-0.9798</v>
      </c>
      <c r="F439" s="11">
        <f t="shared" si="19"/>
        <v>-1.0131418939140049</v>
      </c>
      <c r="G439" s="13">
        <f t="shared" si="20"/>
        <v>-1.096858106085995</v>
      </c>
    </row>
    <row r="440" spans="1:7" x14ac:dyDescent="0.25">
      <c r="A440" s="15" t="s">
        <v>34</v>
      </c>
      <c r="B440" s="16">
        <v>41191</v>
      </c>
      <c r="C440" s="17">
        <v>-2.2702</v>
      </c>
      <c r="D440" s="17">
        <v>-0.314</v>
      </c>
      <c r="E440" s="11">
        <f t="shared" si="18"/>
        <v>-0.317</v>
      </c>
      <c r="F440" s="11">
        <f t="shared" si="19"/>
        <v>-0.27664568584407179</v>
      </c>
      <c r="G440" s="13">
        <f t="shared" si="20"/>
        <v>-1.9935543141559282</v>
      </c>
    </row>
    <row r="441" spans="1:7" x14ac:dyDescent="0.25">
      <c r="A441" s="15" t="s">
        <v>34</v>
      </c>
      <c r="B441" s="16">
        <v>41193</v>
      </c>
      <c r="C441" s="17">
        <v>-1.8541000000000001</v>
      </c>
      <c r="D441" s="17">
        <v>-1.8652</v>
      </c>
      <c r="E441" s="11">
        <f t="shared" si="18"/>
        <v>-1.8681999999999999</v>
      </c>
      <c r="F441" s="11">
        <f t="shared" si="19"/>
        <v>-2.0003223876516762</v>
      </c>
      <c r="G441" s="13">
        <f t="shared" si="20"/>
        <v>0.14622238765167617</v>
      </c>
    </row>
    <row r="442" spans="1:7" x14ac:dyDescent="0.25">
      <c r="A442" s="15" t="s">
        <v>34</v>
      </c>
      <c r="B442" s="16">
        <v>41194</v>
      </c>
      <c r="C442" s="17">
        <v>0.93130000000000002</v>
      </c>
      <c r="D442" s="17">
        <v>-0.19719999999999999</v>
      </c>
      <c r="E442" s="11">
        <f t="shared" si="18"/>
        <v>-0.20019999999999999</v>
      </c>
      <c r="F442" s="11">
        <f t="shared" si="19"/>
        <v>-0.14685878617212217</v>
      </c>
      <c r="G442" s="13">
        <f t="shared" si="20"/>
        <v>1.0781587861721222</v>
      </c>
    </row>
    <row r="443" spans="1:7" x14ac:dyDescent="0.25">
      <c r="A443" s="15" t="s">
        <v>34</v>
      </c>
      <c r="B443" s="16">
        <v>41197</v>
      </c>
      <c r="C443" s="17">
        <v>0.1158</v>
      </c>
      <c r="D443" s="17">
        <v>-0.2442</v>
      </c>
      <c r="E443" s="11">
        <f t="shared" si="18"/>
        <v>-0.2472</v>
      </c>
      <c r="F443" s="11">
        <f t="shared" si="19"/>
        <v>-0.19908467901956767</v>
      </c>
      <c r="G443" s="13">
        <f t="shared" si="20"/>
        <v>0.31488467901956768</v>
      </c>
    </row>
    <row r="444" spans="1:7" x14ac:dyDescent="0.25">
      <c r="A444" s="15" t="s">
        <v>34</v>
      </c>
      <c r="B444" s="16">
        <v>41198</v>
      </c>
      <c r="C444" s="17">
        <v>1.2650999999999999</v>
      </c>
      <c r="D444" s="17">
        <v>0.70009999999999994</v>
      </c>
      <c r="E444" s="11">
        <f t="shared" si="18"/>
        <v>0.69709999999999994</v>
      </c>
      <c r="F444" s="11">
        <f t="shared" si="19"/>
        <v>0.85021129153027808</v>
      </c>
      <c r="G444" s="13">
        <f t="shared" si="20"/>
        <v>0.41488870846972181</v>
      </c>
    </row>
    <row r="445" spans="1:7" x14ac:dyDescent="0.25">
      <c r="A445" s="15" t="s">
        <v>34</v>
      </c>
      <c r="B445" s="16">
        <v>41199</v>
      </c>
      <c r="C445" s="17">
        <v>-0.1144</v>
      </c>
      <c r="D445" s="17">
        <v>-8.8599999999999998E-2</v>
      </c>
      <c r="E445" s="11">
        <f t="shared" si="18"/>
        <v>-9.1600000000000001E-2</v>
      </c>
      <c r="F445" s="11">
        <f t="shared" si="19"/>
        <v>-2.6183638018237573E-2</v>
      </c>
      <c r="G445" s="13">
        <f t="shared" si="20"/>
        <v>-8.8216361981762428E-2</v>
      </c>
    </row>
    <row r="446" spans="1:7" x14ac:dyDescent="0.25">
      <c r="A446" s="15" t="s">
        <v>34</v>
      </c>
      <c r="B446" s="16">
        <v>41200</v>
      </c>
      <c r="C446" s="17">
        <v>0.79769999999999996</v>
      </c>
      <c r="D446" s="17">
        <v>1.35E-2</v>
      </c>
      <c r="E446" s="11">
        <f t="shared" si="18"/>
        <v>1.0499999999999999E-2</v>
      </c>
      <c r="F446" s="11">
        <f t="shared" si="19"/>
        <v>8.7268780273766305E-2</v>
      </c>
      <c r="G446" s="13">
        <f t="shared" si="20"/>
        <v>0.71043121972623369</v>
      </c>
    </row>
    <row r="447" spans="1:7" x14ac:dyDescent="0.25">
      <c r="A447" s="15" t="s">
        <v>34</v>
      </c>
      <c r="B447" s="16">
        <v>41201</v>
      </c>
      <c r="C447" s="17">
        <v>-1.6019000000000001</v>
      </c>
      <c r="D447" s="17">
        <v>-0.76170000000000004</v>
      </c>
      <c r="E447" s="11">
        <f t="shared" si="18"/>
        <v>-0.76470000000000005</v>
      </c>
      <c r="F447" s="11">
        <f t="shared" si="19"/>
        <v>-0.77412509494622794</v>
      </c>
      <c r="G447" s="13">
        <f t="shared" si="20"/>
        <v>-0.82777490505377216</v>
      </c>
    </row>
    <row r="448" spans="1:7" x14ac:dyDescent="0.25">
      <c r="A448" s="15" t="s">
        <v>34</v>
      </c>
      <c r="B448" s="16">
        <v>41204</v>
      </c>
      <c r="C448" s="17">
        <v>-0.81069999999999998</v>
      </c>
      <c r="D448" s="17">
        <v>-0.48330000000000001</v>
      </c>
      <c r="E448" s="11">
        <f t="shared" si="18"/>
        <v>-0.48630000000000001</v>
      </c>
      <c r="F448" s="11">
        <f t="shared" si="19"/>
        <v>-0.46477001901582748</v>
      </c>
      <c r="G448" s="13">
        <f t="shared" si="20"/>
        <v>-0.34592998098417249</v>
      </c>
    </row>
    <row r="449" spans="1:7" x14ac:dyDescent="0.25">
      <c r="A449" s="15" t="s">
        <v>34</v>
      </c>
      <c r="B449" s="16">
        <v>41205</v>
      </c>
      <c r="C449" s="17">
        <v>-0.34939999999999999</v>
      </c>
      <c r="D449" s="17">
        <v>-0.48349999999999999</v>
      </c>
      <c r="E449" s="11">
        <f t="shared" si="18"/>
        <v>-0.48649999999999999</v>
      </c>
      <c r="F449" s="11">
        <f t="shared" si="19"/>
        <v>-0.46499225685773149</v>
      </c>
      <c r="G449" s="13">
        <f t="shared" si="20"/>
        <v>0.1155922568577315</v>
      </c>
    </row>
    <row r="450" spans="1:7" x14ac:dyDescent="0.25">
      <c r="A450" s="15" t="s">
        <v>34</v>
      </c>
      <c r="B450" s="16">
        <v>41206</v>
      </c>
      <c r="C450" s="17">
        <v>-0.35070000000000001</v>
      </c>
      <c r="D450" s="17">
        <v>-0.3085</v>
      </c>
      <c r="E450" s="11">
        <f t="shared" si="18"/>
        <v>-0.3115</v>
      </c>
      <c r="F450" s="11">
        <f t="shared" si="19"/>
        <v>-0.27053414519171115</v>
      </c>
      <c r="G450" s="13">
        <f t="shared" si="20"/>
        <v>-8.0165854808288861E-2</v>
      </c>
    </row>
    <row r="451" spans="1:7" x14ac:dyDescent="0.25">
      <c r="A451" s="15" t="s">
        <v>34</v>
      </c>
      <c r="B451" s="16">
        <v>41207</v>
      </c>
      <c r="C451" s="17">
        <v>-0.70509999999999995</v>
      </c>
      <c r="D451" s="17">
        <v>-0.72440000000000004</v>
      </c>
      <c r="E451" s="11">
        <f t="shared" ref="E451:E514" si="21">D451-$K$1</f>
        <v>-0.72740000000000005</v>
      </c>
      <c r="F451" s="11">
        <f t="shared" ref="F451:F514" si="22">K$2+K$3*E451</f>
        <v>-0.73267773743112763</v>
      </c>
      <c r="G451" s="13">
        <f t="shared" ref="G451:G514" si="23">C451-F451</f>
        <v>2.757773743112768E-2</v>
      </c>
    </row>
    <row r="452" spans="1:7" x14ac:dyDescent="0.25">
      <c r="A452" s="15" t="s">
        <v>34</v>
      </c>
      <c r="B452" s="16">
        <v>41208</v>
      </c>
      <c r="C452" s="17">
        <v>2.9055</v>
      </c>
      <c r="D452" s="17">
        <v>-1.7786</v>
      </c>
      <c r="E452" s="11">
        <f t="shared" si="21"/>
        <v>-1.7815999999999999</v>
      </c>
      <c r="F452" s="11">
        <f t="shared" si="22"/>
        <v>-1.904093402107234</v>
      </c>
      <c r="G452" s="13">
        <f t="shared" si="23"/>
        <v>4.8095934021072342</v>
      </c>
    </row>
    <row r="453" spans="1:7" x14ac:dyDescent="0.25">
      <c r="A453" s="15" t="s">
        <v>34</v>
      </c>
      <c r="B453" s="16">
        <v>41211</v>
      </c>
      <c r="C453" s="17">
        <v>0.91220000000000001</v>
      </c>
      <c r="D453" s="17">
        <v>-0.59599999999999997</v>
      </c>
      <c r="E453" s="11">
        <f t="shared" si="21"/>
        <v>-0.59899999999999998</v>
      </c>
      <c r="F453" s="11">
        <f t="shared" si="22"/>
        <v>-0.59000104292874456</v>
      </c>
      <c r="G453" s="13">
        <f t="shared" si="23"/>
        <v>1.5022010429287445</v>
      </c>
    </row>
    <row r="454" spans="1:7" x14ac:dyDescent="0.25">
      <c r="A454" s="15" t="s">
        <v>34</v>
      </c>
      <c r="B454" s="16">
        <v>41212</v>
      </c>
      <c r="C454" s="17">
        <v>-0.11360000000000001</v>
      </c>
      <c r="D454" s="17">
        <v>1.2739</v>
      </c>
      <c r="E454" s="11">
        <f t="shared" si="21"/>
        <v>1.2709000000000001</v>
      </c>
      <c r="F454" s="11">
        <f t="shared" si="22"/>
        <v>1.4878116599529212</v>
      </c>
      <c r="G454" s="13">
        <f t="shared" si="23"/>
        <v>-1.6014116599529211</v>
      </c>
    </row>
    <row r="455" spans="1:7" x14ac:dyDescent="0.25">
      <c r="A455" s="15" t="s">
        <v>34</v>
      </c>
      <c r="B455" s="16">
        <v>41213</v>
      </c>
      <c r="C455" s="17">
        <v>0.7923</v>
      </c>
      <c r="D455" s="17">
        <v>-0.23050000000000001</v>
      </c>
      <c r="E455" s="11">
        <f t="shared" si="21"/>
        <v>-0.23350000000000001</v>
      </c>
      <c r="F455" s="11">
        <f t="shared" si="22"/>
        <v>-0.18386138684914211</v>
      </c>
      <c r="G455" s="13">
        <f t="shared" si="23"/>
        <v>0.97616138684914211</v>
      </c>
    </row>
    <row r="456" spans="1:7" x14ac:dyDescent="0.25">
      <c r="A456" s="15" t="s">
        <v>34</v>
      </c>
      <c r="B456" s="16">
        <v>41214</v>
      </c>
      <c r="C456" s="17">
        <v>0.56210000000000004</v>
      </c>
      <c r="D456" s="17">
        <v>0.1895</v>
      </c>
      <c r="E456" s="11">
        <f t="shared" si="21"/>
        <v>0.1865</v>
      </c>
      <c r="F456" s="11">
        <f t="shared" si="22"/>
        <v>0.28283808114930681</v>
      </c>
      <c r="G456" s="13">
        <f t="shared" si="23"/>
        <v>0.27926191885069324</v>
      </c>
    </row>
    <row r="457" spans="1:7" x14ac:dyDescent="0.25">
      <c r="A457" s="15" t="s">
        <v>34</v>
      </c>
      <c r="B457" s="16">
        <v>41215</v>
      </c>
      <c r="C457" s="17">
        <v>0.78169999999999995</v>
      </c>
      <c r="D457" s="17">
        <v>0.42849999999999999</v>
      </c>
      <c r="E457" s="11">
        <f t="shared" si="21"/>
        <v>0.42549999999999999</v>
      </c>
      <c r="F457" s="11">
        <f t="shared" si="22"/>
        <v>0.54841230222461457</v>
      </c>
      <c r="G457" s="13">
        <f t="shared" si="23"/>
        <v>0.23328769777538538</v>
      </c>
    </row>
    <row r="458" spans="1:7" x14ac:dyDescent="0.25">
      <c r="A458" s="15" t="s">
        <v>34</v>
      </c>
      <c r="B458" s="16">
        <v>41218</v>
      </c>
      <c r="C458" s="17">
        <v>0.44400000000000001</v>
      </c>
      <c r="D458" s="17">
        <v>-0.34889999999999999</v>
      </c>
      <c r="E458" s="11">
        <f t="shared" si="21"/>
        <v>-0.35189999999999999</v>
      </c>
      <c r="F458" s="11">
        <f t="shared" si="22"/>
        <v>-0.31542618925632387</v>
      </c>
      <c r="G458" s="13">
        <f t="shared" si="23"/>
        <v>0.75942618925632388</v>
      </c>
    </row>
    <row r="459" spans="1:7" x14ac:dyDescent="0.25">
      <c r="A459" s="15" t="s">
        <v>34</v>
      </c>
      <c r="B459" s="16">
        <v>41219</v>
      </c>
      <c r="C459" s="17">
        <v>0.11070000000000001</v>
      </c>
      <c r="D459" s="17">
        <v>0.7117</v>
      </c>
      <c r="E459" s="11">
        <f t="shared" si="21"/>
        <v>0.7087</v>
      </c>
      <c r="F459" s="11">
        <f t="shared" si="22"/>
        <v>0.86310108636071148</v>
      </c>
      <c r="G459" s="13">
        <f t="shared" si="23"/>
        <v>-0.75240108636071146</v>
      </c>
    </row>
    <row r="460" spans="1:7" x14ac:dyDescent="0.25">
      <c r="A460" s="15" t="s">
        <v>34</v>
      </c>
      <c r="B460" s="16">
        <v>41220</v>
      </c>
      <c r="C460" s="17">
        <v>0.66149999999999998</v>
      </c>
      <c r="D460" s="17">
        <v>0.69540000000000002</v>
      </c>
      <c r="E460" s="11">
        <f t="shared" si="21"/>
        <v>0.69240000000000002</v>
      </c>
      <c r="F460" s="11">
        <f t="shared" si="22"/>
        <v>0.84498870224553368</v>
      </c>
      <c r="G460" s="13">
        <f t="shared" si="23"/>
        <v>-0.18348870224553371</v>
      </c>
    </row>
    <row r="461" spans="1:7" x14ac:dyDescent="0.25">
      <c r="A461" s="15" t="s">
        <v>34</v>
      </c>
      <c r="B461" s="16">
        <v>41221</v>
      </c>
      <c r="C461" s="17">
        <v>-0.55100000000000005</v>
      </c>
      <c r="D461" s="17">
        <v>-0.61319999999999997</v>
      </c>
      <c r="E461" s="11">
        <f t="shared" si="21"/>
        <v>-0.61619999999999997</v>
      </c>
      <c r="F461" s="11">
        <f t="shared" si="22"/>
        <v>-0.60911349733249054</v>
      </c>
      <c r="G461" s="13">
        <f t="shared" si="23"/>
        <v>5.8113497332490494E-2</v>
      </c>
    </row>
    <row r="462" spans="1:7" x14ac:dyDescent="0.25">
      <c r="A462" s="15" t="s">
        <v>34</v>
      </c>
      <c r="B462" s="16">
        <v>41222</v>
      </c>
      <c r="C462" s="17">
        <v>0.33090000000000003</v>
      </c>
      <c r="D462" s="17">
        <v>0.69610000000000005</v>
      </c>
      <c r="E462" s="11">
        <f t="shared" si="21"/>
        <v>0.69310000000000005</v>
      </c>
      <c r="F462" s="11">
        <f t="shared" si="22"/>
        <v>0.84576653469219776</v>
      </c>
      <c r="G462" s="13">
        <f t="shared" si="23"/>
        <v>-0.51486653469219767</v>
      </c>
    </row>
    <row r="463" spans="1:7" x14ac:dyDescent="0.25">
      <c r="A463" s="15" t="s">
        <v>34</v>
      </c>
      <c r="B463" s="16">
        <v>41225</v>
      </c>
      <c r="C463" s="17">
        <v>0.54920000000000002</v>
      </c>
      <c r="D463" s="17">
        <v>-0.3498</v>
      </c>
      <c r="E463" s="11">
        <f t="shared" si="21"/>
        <v>-0.3528</v>
      </c>
      <c r="F463" s="11">
        <f t="shared" si="22"/>
        <v>-0.31642625954489195</v>
      </c>
      <c r="G463" s="13">
        <f t="shared" si="23"/>
        <v>0.86562625954489203</v>
      </c>
    </row>
    <row r="464" spans="1:7" x14ac:dyDescent="0.25">
      <c r="A464" s="15" t="s">
        <v>34</v>
      </c>
      <c r="B464" s="16">
        <v>41226</v>
      </c>
      <c r="C464" s="17">
        <v>-1.1012999999999999</v>
      </c>
      <c r="D464" s="17">
        <v>-1.8287</v>
      </c>
      <c r="E464" s="11">
        <f t="shared" si="21"/>
        <v>-1.8316999999999999</v>
      </c>
      <c r="F464" s="11">
        <f t="shared" si="22"/>
        <v>-1.9597639815041918</v>
      </c>
      <c r="G464" s="13">
        <f t="shared" si="23"/>
        <v>0.8584639815041919</v>
      </c>
    </row>
    <row r="465" spans="1:7" x14ac:dyDescent="0.25">
      <c r="A465" s="15" t="s">
        <v>34</v>
      </c>
      <c r="B465" s="16">
        <v>41227</v>
      </c>
      <c r="C465" s="17">
        <v>0.22120000000000001</v>
      </c>
      <c r="D465" s="17">
        <v>0.33160000000000001</v>
      </c>
      <c r="E465" s="11">
        <f t="shared" si="21"/>
        <v>0.3286</v>
      </c>
      <c r="F465" s="11">
        <f t="shared" si="22"/>
        <v>0.44073806782211533</v>
      </c>
      <c r="G465" s="13">
        <f t="shared" si="23"/>
        <v>-0.21953806782211532</v>
      </c>
    </row>
    <row r="466" spans="1:7" x14ac:dyDescent="0.25">
      <c r="A466" s="15" t="s">
        <v>34</v>
      </c>
      <c r="B466" s="16">
        <v>41228</v>
      </c>
      <c r="C466" s="17">
        <v>-0.33200000000000002</v>
      </c>
      <c r="D466" s="17">
        <v>-0.2225</v>
      </c>
      <c r="E466" s="11">
        <f t="shared" si="21"/>
        <v>-0.22550000000000001</v>
      </c>
      <c r="F466" s="11">
        <f t="shared" si="22"/>
        <v>-0.17497187317298118</v>
      </c>
      <c r="G466" s="13">
        <f t="shared" si="23"/>
        <v>-0.15702812682701883</v>
      </c>
    </row>
    <row r="467" spans="1:7" x14ac:dyDescent="0.25">
      <c r="A467" s="15" t="s">
        <v>34</v>
      </c>
      <c r="B467" s="16">
        <v>41229</v>
      </c>
      <c r="C467" s="17">
        <v>0</v>
      </c>
      <c r="D467" s="17">
        <v>-0.19289999999999999</v>
      </c>
      <c r="E467" s="11">
        <f t="shared" si="21"/>
        <v>-0.19589999999999999</v>
      </c>
      <c r="F467" s="11">
        <f t="shared" si="22"/>
        <v>-0.14208067257118567</v>
      </c>
      <c r="G467" s="13">
        <f t="shared" si="23"/>
        <v>0.14208067257118567</v>
      </c>
    </row>
    <row r="468" spans="1:7" x14ac:dyDescent="0.25">
      <c r="A468" s="15" t="s">
        <v>34</v>
      </c>
      <c r="B468" s="16">
        <v>41232</v>
      </c>
      <c r="C468" s="17">
        <v>-0.222</v>
      </c>
      <c r="D468" s="17">
        <v>-1.44E-2</v>
      </c>
      <c r="E468" s="11">
        <f t="shared" si="21"/>
        <v>-1.7399999999999999E-2</v>
      </c>
      <c r="F468" s="11">
        <f t="shared" si="22"/>
        <v>5.6266601328155065E-2</v>
      </c>
      <c r="G468" s="13">
        <f t="shared" si="23"/>
        <v>-0.27826660132815506</v>
      </c>
    </row>
    <row r="469" spans="1:7" x14ac:dyDescent="0.25">
      <c r="A469" s="15" t="s">
        <v>34</v>
      </c>
      <c r="B469" s="16">
        <v>41233</v>
      </c>
      <c r="C469" s="17">
        <v>0.44350000000000001</v>
      </c>
      <c r="D469" s="17">
        <v>0.2344</v>
      </c>
      <c r="E469" s="11">
        <f t="shared" si="21"/>
        <v>0.23139999999999999</v>
      </c>
      <c r="F469" s="11">
        <f t="shared" si="22"/>
        <v>0.33273047665675998</v>
      </c>
      <c r="G469" s="13">
        <f t="shared" si="23"/>
        <v>0.11076952334324003</v>
      </c>
    </row>
    <row r="470" spans="1:7" x14ac:dyDescent="0.25">
      <c r="A470" s="15" t="s">
        <v>34</v>
      </c>
      <c r="B470" s="16">
        <v>41234</v>
      </c>
      <c r="C470" s="17">
        <v>0.1106</v>
      </c>
      <c r="D470" s="17">
        <v>-0.80479999999999996</v>
      </c>
      <c r="E470" s="11">
        <f t="shared" si="21"/>
        <v>-0.80779999999999996</v>
      </c>
      <c r="F470" s="11">
        <f t="shared" si="22"/>
        <v>-0.82201734987654484</v>
      </c>
      <c r="G470" s="13">
        <f t="shared" si="23"/>
        <v>0.93261734987654488</v>
      </c>
    </row>
    <row r="471" spans="1:7" x14ac:dyDescent="0.25">
      <c r="A471" s="15" t="s">
        <v>34</v>
      </c>
      <c r="B471" s="16">
        <v>41235</v>
      </c>
      <c r="C471" s="17">
        <v>0.88009999999999999</v>
      </c>
      <c r="D471" s="17">
        <v>0.24329999999999999</v>
      </c>
      <c r="E471" s="11">
        <f t="shared" si="21"/>
        <v>0.24029999999999999</v>
      </c>
      <c r="F471" s="11">
        <f t="shared" si="22"/>
        <v>0.34262006062148903</v>
      </c>
      <c r="G471" s="13">
        <f t="shared" si="23"/>
        <v>0.53747993937851102</v>
      </c>
    </row>
    <row r="472" spans="1:7" x14ac:dyDescent="0.25">
      <c r="A472" s="15" t="s">
        <v>34</v>
      </c>
      <c r="B472" s="16">
        <v>41236</v>
      </c>
      <c r="C472" s="17">
        <v>4.4974999999999996</v>
      </c>
      <c r="D472" s="17">
        <v>3.0525000000000002</v>
      </c>
      <c r="E472" s="11">
        <f t="shared" si="21"/>
        <v>3.0495000000000001</v>
      </c>
      <c r="F472" s="11">
        <f t="shared" si="22"/>
        <v>3.4641727880054001</v>
      </c>
      <c r="G472" s="13">
        <f t="shared" si="23"/>
        <v>1.0333272119945995</v>
      </c>
    </row>
    <row r="473" spans="1:7" x14ac:dyDescent="0.25">
      <c r="A473" s="15" t="s">
        <v>34</v>
      </c>
      <c r="B473" s="16">
        <v>41239</v>
      </c>
      <c r="C473" s="17">
        <v>-0.20960000000000001</v>
      </c>
      <c r="D473" s="17">
        <v>1.1044</v>
      </c>
      <c r="E473" s="11">
        <f t="shared" si="21"/>
        <v>1.1014000000000002</v>
      </c>
      <c r="F473" s="11">
        <f t="shared" si="22"/>
        <v>1.2994650889392614</v>
      </c>
      <c r="G473" s="13">
        <f t="shared" si="23"/>
        <v>-1.5090650889392614</v>
      </c>
    </row>
    <row r="474" spans="1:7" x14ac:dyDescent="0.25">
      <c r="A474" s="15" t="s">
        <v>34</v>
      </c>
      <c r="B474" s="16">
        <v>41240</v>
      </c>
      <c r="C474" s="17">
        <v>1.0439000000000001</v>
      </c>
      <c r="D474" s="17">
        <v>0.30769999999999997</v>
      </c>
      <c r="E474" s="11">
        <f t="shared" si="21"/>
        <v>0.30469999999999997</v>
      </c>
      <c r="F474" s="11">
        <f t="shared" si="22"/>
        <v>0.41418064571458452</v>
      </c>
      <c r="G474" s="13">
        <f t="shared" si="23"/>
        <v>0.62971935428541559</v>
      </c>
    </row>
    <row r="475" spans="1:7" x14ac:dyDescent="0.25">
      <c r="A475" s="15" t="s">
        <v>34</v>
      </c>
      <c r="B475" s="16">
        <v>41241</v>
      </c>
      <c r="C475" s="17">
        <v>-0.41620000000000001</v>
      </c>
      <c r="D475" s="17">
        <v>6.3600000000000004E-2</v>
      </c>
      <c r="E475" s="11">
        <f t="shared" si="21"/>
        <v>6.0600000000000001E-2</v>
      </c>
      <c r="F475" s="11">
        <f t="shared" si="22"/>
        <v>0.14293935967072413</v>
      </c>
      <c r="G475" s="13">
        <f t="shared" si="23"/>
        <v>-0.55913935967072415</v>
      </c>
    </row>
    <row r="476" spans="1:7" x14ac:dyDescent="0.25">
      <c r="A476" s="15" t="s">
        <v>34</v>
      </c>
      <c r="B476" s="16">
        <v>41242</v>
      </c>
      <c r="C476" s="17">
        <v>0.62370000000000003</v>
      </c>
      <c r="D476" s="17">
        <v>0.91869999999999996</v>
      </c>
      <c r="E476" s="11">
        <f t="shared" si="21"/>
        <v>0.91569999999999996</v>
      </c>
      <c r="F476" s="11">
        <f t="shared" si="22"/>
        <v>1.0931172527313755</v>
      </c>
      <c r="G476" s="13">
        <f t="shared" si="23"/>
        <v>-0.46941725273137547</v>
      </c>
    </row>
    <row r="477" spans="1:7" x14ac:dyDescent="0.25">
      <c r="A477" s="15" t="s">
        <v>34</v>
      </c>
      <c r="B477" s="16">
        <v>41243</v>
      </c>
      <c r="C477" s="17">
        <v>2.2542</v>
      </c>
      <c r="D477" s="17">
        <v>1.0159</v>
      </c>
      <c r="E477" s="11">
        <f t="shared" si="21"/>
        <v>1.0129000000000001</v>
      </c>
      <c r="F477" s="11">
        <f t="shared" si="22"/>
        <v>1.201124843896731</v>
      </c>
      <c r="G477" s="13">
        <f t="shared" si="23"/>
        <v>1.053075156103269</v>
      </c>
    </row>
    <row r="478" spans="1:7" x14ac:dyDescent="0.25">
      <c r="A478" s="15" t="s">
        <v>34</v>
      </c>
      <c r="B478" s="16">
        <v>41246</v>
      </c>
      <c r="C478" s="17">
        <v>-0.81379999999999997</v>
      </c>
      <c r="D478" s="17">
        <v>0.2601</v>
      </c>
      <c r="E478" s="11">
        <f t="shared" si="21"/>
        <v>0.2571</v>
      </c>
      <c r="F478" s="11">
        <f t="shared" si="22"/>
        <v>0.361288039341427</v>
      </c>
      <c r="G478" s="13">
        <f t="shared" si="23"/>
        <v>-1.1750880393414269</v>
      </c>
    </row>
    <row r="479" spans="1:7" x14ac:dyDescent="0.25">
      <c r="A479" s="15" t="s">
        <v>34</v>
      </c>
      <c r="B479" s="16">
        <v>41247</v>
      </c>
      <c r="C479" s="17">
        <v>-1.3368</v>
      </c>
      <c r="D479" s="17">
        <v>1.41E-2</v>
      </c>
      <c r="E479" s="11">
        <f t="shared" si="21"/>
        <v>1.1099999999999999E-2</v>
      </c>
      <c r="F479" s="11">
        <f t="shared" si="22"/>
        <v>8.7935493799478376E-2</v>
      </c>
      <c r="G479" s="13">
        <f t="shared" si="23"/>
        <v>-1.4247354937994783</v>
      </c>
    </row>
    <row r="480" spans="1:7" x14ac:dyDescent="0.25">
      <c r="A480" s="15" t="s">
        <v>34</v>
      </c>
      <c r="B480" s="16">
        <v>41248</v>
      </c>
      <c r="C480" s="17">
        <v>0.31009999999999999</v>
      </c>
      <c r="D480" s="17">
        <v>0.63039999999999996</v>
      </c>
      <c r="E480" s="11">
        <f t="shared" si="21"/>
        <v>0.62739999999999996</v>
      </c>
      <c r="F480" s="11">
        <f t="shared" si="22"/>
        <v>0.77276140362672607</v>
      </c>
      <c r="G480" s="13">
        <f t="shared" si="23"/>
        <v>-0.46266140362672609</v>
      </c>
    </row>
    <row r="481" spans="1:7" x14ac:dyDescent="0.25">
      <c r="A481" s="15" t="s">
        <v>34</v>
      </c>
      <c r="B481" s="16">
        <v>41249</v>
      </c>
      <c r="C481" s="17">
        <v>-0.31009999999999999</v>
      </c>
      <c r="D481" s="17">
        <v>-0.3377</v>
      </c>
      <c r="E481" s="11">
        <f t="shared" si="21"/>
        <v>-0.3407</v>
      </c>
      <c r="F481" s="11">
        <f t="shared" si="22"/>
        <v>-0.3029808701096986</v>
      </c>
      <c r="G481" s="13">
        <f t="shared" si="23"/>
        <v>-7.11912989030139E-3</v>
      </c>
    </row>
    <row r="482" spans="1:7" x14ac:dyDescent="0.25">
      <c r="A482" s="15" t="s">
        <v>34</v>
      </c>
      <c r="B482" s="16">
        <v>41250</v>
      </c>
      <c r="C482" s="17">
        <v>1.5408999999999999</v>
      </c>
      <c r="D482" s="17">
        <v>0.24890000000000001</v>
      </c>
      <c r="E482" s="11">
        <f t="shared" si="21"/>
        <v>0.24590000000000001</v>
      </c>
      <c r="F482" s="11">
        <f t="shared" si="22"/>
        <v>0.34884272019480167</v>
      </c>
      <c r="G482" s="13">
        <f t="shared" si="23"/>
        <v>1.1920572798051983</v>
      </c>
    </row>
    <row r="483" spans="1:7" x14ac:dyDescent="0.25">
      <c r="A483" s="15" t="s">
        <v>34</v>
      </c>
      <c r="B483" s="16">
        <v>41253</v>
      </c>
      <c r="C483" s="17">
        <v>-1.6444000000000001</v>
      </c>
      <c r="D483" s="17">
        <v>-0.42959999999999998</v>
      </c>
      <c r="E483" s="11">
        <f t="shared" si="21"/>
        <v>-0.43259999999999998</v>
      </c>
      <c r="F483" s="11">
        <f t="shared" si="22"/>
        <v>-0.40509915846459726</v>
      </c>
      <c r="G483" s="13">
        <f t="shared" si="23"/>
        <v>-1.2393008415354028</v>
      </c>
    </row>
    <row r="484" spans="1:7" x14ac:dyDescent="0.25">
      <c r="A484" s="15" t="s">
        <v>34</v>
      </c>
      <c r="B484" s="16">
        <v>41254</v>
      </c>
      <c r="C484" s="17">
        <v>1.8481000000000001</v>
      </c>
      <c r="D484" s="17">
        <v>5.5E-2</v>
      </c>
      <c r="E484" s="11">
        <f t="shared" si="21"/>
        <v>5.1999999999999998E-2</v>
      </c>
      <c r="F484" s="11">
        <f t="shared" si="22"/>
        <v>0.13338313246885114</v>
      </c>
      <c r="G484" s="13">
        <f t="shared" si="23"/>
        <v>1.7147168675311488</v>
      </c>
    </row>
    <row r="485" spans="1:7" x14ac:dyDescent="0.25">
      <c r="A485" s="15" t="s">
        <v>34</v>
      </c>
      <c r="B485" s="16">
        <v>41255</v>
      </c>
      <c r="C485" s="17">
        <v>0.1017</v>
      </c>
      <c r="D485" s="17">
        <v>0.99980000000000002</v>
      </c>
      <c r="E485" s="11">
        <f t="shared" si="21"/>
        <v>0.99680000000000002</v>
      </c>
      <c r="F485" s="11">
        <f t="shared" si="22"/>
        <v>1.1832346976234571</v>
      </c>
      <c r="G485" s="13">
        <f t="shared" si="23"/>
        <v>-1.0815346976234572</v>
      </c>
    </row>
    <row r="486" spans="1:7" x14ac:dyDescent="0.25">
      <c r="A486" s="15" t="s">
        <v>34</v>
      </c>
      <c r="B486" s="16">
        <v>41256</v>
      </c>
      <c r="C486" s="17">
        <v>0.80969999999999998</v>
      </c>
      <c r="D486" s="17">
        <v>0.86619999999999997</v>
      </c>
      <c r="E486" s="11">
        <f t="shared" si="21"/>
        <v>0.86319999999999997</v>
      </c>
      <c r="F486" s="11">
        <f t="shared" si="22"/>
        <v>1.0347798192315696</v>
      </c>
      <c r="G486" s="13">
        <f t="shared" si="23"/>
        <v>-0.22507981923156961</v>
      </c>
    </row>
    <row r="487" spans="1:7" x14ac:dyDescent="0.25">
      <c r="A487" s="15" t="s">
        <v>34</v>
      </c>
      <c r="B487" s="16">
        <v>41257</v>
      </c>
      <c r="C487" s="17">
        <v>-0.80969999999999998</v>
      </c>
      <c r="D487" s="17">
        <v>-0.75470000000000004</v>
      </c>
      <c r="E487" s="11">
        <f t="shared" si="21"/>
        <v>-0.75770000000000004</v>
      </c>
      <c r="F487" s="11">
        <f t="shared" si="22"/>
        <v>-0.7663467704795871</v>
      </c>
      <c r="G487" s="13">
        <f t="shared" si="23"/>
        <v>-4.3353229520412873E-2</v>
      </c>
    </row>
    <row r="488" spans="1:7" x14ac:dyDescent="0.25">
      <c r="A488" s="15" t="s">
        <v>34</v>
      </c>
      <c r="B488" s="16">
        <v>41260</v>
      </c>
      <c r="C488" s="17">
        <v>-1.4330000000000001</v>
      </c>
      <c r="D488" s="17">
        <v>-0.88049999999999995</v>
      </c>
      <c r="E488" s="11">
        <f t="shared" si="21"/>
        <v>-0.88349999999999995</v>
      </c>
      <c r="F488" s="11">
        <f t="shared" si="22"/>
        <v>-0.90613437303721767</v>
      </c>
      <c r="G488" s="13">
        <f t="shared" si="23"/>
        <v>-0.52686562696278239</v>
      </c>
    </row>
    <row r="489" spans="1:7" x14ac:dyDescent="0.25">
      <c r="A489" s="15" t="s">
        <v>34</v>
      </c>
      <c r="B489" s="16">
        <v>41261</v>
      </c>
      <c r="C489" s="17">
        <v>-0.30980000000000002</v>
      </c>
      <c r="D489" s="17">
        <v>0.16309999999999999</v>
      </c>
      <c r="E489" s="11">
        <f t="shared" si="21"/>
        <v>0.16009999999999999</v>
      </c>
      <c r="F489" s="11">
        <f t="shared" si="22"/>
        <v>0.25350268601797571</v>
      </c>
      <c r="G489" s="13">
        <f t="shared" si="23"/>
        <v>-0.56330268601797573</v>
      </c>
    </row>
    <row r="490" spans="1:7" x14ac:dyDescent="0.25">
      <c r="A490" s="15" t="s">
        <v>34</v>
      </c>
      <c r="B490" s="16">
        <v>41262</v>
      </c>
      <c r="C490" s="17">
        <v>0.61860000000000004</v>
      </c>
      <c r="D490" s="17">
        <v>0.44030000000000002</v>
      </c>
      <c r="E490" s="11">
        <f t="shared" si="21"/>
        <v>0.43730000000000002</v>
      </c>
      <c r="F490" s="11">
        <f t="shared" si="22"/>
        <v>0.56152433489695197</v>
      </c>
      <c r="G490" s="13">
        <f t="shared" si="23"/>
        <v>5.7075665103048068E-2</v>
      </c>
    </row>
    <row r="491" spans="1:7" x14ac:dyDescent="0.25">
      <c r="A491" s="15" t="s">
        <v>34</v>
      </c>
      <c r="B491" s="16">
        <v>41263</v>
      </c>
      <c r="C491" s="17">
        <v>-1.3451</v>
      </c>
      <c r="D491" s="17">
        <v>-1.0739000000000001</v>
      </c>
      <c r="E491" s="11">
        <f t="shared" si="21"/>
        <v>-1.0769</v>
      </c>
      <c r="F491" s="11">
        <f t="shared" si="22"/>
        <v>-1.1210383661584082</v>
      </c>
      <c r="G491" s="13">
        <f t="shared" si="23"/>
        <v>-0.22406163384159172</v>
      </c>
    </row>
    <row r="492" spans="1:7" x14ac:dyDescent="0.25">
      <c r="A492" s="15" t="s">
        <v>34</v>
      </c>
      <c r="B492" s="16">
        <v>41264</v>
      </c>
      <c r="C492" s="17">
        <v>-1.2579</v>
      </c>
      <c r="D492" s="17">
        <v>-0.99939999999999996</v>
      </c>
      <c r="E492" s="11">
        <f t="shared" si="21"/>
        <v>-1.0024</v>
      </c>
      <c r="F492" s="11">
        <f t="shared" si="22"/>
        <v>-1.0382547700491596</v>
      </c>
      <c r="G492" s="13">
        <f t="shared" si="23"/>
        <v>-0.21964522995084046</v>
      </c>
    </row>
    <row r="493" spans="1:7" x14ac:dyDescent="0.25">
      <c r="A493" s="15" t="s">
        <v>34</v>
      </c>
      <c r="B493" s="16">
        <v>41265</v>
      </c>
      <c r="C493" s="17">
        <v>0.94489999999999996</v>
      </c>
      <c r="D493" s="17">
        <v>0.26840000000000003</v>
      </c>
      <c r="E493" s="11">
        <f t="shared" si="21"/>
        <v>0.26540000000000002</v>
      </c>
      <c r="F493" s="11">
        <f t="shared" si="22"/>
        <v>0.37051090978044399</v>
      </c>
      <c r="G493" s="13">
        <f t="shared" si="23"/>
        <v>0.57438909021955598</v>
      </c>
    </row>
    <row r="494" spans="1:7" x14ac:dyDescent="0.25">
      <c r="A494" s="15" t="s">
        <v>34</v>
      </c>
      <c r="B494" s="16">
        <v>41267</v>
      </c>
      <c r="C494" s="17">
        <v>-0.52380000000000004</v>
      </c>
      <c r="D494" s="17">
        <v>-6.13E-2</v>
      </c>
      <c r="E494" s="11">
        <f t="shared" si="21"/>
        <v>-6.4299999999999996E-2</v>
      </c>
      <c r="F494" s="11">
        <f t="shared" si="22"/>
        <v>4.1518274016616036E-3</v>
      </c>
      <c r="G494" s="13">
        <f t="shared" si="23"/>
        <v>-0.52795182740166169</v>
      </c>
    </row>
    <row r="495" spans="1:7" x14ac:dyDescent="0.25">
      <c r="A495" s="15" t="s">
        <v>34</v>
      </c>
      <c r="B495" s="16">
        <v>41268</v>
      </c>
      <c r="C495" s="17">
        <v>1.3563000000000001</v>
      </c>
      <c r="D495" s="17">
        <v>1.3321000000000001</v>
      </c>
      <c r="E495" s="11">
        <f t="shared" si="21"/>
        <v>1.3291000000000002</v>
      </c>
      <c r="F495" s="11">
        <f t="shared" si="22"/>
        <v>1.5524828719469919</v>
      </c>
      <c r="G495" s="13">
        <f t="shared" si="23"/>
        <v>-0.1961828719469918</v>
      </c>
    </row>
    <row r="496" spans="1:7" x14ac:dyDescent="0.25">
      <c r="A496" s="15" t="s">
        <v>34</v>
      </c>
      <c r="B496" s="16">
        <v>41269</v>
      </c>
      <c r="C496" s="17">
        <v>-0.51949999999999996</v>
      </c>
      <c r="D496" s="17">
        <v>-3.1199999999999999E-2</v>
      </c>
      <c r="E496" s="11">
        <f t="shared" si="21"/>
        <v>-3.4200000000000001E-2</v>
      </c>
      <c r="F496" s="11">
        <f t="shared" si="22"/>
        <v>3.7598622608217107E-2</v>
      </c>
      <c r="G496" s="13">
        <f t="shared" si="23"/>
        <v>-0.55709862260821708</v>
      </c>
    </row>
    <row r="497" spans="1:7" x14ac:dyDescent="0.25">
      <c r="A497" s="15" t="s">
        <v>34</v>
      </c>
      <c r="B497" s="16">
        <v>41270</v>
      </c>
      <c r="C497" s="17">
        <v>-0.41749999999999998</v>
      </c>
      <c r="D497" s="17">
        <v>0.18609999999999999</v>
      </c>
      <c r="E497" s="11">
        <f t="shared" si="21"/>
        <v>0.18309999999999998</v>
      </c>
      <c r="F497" s="11">
        <f t="shared" si="22"/>
        <v>0.27906003783693839</v>
      </c>
      <c r="G497" s="13">
        <f t="shared" si="23"/>
        <v>-0.69656003783693832</v>
      </c>
    </row>
    <row r="498" spans="1:7" x14ac:dyDescent="0.25">
      <c r="A498" s="15" t="s">
        <v>34</v>
      </c>
      <c r="B498" s="16">
        <v>41271</v>
      </c>
      <c r="C498" s="17">
        <v>1.4538</v>
      </c>
      <c r="D498" s="17">
        <v>0.66579999999999995</v>
      </c>
      <c r="E498" s="11">
        <f t="shared" si="21"/>
        <v>0.66279999999999994</v>
      </c>
      <c r="F498" s="11">
        <f t="shared" si="22"/>
        <v>0.81209750164373817</v>
      </c>
      <c r="G498" s="13">
        <f t="shared" si="23"/>
        <v>0.64170249835626181</v>
      </c>
    </row>
    <row r="499" spans="1:7" x14ac:dyDescent="0.25">
      <c r="A499" s="15" t="s">
        <v>34</v>
      </c>
      <c r="B499" s="16">
        <v>41276</v>
      </c>
      <c r="C499" s="17">
        <v>2.6450999999999998</v>
      </c>
      <c r="D499" s="17">
        <v>1.0301</v>
      </c>
      <c r="E499" s="11">
        <f t="shared" si="21"/>
        <v>1.0271000000000001</v>
      </c>
      <c r="F499" s="11">
        <f t="shared" si="22"/>
        <v>1.2169037306719168</v>
      </c>
      <c r="G499" s="13">
        <f t="shared" si="23"/>
        <v>1.428196269328083</v>
      </c>
    </row>
    <row r="500" spans="1:7" x14ac:dyDescent="0.25">
      <c r="A500" s="15" t="s">
        <v>34</v>
      </c>
      <c r="B500" s="16">
        <v>41277</v>
      </c>
      <c r="C500" s="17">
        <v>1.3957999999999999</v>
      </c>
      <c r="D500" s="17">
        <v>0.73799999999999999</v>
      </c>
      <c r="E500" s="11">
        <f t="shared" si="21"/>
        <v>0.73499999999999999</v>
      </c>
      <c r="F500" s="11">
        <f t="shared" si="22"/>
        <v>0.89232536257109063</v>
      </c>
      <c r="G500" s="13">
        <f t="shared" si="23"/>
        <v>0.5034746374289093</v>
      </c>
    </row>
    <row r="501" spans="1:7" x14ac:dyDescent="0.25">
      <c r="A501" s="15" t="s">
        <v>34</v>
      </c>
      <c r="B501" s="16">
        <v>41278</v>
      </c>
      <c r="C501" s="17">
        <v>0.49380000000000002</v>
      </c>
      <c r="D501" s="17">
        <v>-0.39439999999999997</v>
      </c>
      <c r="E501" s="11">
        <f t="shared" si="21"/>
        <v>-0.39739999999999998</v>
      </c>
      <c r="F501" s="11">
        <f t="shared" si="22"/>
        <v>-0.36598529828948911</v>
      </c>
      <c r="G501" s="13">
        <f t="shared" si="23"/>
        <v>0.85978529828948913</v>
      </c>
    </row>
    <row r="502" spans="1:7" x14ac:dyDescent="0.25">
      <c r="A502" s="15" t="s">
        <v>34</v>
      </c>
      <c r="B502" s="16">
        <v>41281</v>
      </c>
      <c r="C502" s="17">
        <v>-0.99009999999999998</v>
      </c>
      <c r="D502" s="17">
        <v>-0.6542</v>
      </c>
      <c r="E502" s="11">
        <f t="shared" si="21"/>
        <v>-0.65720000000000001</v>
      </c>
      <c r="F502" s="11">
        <f t="shared" si="22"/>
        <v>-0.65467225492281544</v>
      </c>
      <c r="G502" s="13">
        <f t="shared" si="23"/>
        <v>-0.33542774507718454</v>
      </c>
    </row>
    <row r="503" spans="1:7" x14ac:dyDescent="0.25">
      <c r="A503" s="15" t="s">
        <v>34</v>
      </c>
      <c r="B503" s="16">
        <v>41282</v>
      </c>
      <c r="C503" s="17">
        <v>-0.79920000000000002</v>
      </c>
      <c r="D503" s="17">
        <v>-0.432</v>
      </c>
      <c r="E503" s="11">
        <f t="shared" si="21"/>
        <v>-0.435</v>
      </c>
      <c r="F503" s="11">
        <f t="shared" si="22"/>
        <v>-0.40776601256744555</v>
      </c>
      <c r="G503" s="13">
        <f t="shared" si="23"/>
        <v>-0.39143398743255448</v>
      </c>
    </row>
    <row r="504" spans="1:7" x14ac:dyDescent="0.25">
      <c r="A504" s="15" t="s">
        <v>34</v>
      </c>
      <c r="B504" s="16">
        <v>41283</v>
      </c>
      <c r="C504" s="17">
        <v>0.30049999999999999</v>
      </c>
      <c r="D504" s="17">
        <v>0.21970000000000001</v>
      </c>
      <c r="E504" s="11">
        <f t="shared" si="21"/>
        <v>0.2167</v>
      </c>
      <c r="F504" s="11">
        <f t="shared" si="22"/>
        <v>0.31639599527681428</v>
      </c>
      <c r="G504" s="13">
        <f t="shared" si="23"/>
        <v>-1.589599527681429E-2</v>
      </c>
    </row>
    <row r="505" spans="1:7" x14ac:dyDescent="0.25">
      <c r="A505" s="15" t="s">
        <v>34</v>
      </c>
      <c r="B505" s="16">
        <v>41284</v>
      </c>
      <c r="C505" s="17">
        <v>0.995</v>
      </c>
      <c r="D505" s="17">
        <v>0.93889999999999996</v>
      </c>
      <c r="E505" s="11">
        <f t="shared" si="21"/>
        <v>0.93589999999999995</v>
      </c>
      <c r="F505" s="11">
        <f t="shared" si="22"/>
        <v>1.1155632747636819</v>
      </c>
      <c r="G505" s="13">
        <f t="shared" si="23"/>
        <v>-0.12056327476368189</v>
      </c>
    </row>
    <row r="506" spans="1:7" x14ac:dyDescent="0.25">
      <c r="A506" s="15" t="s">
        <v>34</v>
      </c>
      <c r="B506" s="16">
        <v>41285</v>
      </c>
      <c r="C506" s="17">
        <v>0</v>
      </c>
      <c r="D506" s="17">
        <v>9.6100000000000005E-2</v>
      </c>
      <c r="E506" s="11">
        <f t="shared" si="21"/>
        <v>9.3100000000000002E-2</v>
      </c>
      <c r="F506" s="11">
        <f t="shared" si="22"/>
        <v>0.17905300898012794</v>
      </c>
      <c r="G506" s="13">
        <f t="shared" si="23"/>
        <v>-0.17905300898012794</v>
      </c>
    </row>
    <row r="507" spans="1:7" x14ac:dyDescent="0.25">
      <c r="A507" s="15" t="s">
        <v>34</v>
      </c>
      <c r="B507" s="16">
        <v>41288</v>
      </c>
      <c r="C507" s="17">
        <v>0.98519999999999996</v>
      </c>
      <c r="D507" s="17">
        <v>6.1600000000000002E-2</v>
      </c>
      <c r="E507" s="11">
        <f t="shared" si="21"/>
        <v>5.8599999999999999E-2</v>
      </c>
      <c r="F507" s="11">
        <f t="shared" si="22"/>
        <v>0.14071698125168391</v>
      </c>
      <c r="G507" s="13">
        <f t="shared" si="23"/>
        <v>0.84448301874831611</v>
      </c>
    </row>
    <row r="508" spans="1:7" x14ac:dyDescent="0.25">
      <c r="A508" s="15" t="s">
        <v>34</v>
      </c>
      <c r="B508" s="16">
        <v>41289</v>
      </c>
      <c r="C508" s="17">
        <v>-1.4815</v>
      </c>
      <c r="D508" s="17">
        <v>-0.75629999999999997</v>
      </c>
      <c r="E508" s="11">
        <f t="shared" si="21"/>
        <v>-0.75929999999999997</v>
      </c>
      <c r="F508" s="11">
        <f t="shared" si="22"/>
        <v>-0.76812467321481925</v>
      </c>
      <c r="G508" s="13">
        <f t="shared" si="23"/>
        <v>-0.71337532678518079</v>
      </c>
    </row>
    <row r="509" spans="1:7" x14ac:dyDescent="0.25">
      <c r="A509" s="15" t="s">
        <v>34</v>
      </c>
      <c r="B509" s="16">
        <v>41290</v>
      </c>
      <c r="C509" s="17">
        <v>-1.302</v>
      </c>
      <c r="D509" s="17">
        <v>-0.83530000000000004</v>
      </c>
      <c r="E509" s="11">
        <f t="shared" si="21"/>
        <v>-0.83830000000000005</v>
      </c>
      <c r="F509" s="11">
        <f t="shared" si="22"/>
        <v>-0.85590862076690855</v>
      </c>
      <c r="G509" s="13">
        <f t="shared" si="23"/>
        <v>-0.4460913792330915</v>
      </c>
    </row>
    <row r="510" spans="1:7" x14ac:dyDescent="0.25">
      <c r="A510" s="15" t="s">
        <v>34</v>
      </c>
      <c r="B510" s="16">
        <v>41291</v>
      </c>
      <c r="C510" s="17">
        <v>0.1008</v>
      </c>
      <c r="D510" s="17">
        <v>-1.0941000000000001</v>
      </c>
      <c r="E510" s="11">
        <f t="shared" si="21"/>
        <v>-1.0971</v>
      </c>
      <c r="F510" s="11">
        <f t="shared" si="22"/>
        <v>-1.1434843881907146</v>
      </c>
      <c r="G510" s="13">
        <f t="shared" si="23"/>
        <v>1.2442843881907146</v>
      </c>
    </row>
    <row r="511" spans="1:7" x14ac:dyDescent="0.25">
      <c r="A511" s="15" t="s">
        <v>34</v>
      </c>
      <c r="B511" s="16">
        <v>41292</v>
      </c>
      <c r="C511" s="17">
        <v>2.1913</v>
      </c>
      <c r="D511" s="17">
        <v>1.5145</v>
      </c>
      <c r="E511" s="11">
        <f t="shared" si="21"/>
        <v>1.5115000000000001</v>
      </c>
      <c r="F511" s="11">
        <f t="shared" si="22"/>
        <v>1.755163783763461</v>
      </c>
      <c r="G511" s="13">
        <f t="shared" si="23"/>
        <v>0.43613621623653898</v>
      </c>
    </row>
    <row r="512" spans="1:7" x14ac:dyDescent="0.25">
      <c r="A512" s="15" t="s">
        <v>34</v>
      </c>
      <c r="B512" s="16">
        <v>41295</v>
      </c>
      <c r="C512" s="17">
        <v>-0.99009999999999998</v>
      </c>
      <c r="D512" s="17">
        <v>-0.10290000000000001</v>
      </c>
      <c r="E512" s="11">
        <f t="shared" si="21"/>
        <v>-0.10590000000000001</v>
      </c>
      <c r="F512" s="11">
        <f t="shared" si="22"/>
        <v>-4.2073643714375247E-2</v>
      </c>
      <c r="G512" s="13">
        <f t="shared" si="23"/>
        <v>-0.94802635628562471</v>
      </c>
    </row>
    <row r="513" spans="1:7" x14ac:dyDescent="0.25">
      <c r="A513" s="15" t="s">
        <v>34</v>
      </c>
      <c r="B513" s="16">
        <v>41296</v>
      </c>
      <c r="C513" s="17">
        <v>0.49630000000000002</v>
      </c>
      <c r="D513" s="17">
        <v>0.4415</v>
      </c>
      <c r="E513" s="11">
        <f t="shared" si="21"/>
        <v>0.4385</v>
      </c>
      <c r="F513" s="11">
        <f t="shared" si="22"/>
        <v>0.56285776194837611</v>
      </c>
      <c r="G513" s="13">
        <f t="shared" si="23"/>
        <v>-6.6557761948376093E-2</v>
      </c>
    </row>
    <row r="514" spans="1:7" x14ac:dyDescent="0.25">
      <c r="A514" s="15" t="s">
        <v>34</v>
      </c>
      <c r="B514" s="16">
        <v>41297</v>
      </c>
      <c r="C514" s="17">
        <v>0</v>
      </c>
      <c r="D514" s="17">
        <v>-0.1925</v>
      </c>
      <c r="E514" s="11">
        <f t="shared" si="21"/>
        <v>-0.19550000000000001</v>
      </c>
      <c r="F514" s="11">
        <f t="shared" si="22"/>
        <v>-0.14163619688737766</v>
      </c>
      <c r="G514" s="13">
        <f t="shared" si="23"/>
        <v>0.14163619688737766</v>
      </c>
    </row>
    <row r="515" spans="1:7" x14ac:dyDescent="0.25">
      <c r="A515" s="15" t="s">
        <v>34</v>
      </c>
      <c r="B515" s="16">
        <v>41298</v>
      </c>
      <c r="C515" s="17">
        <v>-1.0951</v>
      </c>
      <c r="D515" s="17">
        <v>-0.62419999999999998</v>
      </c>
      <c r="E515" s="11">
        <f t="shared" ref="E515:E578" si="24">D515-$K$1</f>
        <v>-0.62719999999999998</v>
      </c>
      <c r="F515" s="11">
        <f t="shared" ref="F515:F578" si="25">K$2+K$3*E515</f>
        <v>-0.62133657863721192</v>
      </c>
      <c r="G515" s="13">
        <f t="shared" ref="G515:G578" si="26">C515-F515</f>
        <v>-0.47376342136278804</v>
      </c>
    </row>
    <row r="516" spans="1:7" x14ac:dyDescent="0.25">
      <c r="A516" s="15" t="s">
        <v>34</v>
      </c>
      <c r="B516" s="16">
        <v>41299</v>
      </c>
      <c r="C516" s="17">
        <v>-0.90500000000000003</v>
      </c>
      <c r="D516" s="17">
        <v>-0.30459999999999998</v>
      </c>
      <c r="E516" s="11">
        <f t="shared" si="24"/>
        <v>-0.30759999999999998</v>
      </c>
      <c r="F516" s="11">
        <f t="shared" si="25"/>
        <v>-0.26620050727458272</v>
      </c>
      <c r="G516" s="13">
        <f t="shared" si="26"/>
        <v>-0.63879949272541725</v>
      </c>
    </row>
    <row r="517" spans="1:7" x14ac:dyDescent="0.25">
      <c r="A517" s="15" t="s">
        <v>34</v>
      </c>
      <c r="B517" s="16">
        <v>41302</v>
      </c>
      <c r="C517" s="17">
        <v>0.30259999999999998</v>
      </c>
      <c r="D517" s="17">
        <v>0.54710000000000003</v>
      </c>
      <c r="E517" s="11">
        <f t="shared" si="24"/>
        <v>0.54410000000000003</v>
      </c>
      <c r="F517" s="11">
        <f t="shared" si="25"/>
        <v>0.6801993424737004</v>
      </c>
      <c r="G517" s="13">
        <f t="shared" si="26"/>
        <v>-0.37759934247370042</v>
      </c>
    </row>
    <row r="518" spans="1:7" x14ac:dyDescent="0.25">
      <c r="A518" s="15" t="s">
        <v>34</v>
      </c>
      <c r="B518" s="16">
        <v>41303</v>
      </c>
      <c r="C518" s="17">
        <v>1.6975</v>
      </c>
      <c r="D518" s="17">
        <v>1.1255999999999999</v>
      </c>
      <c r="E518" s="11">
        <f t="shared" si="24"/>
        <v>1.1226</v>
      </c>
      <c r="F518" s="11">
        <f t="shared" si="25"/>
        <v>1.3230223001810877</v>
      </c>
      <c r="G518" s="13">
        <f t="shared" si="26"/>
        <v>0.37447769981891232</v>
      </c>
    </row>
    <row r="519" spans="1:7" x14ac:dyDescent="0.25">
      <c r="A519" s="15" t="s">
        <v>34</v>
      </c>
      <c r="B519" s="16">
        <v>41304</v>
      </c>
      <c r="C519" s="17">
        <v>0.49380000000000002</v>
      </c>
      <c r="D519" s="17">
        <v>0.39629999999999999</v>
      </c>
      <c r="E519" s="11">
        <f t="shared" si="24"/>
        <v>0.39329999999999998</v>
      </c>
      <c r="F519" s="11">
        <f t="shared" si="25"/>
        <v>0.51263200967806688</v>
      </c>
      <c r="G519" s="13">
        <f t="shared" si="26"/>
        <v>-1.8832009678066863E-2</v>
      </c>
    </row>
    <row r="520" spans="1:7" x14ac:dyDescent="0.25">
      <c r="A520" s="15" t="s">
        <v>34</v>
      </c>
      <c r="B520" s="16">
        <v>41305</v>
      </c>
      <c r="C520" s="17">
        <v>0</v>
      </c>
      <c r="D520" s="17">
        <v>0.21729999999999999</v>
      </c>
      <c r="E520" s="11">
        <f t="shared" si="24"/>
        <v>0.21429999999999999</v>
      </c>
      <c r="F520" s="11">
        <f t="shared" si="25"/>
        <v>0.313729141173966</v>
      </c>
      <c r="G520" s="13">
        <f t="shared" si="26"/>
        <v>-0.313729141173966</v>
      </c>
    </row>
    <row r="521" spans="1:7" x14ac:dyDescent="0.25">
      <c r="A521" s="15" t="s">
        <v>34</v>
      </c>
      <c r="B521" s="16">
        <v>41306</v>
      </c>
      <c r="C521" s="17">
        <v>0</v>
      </c>
      <c r="D521" s="17">
        <v>7.5800000000000006E-2</v>
      </c>
      <c r="E521" s="11">
        <f t="shared" si="24"/>
        <v>7.2800000000000004E-2</v>
      </c>
      <c r="F521" s="11">
        <f t="shared" si="25"/>
        <v>0.15649586802686954</v>
      </c>
      <c r="G521" s="13">
        <f t="shared" si="26"/>
        <v>-0.15649586802686954</v>
      </c>
    </row>
    <row r="522" spans="1:7" x14ac:dyDescent="0.25">
      <c r="A522" s="15" t="s">
        <v>34</v>
      </c>
      <c r="B522" s="16">
        <v>41309</v>
      </c>
      <c r="C522" s="17">
        <v>1.4670000000000001</v>
      </c>
      <c r="D522" s="17">
        <v>0.85160000000000002</v>
      </c>
      <c r="E522" s="11">
        <f t="shared" si="24"/>
        <v>0.84860000000000002</v>
      </c>
      <c r="F522" s="11">
        <f t="shared" si="25"/>
        <v>1.0185564567725758</v>
      </c>
      <c r="G522" s="13">
        <f t="shared" si="26"/>
        <v>0.4484435432274243</v>
      </c>
    </row>
    <row r="523" spans="1:7" x14ac:dyDescent="0.25">
      <c r="A523" s="15" t="s">
        <v>34</v>
      </c>
      <c r="B523" s="16">
        <v>41310</v>
      </c>
      <c r="C523" s="17">
        <v>0</v>
      </c>
      <c r="D523" s="17">
        <v>-0.4582</v>
      </c>
      <c r="E523" s="11">
        <f t="shared" si="24"/>
        <v>-0.4612</v>
      </c>
      <c r="F523" s="11">
        <f t="shared" si="25"/>
        <v>-0.43687916985687258</v>
      </c>
      <c r="G523" s="13">
        <f t="shared" si="26"/>
        <v>0.43687916985687258</v>
      </c>
    </row>
    <row r="524" spans="1:7" x14ac:dyDescent="0.25">
      <c r="A524" s="15" t="s">
        <v>34</v>
      </c>
      <c r="B524" s="16">
        <v>41311</v>
      </c>
      <c r="C524" s="17">
        <v>1.9231</v>
      </c>
      <c r="D524" s="17">
        <v>0.24959999999999999</v>
      </c>
      <c r="E524" s="11">
        <f t="shared" si="24"/>
        <v>0.24659999999999999</v>
      </c>
      <c r="F524" s="11">
        <f t="shared" si="25"/>
        <v>0.34962055264146574</v>
      </c>
      <c r="G524" s="13">
        <f t="shared" si="26"/>
        <v>1.5734794473585343</v>
      </c>
    </row>
    <row r="525" spans="1:7" x14ac:dyDescent="0.25">
      <c r="A525" s="15" t="s">
        <v>34</v>
      </c>
      <c r="B525" s="16">
        <v>41323</v>
      </c>
      <c r="C525" s="17">
        <v>1.8868</v>
      </c>
      <c r="D525" s="17">
        <v>0.46539999999999998</v>
      </c>
      <c r="E525" s="11">
        <f t="shared" si="24"/>
        <v>0.46239999999999998</v>
      </c>
      <c r="F525" s="11">
        <f t="shared" si="25"/>
        <v>0.58941518405590687</v>
      </c>
      <c r="G525" s="13">
        <f t="shared" si="26"/>
        <v>1.2973848159440933</v>
      </c>
    </row>
    <row r="526" spans="1:7" x14ac:dyDescent="0.25">
      <c r="A526" s="15" t="s">
        <v>34</v>
      </c>
      <c r="B526" s="16">
        <v>41324</v>
      </c>
      <c r="C526" s="17">
        <v>0</v>
      </c>
      <c r="D526" s="17">
        <v>0.21820000000000001</v>
      </c>
      <c r="E526" s="11">
        <f t="shared" si="24"/>
        <v>0.2152</v>
      </c>
      <c r="F526" s="11">
        <f t="shared" si="25"/>
        <v>0.31472921146253413</v>
      </c>
      <c r="G526" s="13">
        <f t="shared" si="26"/>
        <v>-0.31472921146253413</v>
      </c>
    </row>
    <row r="527" spans="1:7" x14ac:dyDescent="0.25">
      <c r="A527" s="15" t="s">
        <v>34</v>
      </c>
      <c r="B527" s="16">
        <v>41325</v>
      </c>
      <c r="C527" s="17">
        <v>1.8519000000000001</v>
      </c>
      <c r="D527" s="17">
        <v>0.85329999999999995</v>
      </c>
      <c r="E527" s="11">
        <f t="shared" si="24"/>
        <v>0.85029999999999994</v>
      </c>
      <c r="F527" s="11">
        <f t="shared" si="25"/>
        <v>1.02044547842876</v>
      </c>
      <c r="G527" s="13">
        <f t="shared" si="26"/>
        <v>0.83145452157124011</v>
      </c>
    </row>
    <row r="528" spans="1:7" x14ac:dyDescent="0.25">
      <c r="A528" s="15" t="s">
        <v>34</v>
      </c>
      <c r="B528" s="16">
        <v>41326</v>
      </c>
      <c r="C528" s="17">
        <v>-1.8519000000000001</v>
      </c>
      <c r="D528" s="17">
        <v>-0.89629999999999999</v>
      </c>
      <c r="E528" s="11">
        <f t="shared" si="24"/>
        <v>-0.89929999999999999</v>
      </c>
      <c r="F528" s="11">
        <f t="shared" si="25"/>
        <v>-0.9236911625476355</v>
      </c>
      <c r="G528" s="13">
        <f t="shared" si="26"/>
        <v>-0.9282088374523646</v>
      </c>
    </row>
    <row r="529" spans="1:7" x14ac:dyDescent="0.25">
      <c r="A529" s="15" t="s">
        <v>34</v>
      </c>
      <c r="B529" s="16">
        <v>41327</v>
      </c>
      <c r="C529" s="17">
        <v>-1.4117999999999999</v>
      </c>
      <c r="D529" s="17">
        <v>-0.1225</v>
      </c>
      <c r="E529" s="11">
        <f t="shared" si="24"/>
        <v>-0.1255</v>
      </c>
      <c r="F529" s="11">
        <f t="shared" si="25"/>
        <v>-6.3852952220969525E-2</v>
      </c>
      <c r="G529" s="13">
        <f t="shared" si="26"/>
        <v>-1.3479470477790305</v>
      </c>
    </row>
    <row r="530" spans="1:7" x14ac:dyDescent="0.25">
      <c r="A530" s="15" t="s">
        <v>34</v>
      </c>
      <c r="B530" s="16">
        <v>41328</v>
      </c>
      <c r="C530" s="17">
        <v>1.4117999999999999</v>
      </c>
      <c r="D530" s="17">
        <v>0.49159999999999998</v>
      </c>
      <c r="E530" s="11">
        <f t="shared" si="24"/>
        <v>0.48859999999999998</v>
      </c>
      <c r="F530" s="11">
        <f t="shared" si="25"/>
        <v>0.61852834134533385</v>
      </c>
      <c r="G530" s="13">
        <f t="shared" si="26"/>
        <v>0.79327165865466609</v>
      </c>
    </row>
    <row r="531" spans="1:7" x14ac:dyDescent="0.25">
      <c r="A531" s="15" t="s">
        <v>34</v>
      </c>
      <c r="B531" s="16">
        <v>41330</v>
      </c>
      <c r="C531" s="17">
        <v>-1.8868</v>
      </c>
      <c r="D531" s="17">
        <v>-0.49209999999999998</v>
      </c>
      <c r="E531" s="11">
        <f t="shared" si="24"/>
        <v>-0.49509999999999998</v>
      </c>
      <c r="F531" s="11">
        <f t="shared" si="25"/>
        <v>-0.47454848405960448</v>
      </c>
      <c r="G531" s="13">
        <f t="shared" si="26"/>
        <v>-1.4122515159403957</v>
      </c>
    </row>
    <row r="532" spans="1:7" x14ac:dyDescent="0.25">
      <c r="A532" s="15" t="s">
        <v>34</v>
      </c>
      <c r="B532" s="16">
        <v>41331</v>
      </c>
      <c r="C532" s="17">
        <v>-1.4389000000000001</v>
      </c>
      <c r="D532" s="17">
        <v>-0.84379999999999999</v>
      </c>
      <c r="E532" s="11">
        <f t="shared" si="24"/>
        <v>-0.8468</v>
      </c>
      <c r="F532" s="11">
        <f t="shared" si="25"/>
        <v>-0.86535372904782948</v>
      </c>
      <c r="G532" s="13">
        <f t="shared" si="26"/>
        <v>-0.57354627095217059</v>
      </c>
    </row>
    <row r="533" spans="1:7" x14ac:dyDescent="0.25">
      <c r="A533" s="15" t="s">
        <v>34</v>
      </c>
      <c r="B533" s="16">
        <v>41332</v>
      </c>
      <c r="C533" s="17">
        <v>0.96150000000000002</v>
      </c>
      <c r="D533" s="17">
        <v>0.2165</v>
      </c>
      <c r="E533" s="11">
        <f t="shared" si="24"/>
        <v>0.2135</v>
      </c>
      <c r="F533" s="11">
        <f t="shared" si="25"/>
        <v>0.31284018980634992</v>
      </c>
      <c r="G533" s="13">
        <f t="shared" si="26"/>
        <v>0.64865981019365004</v>
      </c>
    </row>
    <row r="534" spans="1:7" x14ac:dyDescent="0.25">
      <c r="A534" s="15" t="s">
        <v>34</v>
      </c>
      <c r="B534" s="16">
        <v>41334</v>
      </c>
      <c r="C534" s="17">
        <v>0.4773</v>
      </c>
      <c r="D534" s="17">
        <v>0.84030000000000005</v>
      </c>
      <c r="E534" s="11">
        <f t="shared" si="24"/>
        <v>0.83730000000000004</v>
      </c>
      <c r="F534" s="11">
        <f t="shared" si="25"/>
        <v>1.0060000187049987</v>
      </c>
      <c r="G534" s="13">
        <f t="shared" si="26"/>
        <v>-0.52870001870499861</v>
      </c>
    </row>
    <row r="535" spans="1:7" x14ac:dyDescent="0.25">
      <c r="A535" s="15" t="s">
        <v>34</v>
      </c>
      <c r="B535" s="16">
        <v>41337</v>
      </c>
      <c r="C535" s="17">
        <v>-2.8988</v>
      </c>
      <c r="D535" s="17">
        <v>-1.2290000000000001</v>
      </c>
      <c r="E535" s="11">
        <f t="shared" si="24"/>
        <v>-1.232</v>
      </c>
      <c r="F535" s="11">
        <f t="shared" si="25"/>
        <v>-1.2933838125549784</v>
      </c>
      <c r="G535" s="13">
        <f t="shared" si="26"/>
        <v>-1.6054161874450217</v>
      </c>
    </row>
    <row r="536" spans="1:7" x14ac:dyDescent="0.25">
      <c r="A536" s="15" t="s">
        <v>34</v>
      </c>
      <c r="B536" s="16">
        <v>41338</v>
      </c>
      <c r="C536" s="17">
        <v>1.9418</v>
      </c>
      <c r="D536" s="17">
        <v>0.82750000000000001</v>
      </c>
      <c r="E536" s="11">
        <f t="shared" si="24"/>
        <v>0.82450000000000001</v>
      </c>
      <c r="F536" s="11">
        <f t="shared" si="25"/>
        <v>0.99177679682314102</v>
      </c>
      <c r="G536" s="13">
        <f t="shared" si="26"/>
        <v>0.95002320317685895</v>
      </c>
    </row>
    <row r="537" spans="1:7" x14ac:dyDescent="0.25">
      <c r="A537" s="15" t="s">
        <v>34</v>
      </c>
      <c r="B537" s="16">
        <v>41339</v>
      </c>
      <c r="C537" s="17">
        <v>0</v>
      </c>
      <c r="D537" s="17">
        <v>0.2215</v>
      </c>
      <c r="E537" s="11">
        <f t="shared" si="24"/>
        <v>0.2185</v>
      </c>
      <c r="F537" s="11">
        <f t="shared" si="25"/>
        <v>0.31839613585395049</v>
      </c>
      <c r="G537" s="13">
        <f t="shared" si="26"/>
        <v>-0.31839613585395049</v>
      </c>
    </row>
    <row r="538" spans="1:7" x14ac:dyDescent="0.25">
      <c r="A538" s="15" t="s">
        <v>34</v>
      </c>
      <c r="B538" s="16">
        <v>41340</v>
      </c>
      <c r="C538" s="17">
        <v>-0.96619999999999995</v>
      </c>
      <c r="D538" s="17">
        <v>0.1283</v>
      </c>
      <c r="E538" s="11">
        <f t="shared" si="24"/>
        <v>0.12529999999999999</v>
      </c>
      <c r="F538" s="11">
        <f t="shared" si="25"/>
        <v>0.21483330152667568</v>
      </c>
      <c r="G538" s="13">
        <f t="shared" si="26"/>
        <v>-1.1810333015266756</v>
      </c>
    </row>
    <row r="539" spans="1:7" x14ac:dyDescent="0.25">
      <c r="A539" s="15" t="s">
        <v>34</v>
      </c>
      <c r="B539" s="16">
        <v>41341</v>
      </c>
      <c r="C539" s="17">
        <v>0.48430000000000001</v>
      </c>
      <c r="D539" s="17">
        <v>0.68389999999999995</v>
      </c>
      <c r="E539" s="11">
        <f t="shared" si="24"/>
        <v>0.68089999999999995</v>
      </c>
      <c r="F539" s="11">
        <f t="shared" si="25"/>
        <v>0.83221002633605223</v>
      </c>
      <c r="G539" s="13">
        <f t="shared" si="26"/>
        <v>-0.34791002633605222</v>
      </c>
    </row>
    <row r="540" spans="1:7" x14ac:dyDescent="0.25">
      <c r="A540" s="15" t="s">
        <v>34</v>
      </c>
      <c r="B540" s="16">
        <v>41344</v>
      </c>
      <c r="C540" s="17">
        <v>-1.4599</v>
      </c>
      <c r="D540" s="17">
        <v>0.29380000000000001</v>
      </c>
      <c r="E540" s="11">
        <f t="shared" si="24"/>
        <v>0.2908</v>
      </c>
      <c r="F540" s="11">
        <f t="shared" si="25"/>
        <v>0.39873511570225489</v>
      </c>
      <c r="G540" s="13">
        <f t="shared" si="26"/>
        <v>-1.8586351157022549</v>
      </c>
    </row>
    <row r="541" spans="1:7" x14ac:dyDescent="0.25">
      <c r="A541" s="15" t="s">
        <v>34</v>
      </c>
      <c r="B541" s="16">
        <v>41345</v>
      </c>
      <c r="C541" s="17">
        <v>0.48899999999999999</v>
      </c>
      <c r="D541" s="17">
        <v>-0.54900000000000004</v>
      </c>
      <c r="E541" s="11">
        <f t="shared" si="24"/>
        <v>-0.55200000000000005</v>
      </c>
      <c r="F541" s="11">
        <f t="shared" si="25"/>
        <v>-0.53777515008129917</v>
      </c>
      <c r="G541" s="13">
        <f t="shared" si="26"/>
        <v>1.0267751500812992</v>
      </c>
    </row>
    <row r="542" spans="1:7" x14ac:dyDescent="0.25">
      <c r="A542" s="15" t="s">
        <v>34</v>
      </c>
      <c r="B542" s="16">
        <v>41346</v>
      </c>
      <c r="C542" s="17">
        <v>1.9323999999999999</v>
      </c>
      <c r="D542" s="17">
        <v>0.01</v>
      </c>
      <c r="E542" s="11">
        <f t="shared" si="24"/>
        <v>7.0000000000000001E-3</v>
      </c>
      <c r="F542" s="11">
        <f t="shared" si="25"/>
        <v>8.3379618040445899E-2</v>
      </c>
      <c r="G542" s="13">
        <f t="shared" si="26"/>
        <v>1.8490203819595541</v>
      </c>
    </row>
    <row r="543" spans="1:7" x14ac:dyDescent="0.25">
      <c r="A543" s="15" t="s">
        <v>34</v>
      </c>
      <c r="B543" s="16">
        <v>41347</v>
      </c>
      <c r="C543" s="17">
        <v>-0.47960000000000003</v>
      </c>
      <c r="D543" s="17">
        <v>-0.54869999999999997</v>
      </c>
      <c r="E543" s="11">
        <f t="shared" si="24"/>
        <v>-0.55169999999999997</v>
      </c>
      <c r="F543" s="11">
        <f t="shared" si="25"/>
        <v>-0.53744179331844311</v>
      </c>
      <c r="G543" s="13">
        <f t="shared" si="26"/>
        <v>5.784179331844308E-2</v>
      </c>
    </row>
    <row r="544" spans="1:7" x14ac:dyDescent="0.25">
      <c r="A544" s="15" t="s">
        <v>34</v>
      </c>
      <c r="B544" s="16">
        <v>41348</v>
      </c>
      <c r="C544" s="17">
        <v>-0.96619999999999995</v>
      </c>
      <c r="D544" s="17">
        <v>-0.30570000000000003</v>
      </c>
      <c r="E544" s="11">
        <f t="shared" si="24"/>
        <v>-0.30870000000000003</v>
      </c>
      <c r="F544" s="11">
        <f t="shared" si="25"/>
        <v>-0.26742281540505486</v>
      </c>
      <c r="G544" s="13">
        <f t="shared" si="26"/>
        <v>-0.69877718459494509</v>
      </c>
    </row>
    <row r="545" spans="1:7" x14ac:dyDescent="0.25">
      <c r="A545" s="15" t="s">
        <v>34</v>
      </c>
      <c r="B545" s="16">
        <v>41351</v>
      </c>
      <c r="C545" s="17">
        <v>-2.4571000000000001</v>
      </c>
      <c r="D545" s="17">
        <v>-1.476</v>
      </c>
      <c r="E545" s="11">
        <f t="shared" si="24"/>
        <v>-1.4789999999999999</v>
      </c>
      <c r="F545" s="11">
        <f t="shared" si="25"/>
        <v>-1.5678475473064468</v>
      </c>
      <c r="G545" s="13">
        <f t="shared" si="26"/>
        <v>-0.88925245269355324</v>
      </c>
    </row>
    <row r="546" spans="1:7" x14ac:dyDescent="0.25">
      <c r="A546" s="15" t="s">
        <v>34</v>
      </c>
      <c r="B546" s="16">
        <v>41352</v>
      </c>
      <c r="C546" s="17">
        <v>-0.49880000000000002</v>
      </c>
      <c r="D546" s="17">
        <v>0.34670000000000001</v>
      </c>
      <c r="E546" s="11">
        <f t="shared" si="24"/>
        <v>0.34370000000000001</v>
      </c>
      <c r="F546" s="11">
        <f t="shared" si="25"/>
        <v>0.45751702488586909</v>
      </c>
      <c r="G546" s="13">
        <f t="shared" si="26"/>
        <v>-0.95631702488586912</v>
      </c>
    </row>
    <row r="547" spans="1:7" x14ac:dyDescent="0.25">
      <c r="A547" s="15" t="s">
        <v>34</v>
      </c>
      <c r="B547" s="16">
        <v>41353</v>
      </c>
      <c r="C547" s="17">
        <v>-1.2073</v>
      </c>
      <c r="D547" s="17">
        <v>-0.51729999999999998</v>
      </c>
      <c r="E547" s="11">
        <f t="shared" si="24"/>
        <v>-0.52029999999999998</v>
      </c>
      <c r="F547" s="11">
        <f t="shared" si="25"/>
        <v>-0.50255045213951144</v>
      </c>
      <c r="G547" s="13">
        <f t="shared" si="26"/>
        <v>-0.7047495478604886</v>
      </c>
    </row>
    <row r="548" spans="1:7" x14ac:dyDescent="0.25">
      <c r="A548" s="15" t="s">
        <v>34</v>
      </c>
      <c r="B548" s="16">
        <v>41354</v>
      </c>
      <c r="C548" s="17">
        <v>-0.1013</v>
      </c>
      <c r="D548" s="17">
        <v>0.1769</v>
      </c>
      <c r="E548" s="11">
        <f t="shared" si="24"/>
        <v>0.1739</v>
      </c>
      <c r="F548" s="11">
        <f t="shared" si="25"/>
        <v>0.26883709710935333</v>
      </c>
      <c r="G548" s="13">
        <f t="shared" si="26"/>
        <v>-0.37013709710935333</v>
      </c>
    </row>
    <row r="549" spans="1:7" x14ac:dyDescent="0.25">
      <c r="A549" s="15" t="s">
        <v>34</v>
      </c>
      <c r="B549" s="16">
        <v>41355</v>
      </c>
      <c r="C549" s="17">
        <v>-0.7117</v>
      </c>
      <c r="D549" s="17">
        <v>-0.20019999999999999</v>
      </c>
      <c r="E549" s="11">
        <f t="shared" si="24"/>
        <v>-0.20319999999999999</v>
      </c>
      <c r="F549" s="11">
        <f t="shared" si="25"/>
        <v>-0.15019235380068252</v>
      </c>
      <c r="G549" s="13">
        <f t="shared" si="26"/>
        <v>-0.56150764619931748</v>
      </c>
    </row>
    <row r="550" spans="1:7" x14ac:dyDescent="0.25">
      <c r="A550" s="15" t="s">
        <v>34</v>
      </c>
      <c r="B550" s="16">
        <v>41358</v>
      </c>
      <c r="C550" s="17">
        <v>1.5189999999999999</v>
      </c>
      <c r="D550" s="17">
        <v>0.76539999999999997</v>
      </c>
      <c r="E550" s="11">
        <f t="shared" si="24"/>
        <v>0.76239999999999997</v>
      </c>
      <c r="F550" s="11">
        <f t="shared" si="25"/>
        <v>0.92277194691194175</v>
      </c>
      <c r="G550" s="13">
        <f t="shared" si="26"/>
        <v>0.59622805308805815</v>
      </c>
    </row>
    <row r="551" spans="1:7" x14ac:dyDescent="0.25">
      <c r="A551" s="15" t="s">
        <v>34</v>
      </c>
      <c r="B551" s="16">
        <v>41359</v>
      </c>
      <c r="C551" s="17">
        <v>-0.50380000000000003</v>
      </c>
      <c r="D551" s="17">
        <v>3.0999999999999999E-3</v>
      </c>
      <c r="E551" s="11">
        <f t="shared" si="24"/>
        <v>9.9999999999999829E-5</v>
      </c>
      <c r="F551" s="11">
        <f t="shared" si="25"/>
        <v>7.5712412494757103E-2</v>
      </c>
      <c r="G551" s="13">
        <f t="shared" si="26"/>
        <v>-0.57951241249475716</v>
      </c>
    </row>
    <row r="552" spans="1:7" x14ac:dyDescent="0.25">
      <c r="A552" s="15" t="s">
        <v>34</v>
      </c>
      <c r="B552" s="16">
        <v>41360</v>
      </c>
      <c r="C552" s="17">
        <v>1.5038</v>
      </c>
      <c r="D552" s="17">
        <v>0.47949999999999998</v>
      </c>
      <c r="E552" s="11">
        <f t="shared" si="24"/>
        <v>0.47649999999999998</v>
      </c>
      <c r="F552" s="11">
        <f t="shared" si="25"/>
        <v>0.6050829519101405</v>
      </c>
      <c r="G552" s="13">
        <f t="shared" si="26"/>
        <v>0.89871704808985953</v>
      </c>
    </row>
    <row r="553" spans="1:7" x14ac:dyDescent="0.25">
      <c r="A553" s="15" t="s">
        <v>34</v>
      </c>
      <c r="B553" s="16">
        <v>41361</v>
      </c>
      <c r="C553" s="17">
        <v>-0.49880000000000002</v>
      </c>
      <c r="D553" s="17">
        <v>-0.34570000000000001</v>
      </c>
      <c r="E553" s="11">
        <f t="shared" si="24"/>
        <v>-0.34870000000000001</v>
      </c>
      <c r="F553" s="11">
        <f t="shared" si="25"/>
        <v>-0.31187038378585952</v>
      </c>
      <c r="G553" s="13">
        <f t="shared" si="26"/>
        <v>-0.1869296162141405</v>
      </c>
    </row>
    <row r="554" spans="1:7" x14ac:dyDescent="0.25">
      <c r="A554" s="15" t="s">
        <v>34</v>
      </c>
      <c r="B554" s="16">
        <v>41362</v>
      </c>
      <c r="C554" s="17">
        <v>0.49880000000000002</v>
      </c>
      <c r="D554" s="17">
        <v>0.65539999999999998</v>
      </c>
      <c r="E554" s="11">
        <f t="shared" si="24"/>
        <v>0.65239999999999998</v>
      </c>
      <c r="F554" s="11">
        <f t="shared" si="25"/>
        <v>0.80054113386472892</v>
      </c>
      <c r="G554" s="13">
        <f t="shared" si="26"/>
        <v>-0.30174113386472889</v>
      </c>
    </row>
    <row r="555" spans="1:7" x14ac:dyDescent="0.25">
      <c r="A555" s="15" t="s">
        <v>34</v>
      </c>
      <c r="B555" s="16">
        <v>41365</v>
      </c>
      <c r="C555" s="17">
        <v>0.49630000000000002</v>
      </c>
      <c r="D555" s="17">
        <v>-0.24490000000000001</v>
      </c>
      <c r="E555" s="11">
        <f t="shared" si="24"/>
        <v>-0.24790000000000001</v>
      </c>
      <c r="F555" s="11">
        <f t="shared" si="25"/>
        <v>-0.1998625114662318</v>
      </c>
      <c r="G555" s="13">
        <f t="shared" si="26"/>
        <v>0.69616251146623176</v>
      </c>
    </row>
    <row r="556" spans="1:7" x14ac:dyDescent="0.25">
      <c r="A556" s="15" t="s">
        <v>34</v>
      </c>
      <c r="B556" s="16">
        <v>41366</v>
      </c>
      <c r="C556" s="17">
        <v>-0.49630000000000002</v>
      </c>
      <c r="D556" s="17">
        <v>0.17630000000000001</v>
      </c>
      <c r="E556" s="11">
        <f t="shared" si="24"/>
        <v>0.17330000000000001</v>
      </c>
      <c r="F556" s="11">
        <f t="shared" si="25"/>
        <v>0.26817038358364126</v>
      </c>
      <c r="G556" s="13">
        <f t="shared" si="26"/>
        <v>-0.76447038358364128</v>
      </c>
    </row>
    <row r="557" spans="1:7" x14ac:dyDescent="0.25">
      <c r="A557" s="15" t="s">
        <v>34</v>
      </c>
      <c r="B557" s="16">
        <v>41367</v>
      </c>
      <c r="C557" s="17">
        <v>0</v>
      </c>
      <c r="D557" s="17">
        <v>0.3679</v>
      </c>
      <c r="E557" s="11">
        <f t="shared" si="24"/>
        <v>0.3649</v>
      </c>
      <c r="F557" s="11">
        <f t="shared" si="25"/>
        <v>0.48107423612769551</v>
      </c>
      <c r="G557" s="13">
        <f t="shared" si="26"/>
        <v>-0.48107423612769551</v>
      </c>
    </row>
    <row r="558" spans="1:7" x14ac:dyDescent="0.25">
      <c r="A558" s="15" t="s">
        <v>34</v>
      </c>
      <c r="B558" s="16">
        <v>41372</v>
      </c>
      <c r="C558" s="17">
        <v>-2.0101</v>
      </c>
      <c r="D558" s="17">
        <v>-2.4156</v>
      </c>
      <c r="E558" s="11">
        <f t="shared" si="24"/>
        <v>-2.4186000000000001</v>
      </c>
      <c r="F558" s="11">
        <f t="shared" si="25"/>
        <v>-2.6119209285715486</v>
      </c>
      <c r="G558" s="13">
        <f t="shared" si="26"/>
        <v>0.60182092857154856</v>
      </c>
    </row>
    <row r="559" spans="1:7" x14ac:dyDescent="0.25">
      <c r="A559" s="15" t="s">
        <v>34</v>
      </c>
      <c r="B559" s="16">
        <v>41373</v>
      </c>
      <c r="C559" s="17">
        <v>-1.0204</v>
      </c>
      <c r="D559" s="17">
        <v>-0.31330000000000002</v>
      </c>
      <c r="E559" s="11">
        <f t="shared" si="24"/>
        <v>-0.31630000000000003</v>
      </c>
      <c r="F559" s="11">
        <f t="shared" si="25"/>
        <v>-0.27586785339740777</v>
      </c>
      <c r="G559" s="13">
        <f t="shared" si="26"/>
        <v>-0.74453214660259226</v>
      </c>
    </row>
    <row r="560" spans="1:7" x14ac:dyDescent="0.25">
      <c r="A560" s="15" t="s">
        <v>34</v>
      </c>
      <c r="B560" s="16">
        <v>41374</v>
      </c>
      <c r="C560" s="17">
        <v>0.81720000000000004</v>
      </c>
      <c r="D560" s="17">
        <v>0.31340000000000001</v>
      </c>
      <c r="E560" s="11">
        <f t="shared" si="24"/>
        <v>0.31040000000000001</v>
      </c>
      <c r="F560" s="11">
        <f t="shared" si="25"/>
        <v>0.42051442420884921</v>
      </c>
      <c r="G560" s="13">
        <f t="shared" si="26"/>
        <v>0.39668557579115082</v>
      </c>
    </row>
    <row r="561" spans="1:7" x14ac:dyDescent="0.25">
      <c r="A561" s="15" t="s">
        <v>34</v>
      </c>
      <c r="B561" s="16">
        <v>41375</v>
      </c>
      <c r="C561" s="17">
        <v>3.2035</v>
      </c>
      <c r="D561" s="17">
        <v>1.3475999999999999</v>
      </c>
      <c r="E561" s="11">
        <f t="shared" si="24"/>
        <v>1.3446</v>
      </c>
      <c r="F561" s="11">
        <f t="shared" si="25"/>
        <v>1.5697063046945536</v>
      </c>
      <c r="G561" s="13">
        <f t="shared" si="26"/>
        <v>1.6337936953054464</v>
      </c>
    </row>
    <row r="562" spans="1:7" x14ac:dyDescent="0.25">
      <c r="A562" s="15" t="s">
        <v>34</v>
      </c>
      <c r="B562" s="16">
        <v>41376</v>
      </c>
      <c r="C562" s="17">
        <v>-0.99009999999999998</v>
      </c>
      <c r="D562" s="17">
        <v>-0.4637</v>
      </c>
      <c r="E562" s="11">
        <f t="shared" si="24"/>
        <v>-0.4667</v>
      </c>
      <c r="F562" s="11">
        <f t="shared" si="25"/>
        <v>-0.44299071050923322</v>
      </c>
      <c r="G562" s="13">
        <f t="shared" si="26"/>
        <v>-0.54710928949076676</v>
      </c>
    </row>
    <row r="563" spans="1:7" x14ac:dyDescent="0.25">
      <c r="A563" s="15" t="s">
        <v>34</v>
      </c>
      <c r="B563" s="16">
        <v>41379</v>
      </c>
      <c r="C563" s="17">
        <v>-1.1006</v>
      </c>
      <c r="D563" s="17">
        <v>-0.74560000000000004</v>
      </c>
      <c r="E563" s="11">
        <f t="shared" si="24"/>
        <v>-0.74860000000000004</v>
      </c>
      <c r="F563" s="11">
        <f t="shared" si="25"/>
        <v>-0.75623494867295404</v>
      </c>
      <c r="G563" s="13">
        <f t="shared" si="26"/>
        <v>-0.34436505132704598</v>
      </c>
    </row>
    <row r="564" spans="1:7" x14ac:dyDescent="0.25">
      <c r="A564" s="15" t="s">
        <v>34</v>
      </c>
      <c r="B564" s="16">
        <v>41380</v>
      </c>
      <c r="C564" s="17">
        <v>1.1006</v>
      </c>
      <c r="D564" s="17">
        <v>0.48209999999999997</v>
      </c>
      <c r="E564" s="11">
        <f t="shared" si="24"/>
        <v>0.47909999999999997</v>
      </c>
      <c r="F564" s="11">
        <f t="shared" si="25"/>
        <v>0.60797204385489279</v>
      </c>
      <c r="G564" s="13">
        <f t="shared" si="26"/>
        <v>0.49262795614510724</v>
      </c>
    </row>
    <row r="565" spans="1:7" x14ac:dyDescent="0.25">
      <c r="A565" s="15" t="s">
        <v>34</v>
      </c>
      <c r="B565" s="16">
        <v>41381</v>
      </c>
      <c r="C565" s="17">
        <v>-0.49880000000000002</v>
      </c>
      <c r="D565" s="17">
        <v>0.1028</v>
      </c>
      <c r="E565" s="11">
        <f t="shared" si="24"/>
        <v>9.98E-2</v>
      </c>
      <c r="F565" s="11">
        <f t="shared" si="25"/>
        <v>0.18649797668391271</v>
      </c>
      <c r="G565" s="13">
        <f t="shared" si="26"/>
        <v>-0.68529797668391268</v>
      </c>
    </row>
    <row r="566" spans="1:7" x14ac:dyDescent="0.25">
      <c r="A566" s="15" t="s">
        <v>34</v>
      </c>
      <c r="B566" s="16">
        <v>41382</v>
      </c>
      <c r="C566" s="17">
        <v>-0.10009999999999999</v>
      </c>
      <c r="D566" s="17">
        <v>-0.22720000000000001</v>
      </c>
      <c r="E566" s="11">
        <f t="shared" si="24"/>
        <v>-0.23020000000000002</v>
      </c>
      <c r="F566" s="11">
        <f t="shared" si="25"/>
        <v>-0.18019446245772575</v>
      </c>
      <c r="G566" s="13">
        <f t="shared" si="26"/>
        <v>8.0094462457725751E-2</v>
      </c>
    </row>
    <row r="567" spans="1:7" x14ac:dyDescent="0.25">
      <c r="A567" s="15" t="s">
        <v>34</v>
      </c>
      <c r="B567" s="16">
        <v>41383</v>
      </c>
      <c r="C567" s="17">
        <v>6.3975</v>
      </c>
      <c r="D567" s="17">
        <v>1.774</v>
      </c>
      <c r="E567" s="11">
        <f t="shared" si="24"/>
        <v>1.7710000000000001</v>
      </c>
      <c r="F567" s="11">
        <f t="shared" si="25"/>
        <v>2.0435173836339313</v>
      </c>
      <c r="G567" s="13">
        <f t="shared" si="26"/>
        <v>4.3539826163660686</v>
      </c>
    </row>
    <row r="568" spans="1:7" x14ac:dyDescent="0.25">
      <c r="A568" s="15" t="s">
        <v>34</v>
      </c>
      <c r="B568" s="16">
        <v>41386</v>
      </c>
      <c r="C568" s="17">
        <v>1.8605</v>
      </c>
      <c r="D568" s="17">
        <v>0.49780000000000002</v>
      </c>
      <c r="E568" s="11">
        <f t="shared" si="24"/>
        <v>0.49480000000000002</v>
      </c>
      <c r="F568" s="11">
        <f t="shared" si="25"/>
        <v>0.62541771444435867</v>
      </c>
      <c r="G568" s="13">
        <f t="shared" si="26"/>
        <v>1.2350822855556414</v>
      </c>
    </row>
    <row r="569" spans="1:7" x14ac:dyDescent="0.25">
      <c r="A569" s="15" t="s">
        <v>34</v>
      </c>
      <c r="B569" s="16">
        <v>41387</v>
      </c>
      <c r="C569" s="17">
        <v>-2.3311000000000002</v>
      </c>
      <c r="D569" s="17">
        <v>-0.34699999999999998</v>
      </c>
      <c r="E569" s="11">
        <f t="shared" si="24"/>
        <v>-0.35</v>
      </c>
      <c r="F569" s="11">
        <f t="shared" si="25"/>
        <v>-0.31331492975823561</v>
      </c>
      <c r="G569" s="13">
        <f t="shared" si="26"/>
        <v>-2.0177850702417643</v>
      </c>
    </row>
    <row r="570" spans="1:7" x14ac:dyDescent="0.25">
      <c r="A570" s="15" t="s">
        <v>34</v>
      </c>
      <c r="B570" s="16">
        <v>41388</v>
      </c>
      <c r="C570" s="17">
        <v>0</v>
      </c>
      <c r="D570" s="17">
        <v>1.0139</v>
      </c>
      <c r="E570" s="11">
        <f t="shared" si="24"/>
        <v>1.0109000000000001</v>
      </c>
      <c r="F570" s="11">
        <f t="shared" si="25"/>
        <v>1.1989024654776907</v>
      </c>
      <c r="G570" s="13">
        <f t="shared" si="26"/>
        <v>-1.1989024654776907</v>
      </c>
    </row>
    <row r="571" spans="1:7" x14ac:dyDescent="0.25">
      <c r="A571" s="15" t="s">
        <v>34</v>
      </c>
      <c r="B571" s="16">
        <v>41389</v>
      </c>
      <c r="C571" s="17">
        <v>0.93899999999999995</v>
      </c>
      <c r="D571" s="17">
        <v>-2.4400000000000002E-2</v>
      </c>
      <c r="E571" s="11">
        <f t="shared" si="24"/>
        <v>-2.7400000000000001E-2</v>
      </c>
      <c r="F571" s="11">
        <f t="shared" si="25"/>
        <v>4.5154709232953893E-2</v>
      </c>
      <c r="G571" s="13">
        <f t="shared" si="26"/>
        <v>0.893845290767046</v>
      </c>
    </row>
    <row r="572" spans="1:7" x14ac:dyDescent="0.25">
      <c r="A572" s="15" t="s">
        <v>34</v>
      </c>
      <c r="B572" s="16">
        <v>41390</v>
      </c>
      <c r="C572" s="17">
        <v>1.3920999999999999</v>
      </c>
      <c r="D572" s="17">
        <v>3.8999999999999998E-3</v>
      </c>
      <c r="E572" s="11">
        <f t="shared" si="24"/>
        <v>8.9999999999999976E-4</v>
      </c>
      <c r="F572" s="11">
        <f t="shared" si="25"/>
        <v>7.6601363862373192E-2</v>
      </c>
      <c r="G572" s="13">
        <f t="shared" si="26"/>
        <v>1.3154986361376266</v>
      </c>
    </row>
    <row r="573" spans="1:7" x14ac:dyDescent="0.25">
      <c r="A573" s="15" t="s">
        <v>34</v>
      </c>
      <c r="B573" s="16">
        <v>41393</v>
      </c>
      <c r="C573" s="17">
        <v>-0.46189999999999998</v>
      </c>
      <c r="D573" s="17">
        <v>9.5699999999999993E-2</v>
      </c>
      <c r="E573" s="11">
        <f t="shared" si="24"/>
        <v>9.2699999999999991E-2</v>
      </c>
      <c r="F573" s="11">
        <f t="shared" si="25"/>
        <v>0.17860853329631987</v>
      </c>
      <c r="G573" s="13">
        <f t="shared" si="26"/>
        <v>-0.64050853329631985</v>
      </c>
    </row>
    <row r="574" spans="1:7" x14ac:dyDescent="0.25">
      <c r="A574" s="15" t="s">
        <v>34</v>
      </c>
      <c r="B574" s="16">
        <v>41394</v>
      </c>
      <c r="C574" s="17">
        <v>1.3793</v>
      </c>
      <c r="D574" s="17">
        <v>0.79290000000000005</v>
      </c>
      <c r="E574" s="11">
        <f t="shared" si="24"/>
        <v>0.78990000000000005</v>
      </c>
      <c r="F574" s="11">
        <f t="shared" si="25"/>
        <v>0.95332965017374505</v>
      </c>
      <c r="G574" s="13">
        <f t="shared" si="26"/>
        <v>0.42597034982625492</v>
      </c>
    </row>
    <row r="575" spans="1:7" x14ac:dyDescent="0.25">
      <c r="A575" s="15" t="s">
        <v>34</v>
      </c>
      <c r="B575" s="16">
        <v>41396</v>
      </c>
      <c r="C575" s="17">
        <v>0.90910000000000002</v>
      </c>
      <c r="D575" s="17">
        <v>0.42970000000000003</v>
      </c>
      <c r="E575" s="11">
        <f t="shared" si="24"/>
        <v>0.42670000000000002</v>
      </c>
      <c r="F575" s="11">
        <f t="shared" si="25"/>
        <v>0.54974572927603882</v>
      </c>
      <c r="G575" s="13">
        <f t="shared" si="26"/>
        <v>0.3593542707239612</v>
      </c>
    </row>
    <row r="576" spans="1:7" x14ac:dyDescent="0.25">
      <c r="A576" s="15" t="s">
        <v>34</v>
      </c>
      <c r="B576" s="16">
        <v>41397</v>
      </c>
      <c r="C576" s="17">
        <v>-0.45350000000000001</v>
      </c>
      <c r="D576" s="17">
        <v>8.0199999999999994E-2</v>
      </c>
      <c r="E576" s="11">
        <f t="shared" si="24"/>
        <v>7.7199999999999991E-2</v>
      </c>
      <c r="F576" s="11">
        <f t="shared" si="25"/>
        <v>0.16138510054875804</v>
      </c>
      <c r="G576" s="13">
        <f t="shared" si="26"/>
        <v>-0.61488510054875811</v>
      </c>
    </row>
    <row r="577" spans="1:7" x14ac:dyDescent="0.25">
      <c r="A577" s="15" t="s">
        <v>34</v>
      </c>
      <c r="B577" s="16">
        <v>41400</v>
      </c>
      <c r="C577" s="17">
        <v>1.3544</v>
      </c>
      <c r="D577" s="17">
        <v>0.4173</v>
      </c>
      <c r="E577" s="11">
        <f t="shared" si="24"/>
        <v>0.4143</v>
      </c>
      <c r="F577" s="11">
        <f t="shared" si="25"/>
        <v>0.53596698307798929</v>
      </c>
      <c r="G577" s="13">
        <f t="shared" si="26"/>
        <v>0.81843301692201076</v>
      </c>
    </row>
    <row r="578" spans="1:7" x14ac:dyDescent="0.25">
      <c r="A578" s="15" t="s">
        <v>34</v>
      </c>
      <c r="B578" s="16">
        <v>41401</v>
      </c>
      <c r="C578" s="17">
        <v>0.89290000000000003</v>
      </c>
      <c r="D578" s="17">
        <v>-7.3400000000000007E-2</v>
      </c>
      <c r="E578" s="11">
        <f t="shared" si="24"/>
        <v>-7.640000000000001E-2</v>
      </c>
      <c r="F578" s="11">
        <f t="shared" si="25"/>
        <v>-9.2935620335318075E-3</v>
      </c>
      <c r="G578" s="13">
        <f t="shared" si="26"/>
        <v>0.90219356203353185</v>
      </c>
    </row>
    <row r="579" spans="1:7" x14ac:dyDescent="0.25">
      <c r="A579" s="15" t="s">
        <v>34</v>
      </c>
      <c r="B579" s="16">
        <v>41402</v>
      </c>
      <c r="C579" s="17">
        <v>1.7622</v>
      </c>
      <c r="D579" s="17">
        <v>1.2663</v>
      </c>
      <c r="E579" s="11">
        <f t="shared" ref="E579:E642" si="27">D579-$K$1</f>
        <v>1.2633000000000001</v>
      </c>
      <c r="F579" s="11">
        <f t="shared" ref="F579:F642" si="28">K$2+K$3*E579</f>
        <v>1.4793666219605681</v>
      </c>
      <c r="G579" s="13">
        <f t="shared" ref="G579:G642" si="29">C579-F579</f>
        <v>0.28283337803943187</v>
      </c>
    </row>
    <row r="580" spans="1:7" x14ac:dyDescent="0.25">
      <c r="A580" s="15" t="s">
        <v>34</v>
      </c>
      <c r="B580" s="16">
        <v>41403</v>
      </c>
      <c r="C580" s="17">
        <v>0.43569999999999998</v>
      </c>
      <c r="D580" s="17">
        <v>0.2271</v>
      </c>
      <c r="E580" s="11">
        <f t="shared" si="27"/>
        <v>0.22409999999999999</v>
      </c>
      <c r="F580" s="11">
        <f t="shared" si="28"/>
        <v>0.32461879542726313</v>
      </c>
      <c r="G580" s="13">
        <f t="shared" si="29"/>
        <v>0.11108120457273685</v>
      </c>
    </row>
    <row r="581" spans="1:7" x14ac:dyDescent="0.25">
      <c r="A581" s="15" t="s">
        <v>34</v>
      </c>
      <c r="B581" s="16">
        <v>41404</v>
      </c>
      <c r="C581" s="17">
        <v>-0.43569999999999998</v>
      </c>
      <c r="D581" s="17">
        <v>-6.8000000000000005E-2</v>
      </c>
      <c r="E581" s="11">
        <f t="shared" si="27"/>
        <v>-7.1000000000000008E-2</v>
      </c>
      <c r="F581" s="11">
        <f t="shared" si="28"/>
        <v>-3.2931403021231875E-3</v>
      </c>
      <c r="G581" s="13">
        <f t="shared" si="29"/>
        <v>-0.43240685969787679</v>
      </c>
    </row>
    <row r="582" spans="1:7" x14ac:dyDescent="0.25">
      <c r="A582" s="15" t="s">
        <v>34</v>
      </c>
      <c r="B582" s="16">
        <v>41407</v>
      </c>
      <c r="C582" s="17">
        <v>0</v>
      </c>
      <c r="D582" s="17">
        <v>-0.38650000000000001</v>
      </c>
      <c r="E582" s="11">
        <f t="shared" si="27"/>
        <v>-0.38950000000000001</v>
      </c>
      <c r="F582" s="11">
        <f t="shared" si="28"/>
        <v>-0.35720690353428025</v>
      </c>
      <c r="G582" s="13">
        <f t="shared" si="29"/>
        <v>0.35720690353428025</v>
      </c>
    </row>
    <row r="583" spans="1:7" x14ac:dyDescent="0.25">
      <c r="A583" s="15" t="s">
        <v>34</v>
      </c>
      <c r="B583" s="16">
        <v>41408</v>
      </c>
      <c r="C583" s="17">
        <v>0.86960000000000004</v>
      </c>
      <c r="D583" s="17">
        <v>4.24E-2</v>
      </c>
      <c r="E583" s="11">
        <f t="shared" si="27"/>
        <v>3.9399999999999998E-2</v>
      </c>
      <c r="F583" s="11">
        <f t="shared" si="28"/>
        <v>0.11938214842889766</v>
      </c>
      <c r="G583" s="13">
        <f t="shared" si="29"/>
        <v>0.75021785157110243</v>
      </c>
    </row>
    <row r="584" spans="1:7" x14ac:dyDescent="0.25">
      <c r="A584" s="15" t="s">
        <v>34</v>
      </c>
      <c r="B584" s="16">
        <v>41409</v>
      </c>
      <c r="C584" s="17">
        <v>-0.43380000000000002</v>
      </c>
      <c r="D584" s="17">
        <v>0.80589999999999995</v>
      </c>
      <c r="E584" s="11">
        <f t="shared" si="27"/>
        <v>0.80289999999999995</v>
      </c>
      <c r="F584" s="11">
        <f t="shared" si="28"/>
        <v>0.96777510989750648</v>
      </c>
      <c r="G584" s="13">
        <f t="shared" si="29"/>
        <v>-1.4015751098975064</v>
      </c>
    </row>
    <row r="585" spans="1:7" x14ac:dyDescent="0.25">
      <c r="A585" s="15" t="s">
        <v>34</v>
      </c>
      <c r="B585" s="16">
        <v>41410</v>
      </c>
      <c r="C585" s="17">
        <v>-1.3129</v>
      </c>
      <c r="D585" s="17">
        <v>0.85540000000000005</v>
      </c>
      <c r="E585" s="11">
        <f t="shared" si="27"/>
        <v>0.85240000000000005</v>
      </c>
      <c r="F585" s="11">
        <f t="shared" si="28"/>
        <v>1.0227789757687524</v>
      </c>
      <c r="G585" s="13">
        <f t="shared" si="29"/>
        <v>-2.3356789757687526</v>
      </c>
    </row>
    <row r="586" spans="1:7" x14ac:dyDescent="0.25">
      <c r="A586" s="15" t="s">
        <v>34</v>
      </c>
      <c r="B586" s="16">
        <v>41411</v>
      </c>
      <c r="C586" s="17">
        <v>0</v>
      </c>
      <c r="D586" s="17">
        <v>-0.26090000000000002</v>
      </c>
      <c r="E586" s="11">
        <f t="shared" si="27"/>
        <v>-0.26390000000000002</v>
      </c>
      <c r="F586" s="11">
        <f t="shared" si="28"/>
        <v>-0.21764153881855364</v>
      </c>
      <c r="G586" s="13">
        <f t="shared" si="29"/>
        <v>0.21764153881855364</v>
      </c>
    </row>
    <row r="587" spans="1:7" x14ac:dyDescent="0.25">
      <c r="A587" s="15" t="s">
        <v>34</v>
      </c>
      <c r="B587" s="16">
        <v>41414</v>
      </c>
      <c r="C587" s="17">
        <v>0.43959999999999999</v>
      </c>
      <c r="D587" s="17">
        <v>0.10580000000000001</v>
      </c>
      <c r="E587" s="11">
        <f t="shared" si="27"/>
        <v>0.1028</v>
      </c>
      <c r="F587" s="11">
        <f t="shared" si="28"/>
        <v>0.18983154431247307</v>
      </c>
      <c r="G587" s="13">
        <f t="shared" si="29"/>
        <v>0.24976845568752692</v>
      </c>
    </row>
    <row r="588" spans="1:7" x14ac:dyDescent="0.25">
      <c r="A588" s="15" t="s">
        <v>34</v>
      </c>
      <c r="B588" s="16">
        <v>41415</v>
      </c>
      <c r="C588" s="17">
        <v>-1.3245</v>
      </c>
      <c r="D588" s="17">
        <v>7.1599999999999997E-2</v>
      </c>
      <c r="E588" s="11">
        <f t="shared" si="27"/>
        <v>6.8599999999999994E-2</v>
      </c>
      <c r="F588" s="11">
        <f t="shared" si="28"/>
        <v>0.15182887334688505</v>
      </c>
      <c r="G588" s="13">
        <f t="shared" si="29"/>
        <v>-1.4763288733468851</v>
      </c>
    </row>
    <row r="589" spans="1:7" x14ac:dyDescent="0.25">
      <c r="A589" s="15" t="s">
        <v>34</v>
      </c>
      <c r="B589" s="16">
        <v>41416</v>
      </c>
      <c r="C589" s="17">
        <v>-0.44540000000000002</v>
      </c>
      <c r="D589" s="17">
        <v>0.18820000000000001</v>
      </c>
      <c r="E589" s="11">
        <f t="shared" si="27"/>
        <v>0.1852</v>
      </c>
      <c r="F589" s="11">
        <f t="shared" si="28"/>
        <v>0.28139353517693066</v>
      </c>
      <c r="G589" s="13">
        <f t="shared" si="29"/>
        <v>-0.72679353517693068</v>
      </c>
    </row>
    <row r="590" spans="1:7" x14ac:dyDescent="0.25">
      <c r="A590" s="15" t="s">
        <v>34</v>
      </c>
      <c r="B590" s="16">
        <v>41417</v>
      </c>
      <c r="C590" s="17">
        <v>-3.6368</v>
      </c>
      <c r="D590" s="17">
        <v>-1.9357</v>
      </c>
      <c r="E590" s="11">
        <f t="shared" si="27"/>
        <v>-1.9386999999999999</v>
      </c>
      <c r="F590" s="11">
        <f t="shared" si="28"/>
        <v>-2.0786612269228444</v>
      </c>
      <c r="G590" s="13">
        <f t="shared" si="29"/>
        <v>-1.5581387730771556</v>
      </c>
    </row>
    <row r="591" spans="1:7" x14ac:dyDescent="0.25">
      <c r="A591" s="15" t="s">
        <v>34</v>
      </c>
      <c r="B591" s="16">
        <v>41418</v>
      </c>
      <c r="C591" s="17">
        <v>1.3793</v>
      </c>
      <c r="D591" s="17">
        <v>-0.34110000000000001</v>
      </c>
      <c r="E591" s="11">
        <f t="shared" si="27"/>
        <v>-0.34410000000000002</v>
      </c>
      <c r="F591" s="11">
        <f t="shared" si="28"/>
        <v>-0.30675891342206696</v>
      </c>
      <c r="G591" s="13">
        <f t="shared" si="29"/>
        <v>1.6860589134220669</v>
      </c>
    </row>
    <row r="592" spans="1:7" x14ac:dyDescent="0.25">
      <c r="A592" s="15" t="s">
        <v>34</v>
      </c>
      <c r="B592" s="16">
        <v>41421</v>
      </c>
      <c r="C592" s="17">
        <v>2.2574000000000001</v>
      </c>
      <c r="D592" s="17">
        <v>0.85289999999999999</v>
      </c>
      <c r="E592" s="11">
        <f t="shared" si="27"/>
        <v>0.84989999999999999</v>
      </c>
      <c r="F592" s="11">
        <f t="shared" si="28"/>
        <v>1.020001002744952</v>
      </c>
      <c r="G592" s="13">
        <f t="shared" si="29"/>
        <v>1.2373989972550481</v>
      </c>
    </row>
    <row r="593" spans="1:7" x14ac:dyDescent="0.25">
      <c r="A593" s="15" t="s">
        <v>34</v>
      </c>
      <c r="B593" s="16">
        <v>41422</v>
      </c>
      <c r="C593" s="17">
        <v>-2.2574000000000001</v>
      </c>
      <c r="D593" s="17">
        <v>-0.20610000000000001</v>
      </c>
      <c r="E593" s="11">
        <f t="shared" si="27"/>
        <v>-0.20910000000000001</v>
      </c>
      <c r="F593" s="11">
        <f t="shared" si="28"/>
        <v>-0.15674837013685128</v>
      </c>
      <c r="G593" s="13">
        <f t="shared" si="29"/>
        <v>-2.1006516298631488</v>
      </c>
    </row>
    <row r="594" spans="1:7" x14ac:dyDescent="0.25">
      <c r="A594" s="15" t="s">
        <v>34</v>
      </c>
      <c r="B594" s="16">
        <v>41423</v>
      </c>
      <c r="C594" s="17">
        <v>1.3606</v>
      </c>
      <c r="D594" s="17">
        <v>0.90180000000000005</v>
      </c>
      <c r="E594" s="11">
        <f t="shared" si="27"/>
        <v>0.89880000000000004</v>
      </c>
      <c r="F594" s="11">
        <f t="shared" si="28"/>
        <v>1.0743381550904858</v>
      </c>
      <c r="G594" s="13">
        <f t="shared" si="29"/>
        <v>0.28626184490951423</v>
      </c>
    </row>
    <row r="595" spans="1:7" x14ac:dyDescent="0.25">
      <c r="A595" s="15" t="s">
        <v>34</v>
      </c>
      <c r="B595" s="16">
        <v>41424</v>
      </c>
      <c r="C595" s="17">
        <v>-0.90500000000000003</v>
      </c>
      <c r="D595" s="17">
        <v>-1.1412</v>
      </c>
      <c r="E595" s="11">
        <f t="shared" si="27"/>
        <v>-1.1441999999999999</v>
      </c>
      <c r="F595" s="11">
        <f t="shared" si="28"/>
        <v>-1.1958213999591119</v>
      </c>
      <c r="G595" s="13">
        <f t="shared" si="29"/>
        <v>0.29082139995911183</v>
      </c>
    </row>
    <row r="596" spans="1:7" x14ac:dyDescent="0.25">
      <c r="A596" s="15" t="s">
        <v>34</v>
      </c>
      <c r="B596" s="16">
        <v>41425</v>
      </c>
      <c r="C596" s="17">
        <v>-0.4556</v>
      </c>
      <c r="D596" s="17">
        <v>0.13950000000000001</v>
      </c>
      <c r="E596" s="11">
        <f t="shared" si="27"/>
        <v>0.13650000000000001</v>
      </c>
      <c r="F596" s="11">
        <f t="shared" si="28"/>
        <v>0.22727862067330096</v>
      </c>
      <c r="G596" s="13">
        <f t="shared" si="29"/>
        <v>-0.68287862067330096</v>
      </c>
    </row>
    <row r="597" spans="1:7" x14ac:dyDescent="0.25">
      <c r="A597" s="15" t="s">
        <v>34</v>
      </c>
      <c r="B597" s="16">
        <v>41428</v>
      </c>
      <c r="C597" s="17">
        <v>-1.8433999999999999</v>
      </c>
      <c r="D597" s="17">
        <v>-0.65359999999999996</v>
      </c>
      <c r="E597" s="11">
        <f t="shared" si="27"/>
        <v>-0.65659999999999996</v>
      </c>
      <c r="F597" s="11">
        <f t="shared" si="28"/>
        <v>-0.65400554139710332</v>
      </c>
      <c r="G597" s="13">
        <f t="shared" si="29"/>
        <v>-1.1893944586028966</v>
      </c>
    </row>
    <row r="598" spans="1:7" x14ac:dyDescent="0.25">
      <c r="A598" s="15" t="s">
        <v>34</v>
      </c>
      <c r="B598" s="16">
        <v>41429</v>
      </c>
      <c r="C598" s="17">
        <v>1.3856999999999999</v>
      </c>
      <c r="D598" s="17">
        <v>-0.1196</v>
      </c>
      <c r="E598" s="11">
        <f t="shared" si="27"/>
        <v>-0.1226</v>
      </c>
      <c r="F598" s="11">
        <f t="shared" si="28"/>
        <v>-6.0630503513361175E-2</v>
      </c>
      <c r="G598" s="13">
        <f t="shared" si="29"/>
        <v>1.4463305035133611</v>
      </c>
    </row>
    <row r="599" spans="1:7" x14ac:dyDescent="0.25">
      <c r="A599" s="15" t="s">
        <v>34</v>
      </c>
      <c r="B599" s="16">
        <v>41430</v>
      </c>
      <c r="C599" s="17">
        <v>0.4577</v>
      </c>
      <c r="D599" s="17">
        <v>-0.1137</v>
      </c>
      <c r="E599" s="11">
        <f t="shared" si="27"/>
        <v>-0.1167</v>
      </c>
      <c r="F599" s="11">
        <f t="shared" si="28"/>
        <v>-5.4074487177192501E-2</v>
      </c>
      <c r="G599" s="13">
        <f t="shared" si="29"/>
        <v>0.51177448717719254</v>
      </c>
    </row>
    <row r="600" spans="1:7" x14ac:dyDescent="0.25">
      <c r="A600" s="15" t="s">
        <v>34</v>
      </c>
      <c r="B600" s="16">
        <v>41431</v>
      </c>
      <c r="C600" s="17">
        <v>-1.8433999999999999</v>
      </c>
      <c r="D600" s="17">
        <v>-1.0538000000000001</v>
      </c>
      <c r="E600" s="11">
        <f t="shared" si="27"/>
        <v>-1.0568</v>
      </c>
      <c r="F600" s="11">
        <f t="shared" si="28"/>
        <v>-1.0987034630470538</v>
      </c>
      <c r="G600" s="13">
        <f t="shared" si="29"/>
        <v>-0.74469653695294613</v>
      </c>
    </row>
    <row r="601" spans="1:7" x14ac:dyDescent="0.25">
      <c r="A601" s="15" t="s">
        <v>34</v>
      </c>
      <c r="B601" s="16">
        <v>41432</v>
      </c>
      <c r="C601" s="17">
        <v>0.92589999999999995</v>
      </c>
      <c r="D601" s="17">
        <v>-1.1599999999999999E-2</v>
      </c>
      <c r="E601" s="11">
        <f t="shared" si="27"/>
        <v>-1.4599999999999998E-2</v>
      </c>
      <c r="F601" s="11">
        <f t="shared" si="28"/>
        <v>5.9377931114811391E-2</v>
      </c>
      <c r="G601" s="13">
        <f t="shared" si="29"/>
        <v>0.86652206888518857</v>
      </c>
    </row>
    <row r="602" spans="1:7" x14ac:dyDescent="0.25">
      <c r="A602" s="15" t="s">
        <v>34</v>
      </c>
      <c r="B602" s="16">
        <v>41435</v>
      </c>
      <c r="C602" s="17">
        <v>0</v>
      </c>
      <c r="D602" s="17">
        <v>0.80400000000000005</v>
      </c>
      <c r="E602" s="11">
        <f t="shared" si="27"/>
        <v>0.80100000000000005</v>
      </c>
      <c r="F602" s="11">
        <f t="shared" si="28"/>
        <v>0.96566385039941827</v>
      </c>
      <c r="G602" s="13">
        <f t="shared" si="29"/>
        <v>-0.96566385039941827</v>
      </c>
    </row>
    <row r="603" spans="1:7" x14ac:dyDescent="0.25">
      <c r="A603" s="15" t="s">
        <v>34</v>
      </c>
      <c r="B603" s="16">
        <v>41436</v>
      </c>
      <c r="C603" s="17">
        <v>-0.46189999999999998</v>
      </c>
      <c r="D603" s="17">
        <v>-0.54559999999999997</v>
      </c>
      <c r="E603" s="11">
        <f t="shared" si="27"/>
        <v>-0.54859999999999998</v>
      </c>
      <c r="F603" s="11">
        <f t="shared" si="28"/>
        <v>-0.53399710676893075</v>
      </c>
      <c r="G603" s="13">
        <f t="shared" si="29"/>
        <v>7.2097106768930774E-2</v>
      </c>
    </row>
    <row r="604" spans="1:7" x14ac:dyDescent="0.25">
      <c r="A604" s="15" t="s">
        <v>34</v>
      </c>
      <c r="B604" s="16">
        <v>41438</v>
      </c>
      <c r="C604" s="17">
        <v>-3.2944</v>
      </c>
      <c r="D604" s="17">
        <v>-2.0474999999999999</v>
      </c>
      <c r="E604" s="11">
        <f t="shared" si="27"/>
        <v>-2.0505</v>
      </c>
      <c r="F604" s="11">
        <f t="shared" si="28"/>
        <v>-2.2028921805471935</v>
      </c>
      <c r="G604" s="13">
        <f t="shared" si="29"/>
        <v>-1.0915078194528065</v>
      </c>
    </row>
    <row r="605" spans="1:7" x14ac:dyDescent="0.25">
      <c r="A605" s="15" t="s">
        <v>34</v>
      </c>
      <c r="B605" s="16">
        <v>41439</v>
      </c>
      <c r="C605" s="17">
        <v>1.4252</v>
      </c>
      <c r="D605" s="17">
        <v>-0.17519999999999999</v>
      </c>
      <c r="E605" s="11">
        <f t="shared" si="27"/>
        <v>-0.1782</v>
      </c>
      <c r="F605" s="11">
        <f t="shared" si="28"/>
        <v>-0.12241262356267964</v>
      </c>
      <c r="G605" s="13">
        <f t="shared" si="29"/>
        <v>1.5476126235626797</v>
      </c>
    </row>
    <row r="606" spans="1:7" x14ac:dyDescent="0.25">
      <c r="A606" s="15" t="s">
        <v>34</v>
      </c>
      <c r="B606" s="16">
        <v>41442</v>
      </c>
      <c r="C606" s="17">
        <v>0</v>
      </c>
      <c r="D606" s="17">
        <v>0.69240000000000002</v>
      </c>
      <c r="E606" s="11">
        <f t="shared" si="27"/>
        <v>0.68940000000000001</v>
      </c>
      <c r="F606" s="11">
        <f t="shared" si="28"/>
        <v>0.84165513461697328</v>
      </c>
      <c r="G606" s="13">
        <f t="shared" si="29"/>
        <v>-0.84165513461697328</v>
      </c>
    </row>
    <row r="607" spans="1:7" x14ac:dyDescent="0.25">
      <c r="A607" s="15" t="s">
        <v>34</v>
      </c>
      <c r="B607" s="16">
        <v>41443</v>
      </c>
      <c r="C607" s="17">
        <v>0.47060000000000002</v>
      </c>
      <c r="D607" s="17">
        <v>0.2266</v>
      </c>
      <c r="E607" s="11">
        <f t="shared" si="27"/>
        <v>0.22359999999999999</v>
      </c>
      <c r="F607" s="11">
        <f t="shared" si="28"/>
        <v>0.32406320082250312</v>
      </c>
      <c r="G607" s="13">
        <f t="shared" si="29"/>
        <v>0.1465367991774969</v>
      </c>
    </row>
    <row r="608" spans="1:7" x14ac:dyDescent="0.25">
      <c r="A608" s="15" t="s">
        <v>34</v>
      </c>
      <c r="B608" s="16">
        <v>41444</v>
      </c>
      <c r="C608" s="17">
        <v>-0.94340000000000002</v>
      </c>
      <c r="D608" s="17">
        <v>-4.53E-2</v>
      </c>
      <c r="E608" s="11">
        <f t="shared" si="27"/>
        <v>-4.8300000000000003E-2</v>
      </c>
      <c r="F608" s="11">
        <f t="shared" si="28"/>
        <v>2.1930854753983466E-2</v>
      </c>
      <c r="G608" s="13">
        <f t="shared" si="29"/>
        <v>-0.9653308547539835</v>
      </c>
    </row>
    <row r="609" spans="1:7" x14ac:dyDescent="0.25">
      <c r="A609" s="15" t="s">
        <v>34</v>
      </c>
      <c r="B609" s="16">
        <v>41445</v>
      </c>
      <c r="C609" s="17">
        <v>-1.4319999999999999</v>
      </c>
      <c r="D609" s="17">
        <v>-1.3640000000000001</v>
      </c>
      <c r="E609" s="11">
        <f t="shared" si="27"/>
        <v>-1.367</v>
      </c>
      <c r="F609" s="11">
        <f t="shared" si="28"/>
        <v>-1.443394355840194</v>
      </c>
      <c r="G609" s="13">
        <f t="shared" si="29"/>
        <v>1.1394355840194104E-2</v>
      </c>
    </row>
    <row r="610" spans="1:7" x14ac:dyDescent="0.25">
      <c r="A610" s="15" t="s">
        <v>34</v>
      </c>
      <c r="B610" s="16">
        <v>41446</v>
      </c>
      <c r="C610" s="17">
        <v>-0.4819</v>
      </c>
      <c r="D610" s="17">
        <v>-1.3459000000000001</v>
      </c>
      <c r="E610" s="11">
        <f t="shared" si="27"/>
        <v>-1.3489</v>
      </c>
      <c r="F610" s="11">
        <f t="shared" si="28"/>
        <v>-1.4232818311478799</v>
      </c>
      <c r="G610" s="13">
        <f t="shared" si="29"/>
        <v>0.94138183114787988</v>
      </c>
    </row>
    <row r="611" spans="1:7" x14ac:dyDescent="0.25">
      <c r="A611" s="15" t="s">
        <v>34</v>
      </c>
      <c r="B611" s="16">
        <v>41449</v>
      </c>
      <c r="C611" s="17">
        <v>-2.4451000000000001</v>
      </c>
      <c r="D611" s="17">
        <v>-0.45369999999999999</v>
      </c>
      <c r="E611" s="11">
        <f t="shared" si="27"/>
        <v>-0.45669999999999999</v>
      </c>
      <c r="F611" s="11">
        <f t="shared" si="28"/>
        <v>-0.43187881841403208</v>
      </c>
      <c r="G611" s="13">
        <f t="shared" si="29"/>
        <v>-2.0132211815859682</v>
      </c>
    </row>
    <row r="612" spans="1:7" x14ac:dyDescent="0.25">
      <c r="A612" s="15" t="s">
        <v>34</v>
      </c>
      <c r="B612" s="16">
        <v>41450</v>
      </c>
      <c r="C612" s="17">
        <v>0</v>
      </c>
      <c r="D612" s="17">
        <v>-1.2295</v>
      </c>
      <c r="E612" s="11">
        <f t="shared" si="27"/>
        <v>-1.2324999999999999</v>
      </c>
      <c r="F612" s="11">
        <f t="shared" si="28"/>
        <v>-1.2939394071597383</v>
      </c>
      <c r="G612" s="13">
        <f t="shared" si="29"/>
        <v>1.2939394071597383</v>
      </c>
    </row>
    <row r="613" spans="1:7" x14ac:dyDescent="0.25">
      <c r="A613" s="15" t="s">
        <v>34</v>
      </c>
      <c r="B613" s="16">
        <v>41451</v>
      </c>
      <c r="C613" s="17">
        <v>0.49380000000000002</v>
      </c>
      <c r="D613" s="17">
        <v>1.5740000000000001</v>
      </c>
      <c r="E613" s="11">
        <f t="shared" si="27"/>
        <v>1.5710000000000002</v>
      </c>
      <c r="F613" s="11">
        <f t="shared" si="28"/>
        <v>1.8212795417299081</v>
      </c>
      <c r="G613" s="13">
        <f t="shared" si="29"/>
        <v>-1.3274795417299081</v>
      </c>
    </row>
    <row r="614" spans="1:7" x14ac:dyDescent="0.25">
      <c r="A614" s="15" t="s">
        <v>34</v>
      </c>
      <c r="B614" s="16">
        <v>41452</v>
      </c>
      <c r="C614" s="17">
        <v>2.9127999999999998</v>
      </c>
      <c r="D614" s="17">
        <v>1.2649999999999999</v>
      </c>
      <c r="E614" s="11">
        <f t="shared" si="27"/>
        <v>1.262</v>
      </c>
      <c r="F614" s="11">
        <f t="shared" si="28"/>
        <v>1.4779220759881919</v>
      </c>
      <c r="G614" s="13">
        <f t="shared" si="29"/>
        <v>1.4348779240118079</v>
      </c>
    </row>
    <row r="615" spans="1:7" x14ac:dyDescent="0.25">
      <c r="A615" s="15" t="s">
        <v>34</v>
      </c>
      <c r="B615" s="16">
        <v>41453</v>
      </c>
      <c r="C615" s="17">
        <v>6.0343</v>
      </c>
      <c r="D615" s="17">
        <v>2.2364999999999999</v>
      </c>
      <c r="E615" s="11">
        <f t="shared" si="27"/>
        <v>2.2334999999999998</v>
      </c>
      <c r="F615" s="11">
        <f t="shared" si="28"/>
        <v>2.5574423930369847</v>
      </c>
      <c r="G615" s="13">
        <f t="shared" si="29"/>
        <v>3.4768576069630153</v>
      </c>
    </row>
    <row r="616" spans="1:7" x14ac:dyDescent="0.25">
      <c r="A616" s="15" t="s">
        <v>34</v>
      </c>
      <c r="B616" s="16">
        <v>41456</v>
      </c>
      <c r="C616" s="17">
        <v>-2.7399</v>
      </c>
      <c r="D616" s="17">
        <v>-0.3256</v>
      </c>
      <c r="E616" s="11">
        <f t="shared" si="27"/>
        <v>-0.3286</v>
      </c>
      <c r="F616" s="11">
        <f t="shared" si="28"/>
        <v>-0.28953548067450519</v>
      </c>
      <c r="G616" s="13">
        <f t="shared" si="29"/>
        <v>-2.450364519325495</v>
      </c>
    </row>
    <row r="617" spans="1:7" x14ac:dyDescent="0.25">
      <c r="A617" s="15" t="s">
        <v>34</v>
      </c>
      <c r="B617" s="16">
        <v>41457</v>
      </c>
      <c r="C617" s="17">
        <v>1.8349</v>
      </c>
      <c r="D617" s="17">
        <v>-0.25090000000000001</v>
      </c>
      <c r="E617" s="11">
        <f t="shared" si="27"/>
        <v>-0.25390000000000001</v>
      </c>
      <c r="F617" s="11">
        <f t="shared" si="28"/>
        <v>-0.2065296467233525</v>
      </c>
      <c r="G617" s="13">
        <f t="shared" si="29"/>
        <v>2.0414296467233526</v>
      </c>
    </row>
    <row r="618" spans="1:7" x14ac:dyDescent="0.25">
      <c r="A618" s="15" t="s">
        <v>34</v>
      </c>
      <c r="B618" s="16">
        <v>41458</v>
      </c>
      <c r="C618" s="17">
        <v>-4.0000000000000002E-4</v>
      </c>
      <c r="D618" s="17">
        <v>-1.3115000000000001</v>
      </c>
      <c r="E618" s="11">
        <f t="shared" si="27"/>
        <v>-1.3145</v>
      </c>
      <c r="F618" s="11">
        <f t="shared" si="28"/>
        <v>-1.3850569223403879</v>
      </c>
      <c r="G618" s="13">
        <f t="shared" si="29"/>
        <v>1.384656922340388</v>
      </c>
    </row>
    <row r="619" spans="1:7" x14ac:dyDescent="0.25">
      <c r="A619" s="15" t="s">
        <v>34</v>
      </c>
      <c r="B619" s="16">
        <v>41459</v>
      </c>
      <c r="C619" s="17">
        <v>0</v>
      </c>
      <c r="D619" s="17">
        <v>-0.224</v>
      </c>
      <c r="E619" s="11">
        <f t="shared" si="27"/>
        <v>-0.22700000000000001</v>
      </c>
      <c r="F619" s="11">
        <f t="shared" si="28"/>
        <v>-0.17663865698726133</v>
      </c>
      <c r="G619" s="13">
        <f t="shared" si="29"/>
        <v>0.17663865698726133</v>
      </c>
    </row>
    <row r="620" spans="1:7" x14ac:dyDescent="0.25">
      <c r="A620" s="15" t="s">
        <v>34</v>
      </c>
      <c r="B620" s="16">
        <v>41460</v>
      </c>
      <c r="C620" s="17">
        <v>1.8519000000000001</v>
      </c>
      <c r="D620" s="17">
        <v>1.3602000000000001</v>
      </c>
      <c r="E620" s="11">
        <f t="shared" si="27"/>
        <v>1.3572000000000002</v>
      </c>
      <c r="F620" s="11">
        <f t="shared" si="28"/>
        <v>1.5837072887345072</v>
      </c>
      <c r="G620" s="13">
        <f t="shared" si="29"/>
        <v>0.26819271126549293</v>
      </c>
    </row>
    <row r="621" spans="1:7" x14ac:dyDescent="0.25">
      <c r="A621" s="15" t="s">
        <v>34</v>
      </c>
      <c r="B621" s="16">
        <v>41463</v>
      </c>
      <c r="C621" s="17">
        <v>-3.7387999999999999</v>
      </c>
      <c r="D621" s="17">
        <v>-1.4537</v>
      </c>
      <c r="E621" s="11">
        <f t="shared" si="27"/>
        <v>-1.4566999999999999</v>
      </c>
      <c r="F621" s="11">
        <f t="shared" si="28"/>
        <v>-1.5430680279341482</v>
      </c>
      <c r="G621" s="13">
        <f t="shared" si="29"/>
        <v>-2.1957319720658517</v>
      </c>
    </row>
    <row r="622" spans="1:7" x14ac:dyDescent="0.25">
      <c r="A622" s="15" t="s">
        <v>34</v>
      </c>
      <c r="B622" s="16">
        <v>41464</v>
      </c>
      <c r="C622" s="17">
        <v>0.94789999999999996</v>
      </c>
      <c r="D622" s="17">
        <v>1.07</v>
      </c>
      <c r="E622" s="11">
        <f t="shared" si="27"/>
        <v>1.0670000000000002</v>
      </c>
      <c r="F622" s="11">
        <f t="shared" si="28"/>
        <v>1.2612401801317694</v>
      </c>
      <c r="G622" s="13">
        <f t="shared" si="29"/>
        <v>-0.31334018013176945</v>
      </c>
    </row>
    <row r="623" spans="1:7" x14ac:dyDescent="0.25">
      <c r="A623" s="15" t="s">
        <v>34</v>
      </c>
      <c r="B623" s="16">
        <v>41465</v>
      </c>
      <c r="C623" s="17">
        <v>0</v>
      </c>
      <c r="D623" s="17">
        <v>0.50690000000000002</v>
      </c>
      <c r="E623" s="11">
        <f t="shared" si="27"/>
        <v>0.50390000000000001</v>
      </c>
      <c r="F623" s="11">
        <f t="shared" si="28"/>
        <v>0.63552953625099173</v>
      </c>
      <c r="G623" s="13">
        <f t="shared" si="29"/>
        <v>-0.63552953625099173</v>
      </c>
    </row>
    <row r="624" spans="1:7" x14ac:dyDescent="0.25">
      <c r="A624" s="15" t="s">
        <v>34</v>
      </c>
      <c r="B624" s="16">
        <v>41466</v>
      </c>
      <c r="C624" s="17">
        <v>3.2484999999999999</v>
      </c>
      <c r="D624" s="17">
        <v>2.0733999999999999</v>
      </c>
      <c r="E624" s="11">
        <f t="shared" si="27"/>
        <v>2.0703999999999998</v>
      </c>
      <c r="F624" s="11">
        <f t="shared" si="28"/>
        <v>2.3762074329642537</v>
      </c>
      <c r="G624" s="13">
        <f t="shared" si="29"/>
        <v>0.8722925670357462</v>
      </c>
    </row>
    <row r="625" spans="1:7" x14ac:dyDescent="0.25">
      <c r="A625" s="15" t="s">
        <v>34</v>
      </c>
      <c r="B625" s="16">
        <v>41467</v>
      </c>
      <c r="C625" s="17">
        <v>0.4556</v>
      </c>
      <c r="D625" s="17">
        <v>0.49940000000000001</v>
      </c>
      <c r="E625" s="11">
        <f t="shared" si="27"/>
        <v>0.49640000000000001</v>
      </c>
      <c r="F625" s="11">
        <f t="shared" si="28"/>
        <v>0.62719561717959083</v>
      </c>
      <c r="G625" s="13">
        <f t="shared" si="29"/>
        <v>-0.17159561717959082</v>
      </c>
    </row>
    <row r="626" spans="1:7" x14ac:dyDescent="0.25">
      <c r="A626" s="15" t="s">
        <v>34</v>
      </c>
      <c r="B626" s="16">
        <v>41470</v>
      </c>
      <c r="C626" s="17">
        <v>-0.4556</v>
      </c>
      <c r="D626" s="17">
        <v>0.41499999999999998</v>
      </c>
      <c r="E626" s="11">
        <f t="shared" si="27"/>
        <v>0.41199999999999998</v>
      </c>
      <c r="F626" s="11">
        <f t="shared" si="28"/>
        <v>0.53341124789609307</v>
      </c>
      <c r="G626" s="13">
        <f t="shared" si="29"/>
        <v>-0.98901124789609307</v>
      </c>
    </row>
    <row r="627" spans="1:7" x14ac:dyDescent="0.25">
      <c r="A627" s="15" t="s">
        <v>34</v>
      </c>
      <c r="B627" s="16">
        <v>41471</v>
      </c>
      <c r="C627" s="17">
        <v>-1.3793</v>
      </c>
      <c r="D627" s="17">
        <v>6.5799999999999997E-2</v>
      </c>
      <c r="E627" s="11">
        <f t="shared" si="27"/>
        <v>6.2799999999999995E-2</v>
      </c>
      <c r="F627" s="11">
        <f t="shared" si="28"/>
        <v>0.14538397593166841</v>
      </c>
      <c r="G627" s="13">
        <f t="shared" si="29"/>
        <v>-1.5246839759316684</v>
      </c>
    </row>
    <row r="628" spans="1:7" x14ac:dyDescent="0.25">
      <c r="A628" s="15" t="s">
        <v>34</v>
      </c>
      <c r="B628" s="16">
        <v>41472</v>
      </c>
      <c r="C628" s="17">
        <v>0.92169999999999996</v>
      </c>
      <c r="D628" s="17">
        <v>-1.4E-2</v>
      </c>
      <c r="E628" s="11">
        <f t="shared" si="27"/>
        <v>-1.7000000000000001E-2</v>
      </c>
      <c r="F628" s="11">
        <f t="shared" si="28"/>
        <v>5.671107701196311E-2</v>
      </c>
      <c r="G628" s="13">
        <f t="shared" si="29"/>
        <v>0.86498892298803687</v>
      </c>
    </row>
    <row r="629" spans="1:7" x14ac:dyDescent="0.25">
      <c r="A629" s="15" t="s">
        <v>34</v>
      </c>
      <c r="B629" s="16">
        <v>41473</v>
      </c>
      <c r="C629" s="17">
        <v>-3.2637</v>
      </c>
      <c r="D629" s="17">
        <v>-0.77880000000000005</v>
      </c>
      <c r="E629" s="11">
        <f t="shared" si="27"/>
        <v>-0.78180000000000005</v>
      </c>
      <c r="F629" s="11">
        <f t="shared" si="28"/>
        <v>-0.79312643042902198</v>
      </c>
      <c r="G629" s="13">
        <f t="shared" si="29"/>
        <v>-2.4705735695709778</v>
      </c>
    </row>
    <row r="630" spans="1:7" x14ac:dyDescent="0.25">
      <c r="A630" s="15" t="s">
        <v>34</v>
      </c>
      <c r="B630" s="16">
        <v>41474</v>
      </c>
      <c r="C630" s="17">
        <v>-7.1704999999999997</v>
      </c>
      <c r="D630" s="17">
        <v>-1.6344000000000001</v>
      </c>
      <c r="E630" s="11">
        <f t="shared" si="27"/>
        <v>-1.6374</v>
      </c>
      <c r="F630" s="11">
        <f t="shared" si="28"/>
        <v>-1.7438599180944334</v>
      </c>
      <c r="G630" s="13">
        <f t="shared" si="29"/>
        <v>-5.4266400819055658</v>
      </c>
    </row>
    <row r="631" spans="1:7" x14ac:dyDescent="0.25">
      <c r="A631" s="15" t="s">
        <v>34</v>
      </c>
      <c r="B631" s="16">
        <v>41477</v>
      </c>
      <c r="C631" s="17">
        <v>-1.2295</v>
      </c>
      <c r="D631" s="17">
        <v>0.53710000000000002</v>
      </c>
      <c r="E631" s="11">
        <f t="shared" si="27"/>
        <v>0.53410000000000002</v>
      </c>
      <c r="F631" s="11">
        <f t="shared" si="28"/>
        <v>0.66908745037849926</v>
      </c>
      <c r="G631" s="13">
        <f t="shared" si="29"/>
        <v>-1.8985874503784994</v>
      </c>
    </row>
    <row r="632" spans="1:7" x14ac:dyDescent="0.25">
      <c r="A632" s="15" t="s">
        <v>34</v>
      </c>
      <c r="B632" s="16">
        <v>41478</v>
      </c>
      <c r="C632" s="17">
        <v>3.0459000000000001</v>
      </c>
      <c r="D632" s="17">
        <v>1.3382000000000001</v>
      </c>
      <c r="E632" s="11">
        <f t="shared" si="27"/>
        <v>1.3352000000000002</v>
      </c>
      <c r="F632" s="11">
        <f t="shared" si="28"/>
        <v>1.5592611261250646</v>
      </c>
      <c r="G632" s="13">
        <f t="shared" si="29"/>
        <v>1.4866388738749354</v>
      </c>
    </row>
    <row r="633" spans="1:7" x14ac:dyDescent="0.25">
      <c r="A633" s="15" t="s">
        <v>34</v>
      </c>
      <c r="B633" s="16">
        <v>41479</v>
      </c>
      <c r="C633" s="17">
        <v>1.9802999999999999</v>
      </c>
      <c r="D633" s="17">
        <v>-0.22500000000000001</v>
      </c>
      <c r="E633" s="11">
        <f t="shared" si="27"/>
        <v>-0.22800000000000001</v>
      </c>
      <c r="F633" s="11">
        <f t="shared" si="28"/>
        <v>-0.17774984619678147</v>
      </c>
      <c r="G633" s="13">
        <f t="shared" si="29"/>
        <v>2.1580498461967812</v>
      </c>
    </row>
    <row r="634" spans="1:7" x14ac:dyDescent="0.25">
      <c r="A634" s="15" t="s">
        <v>34</v>
      </c>
      <c r="B634" s="16">
        <v>41480</v>
      </c>
      <c r="C634" s="17">
        <v>0.48899999999999999</v>
      </c>
      <c r="D634" s="17">
        <v>-0.3987</v>
      </c>
      <c r="E634" s="11">
        <f t="shared" si="27"/>
        <v>-0.4017</v>
      </c>
      <c r="F634" s="11">
        <f t="shared" si="28"/>
        <v>-0.37076341189042566</v>
      </c>
      <c r="G634" s="13">
        <f t="shared" si="29"/>
        <v>0.8597634118904256</v>
      </c>
    </row>
    <row r="635" spans="1:7" x14ac:dyDescent="0.25">
      <c r="A635" s="15" t="s">
        <v>34</v>
      </c>
      <c r="B635" s="16">
        <v>41481</v>
      </c>
      <c r="C635" s="17">
        <v>0</v>
      </c>
      <c r="D635" s="17">
        <v>-0.17380000000000001</v>
      </c>
      <c r="E635" s="11">
        <f t="shared" si="27"/>
        <v>-0.17680000000000001</v>
      </c>
      <c r="F635" s="11">
        <f t="shared" si="28"/>
        <v>-0.12085695866935149</v>
      </c>
      <c r="G635" s="13">
        <f t="shared" si="29"/>
        <v>0.12085695866935149</v>
      </c>
    </row>
    <row r="636" spans="1:7" x14ac:dyDescent="0.25">
      <c r="A636" s="15" t="s">
        <v>34</v>
      </c>
      <c r="B636" s="16">
        <v>41484</v>
      </c>
      <c r="C636" s="17">
        <v>-2.4693000000000001</v>
      </c>
      <c r="D636" s="17">
        <v>-0.79959999999999998</v>
      </c>
      <c r="E636" s="11">
        <f t="shared" si="27"/>
        <v>-0.80259999999999998</v>
      </c>
      <c r="F636" s="11">
        <f t="shared" si="28"/>
        <v>-0.81623916598704027</v>
      </c>
      <c r="G636" s="13">
        <f t="shared" si="29"/>
        <v>-1.6530608340129598</v>
      </c>
    </row>
    <row r="637" spans="1:7" x14ac:dyDescent="0.25">
      <c r="A637" s="15" t="s">
        <v>34</v>
      </c>
      <c r="B637" s="16">
        <v>41485</v>
      </c>
      <c r="C637" s="17">
        <v>1.9802999999999999</v>
      </c>
      <c r="D637" s="17">
        <v>0.97299999999999998</v>
      </c>
      <c r="E637" s="11">
        <f t="shared" si="27"/>
        <v>0.97</v>
      </c>
      <c r="F637" s="11">
        <f t="shared" si="28"/>
        <v>1.153454826808318</v>
      </c>
      <c r="G637" s="13">
        <f t="shared" si="29"/>
        <v>0.82684517319168194</v>
      </c>
    </row>
    <row r="638" spans="1:7" x14ac:dyDescent="0.25">
      <c r="A638" s="15" t="s">
        <v>34</v>
      </c>
      <c r="B638" s="16">
        <v>41486</v>
      </c>
      <c r="C638" s="17">
        <v>0.48899999999999999</v>
      </c>
      <c r="D638" s="17">
        <v>-0.6835</v>
      </c>
      <c r="E638" s="11">
        <f t="shared" si="27"/>
        <v>-0.6865</v>
      </c>
      <c r="F638" s="11">
        <f t="shared" si="28"/>
        <v>-0.68723009876175478</v>
      </c>
      <c r="G638" s="13">
        <f t="shared" si="29"/>
        <v>1.1762300987617547</v>
      </c>
    </row>
    <row r="639" spans="1:7" x14ac:dyDescent="0.25">
      <c r="A639" s="15" t="s">
        <v>34</v>
      </c>
      <c r="B639" s="16">
        <v>41487</v>
      </c>
      <c r="C639" s="17">
        <v>-1.9704999999999999</v>
      </c>
      <c r="D639" s="17">
        <v>-0.63990000000000002</v>
      </c>
      <c r="E639" s="11">
        <f t="shared" si="27"/>
        <v>-0.64290000000000003</v>
      </c>
      <c r="F639" s="11">
        <f t="shared" si="28"/>
        <v>-0.63878224922667781</v>
      </c>
      <c r="G639" s="13">
        <f t="shared" si="29"/>
        <v>-1.331717750773322</v>
      </c>
    </row>
    <row r="640" spans="1:7" x14ac:dyDescent="0.25">
      <c r="A640" s="15" t="s">
        <v>34</v>
      </c>
      <c r="B640" s="16">
        <v>41488</v>
      </c>
      <c r="C640" s="17">
        <v>0</v>
      </c>
      <c r="D640" s="17">
        <v>0.54049999999999998</v>
      </c>
      <c r="E640" s="11">
        <f t="shared" si="27"/>
        <v>0.53749999999999998</v>
      </c>
      <c r="F640" s="11">
        <f t="shared" si="28"/>
        <v>0.67286549369086757</v>
      </c>
      <c r="G640" s="13">
        <f t="shared" si="29"/>
        <v>-0.67286549369086757</v>
      </c>
    </row>
    <row r="641" spans="1:7" x14ac:dyDescent="0.25">
      <c r="A641" s="15" t="s">
        <v>34</v>
      </c>
      <c r="B641" s="16">
        <v>41491</v>
      </c>
      <c r="C641" s="17">
        <v>0</v>
      </c>
      <c r="D641" s="17">
        <v>0.4773</v>
      </c>
      <c r="E641" s="11">
        <f t="shared" si="27"/>
        <v>0.4743</v>
      </c>
      <c r="F641" s="11">
        <f t="shared" si="28"/>
        <v>0.60263833564919622</v>
      </c>
      <c r="G641" s="13">
        <f t="shared" si="29"/>
        <v>-0.60263833564919622</v>
      </c>
    </row>
    <row r="642" spans="1:7" x14ac:dyDescent="0.25">
      <c r="A642" s="15" t="s">
        <v>34</v>
      </c>
      <c r="B642" s="16">
        <v>41492</v>
      </c>
      <c r="C642" s="17">
        <v>-1.706</v>
      </c>
      <c r="D642" s="17">
        <v>-1.2327999999999999</v>
      </c>
      <c r="E642" s="11">
        <f t="shared" si="27"/>
        <v>-1.2357999999999998</v>
      </c>
      <c r="F642" s="11">
        <f t="shared" si="28"/>
        <v>-1.2976063315511546</v>
      </c>
      <c r="G642" s="13">
        <f t="shared" si="29"/>
        <v>-0.40839366844884539</v>
      </c>
    </row>
    <row r="643" spans="1:7" x14ac:dyDescent="0.25">
      <c r="A643" s="15" t="s">
        <v>34</v>
      </c>
      <c r="B643" s="16">
        <v>41493</v>
      </c>
      <c r="C643" s="17">
        <v>-1.8387</v>
      </c>
      <c r="D643" s="17">
        <v>-1.4739</v>
      </c>
      <c r="E643" s="11">
        <f t="shared" ref="E643:E706" si="30">D643-$K$1</f>
        <v>-1.4768999999999999</v>
      </c>
      <c r="F643" s="11">
        <f t="shared" ref="F643:F706" si="31">K$2+K$3*E643</f>
        <v>-1.5655140499664546</v>
      </c>
      <c r="G643" s="13">
        <f t="shared" ref="G643:G706" si="32">C643-F643</f>
        <v>-0.2731859500335454</v>
      </c>
    </row>
    <row r="644" spans="1:7" x14ac:dyDescent="0.25">
      <c r="A644" s="15" t="s">
        <v>34</v>
      </c>
      <c r="B644" s="16">
        <v>41494</v>
      </c>
      <c r="C644" s="17">
        <v>-0.62050000000000005</v>
      </c>
      <c r="D644" s="17">
        <v>-0.1721</v>
      </c>
      <c r="E644" s="11">
        <f t="shared" si="30"/>
        <v>-0.17510000000000001</v>
      </c>
      <c r="F644" s="11">
        <f t="shared" si="31"/>
        <v>-0.11896793701316728</v>
      </c>
      <c r="G644" s="13">
        <f t="shared" si="32"/>
        <v>-0.50153206298683273</v>
      </c>
    </row>
    <row r="645" spans="1:7" x14ac:dyDescent="0.25">
      <c r="A645" s="15" t="s">
        <v>34</v>
      </c>
      <c r="B645" s="16">
        <v>41495</v>
      </c>
      <c r="C645" s="17">
        <v>0</v>
      </c>
      <c r="D645" s="17">
        <v>-0.65380000000000005</v>
      </c>
      <c r="E645" s="11">
        <f t="shared" si="30"/>
        <v>-0.65680000000000005</v>
      </c>
      <c r="F645" s="11">
        <f t="shared" si="31"/>
        <v>-0.65422777923900743</v>
      </c>
      <c r="G645" s="13">
        <f t="shared" si="32"/>
        <v>0.65422777923900743</v>
      </c>
    </row>
    <row r="646" spans="1:7" x14ac:dyDescent="0.25">
      <c r="A646" s="15" t="s">
        <v>34</v>
      </c>
      <c r="B646" s="16">
        <v>41498</v>
      </c>
      <c r="C646" s="17">
        <v>-0.4158</v>
      </c>
      <c r="D646" s="17">
        <v>0.59950000000000003</v>
      </c>
      <c r="E646" s="11">
        <f t="shared" si="30"/>
        <v>0.59650000000000003</v>
      </c>
      <c r="F646" s="11">
        <f t="shared" si="31"/>
        <v>0.73842565705255447</v>
      </c>
      <c r="G646" s="13">
        <f t="shared" si="32"/>
        <v>-1.1542256570525544</v>
      </c>
    </row>
    <row r="647" spans="1:7" x14ac:dyDescent="0.25">
      <c r="A647" s="15" t="s">
        <v>34</v>
      </c>
      <c r="B647" s="16">
        <v>41499</v>
      </c>
      <c r="C647" s="17">
        <v>1.2423</v>
      </c>
      <c r="D647" s="17">
        <v>1.0432999999999999</v>
      </c>
      <c r="E647" s="11">
        <f t="shared" si="30"/>
        <v>1.0403</v>
      </c>
      <c r="F647" s="11">
        <f t="shared" si="31"/>
        <v>1.231571428237582</v>
      </c>
      <c r="G647" s="13">
        <f t="shared" si="32"/>
        <v>1.0728571762417927E-2</v>
      </c>
    </row>
    <row r="648" spans="1:7" x14ac:dyDescent="0.25">
      <c r="A648" s="15" t="s">
        <v>34</v>
      </c>
      <c r="B648" s="16">
        <v>41500</v>
      </c>
      <c r="C648" s="17">
        <v>-0.41239999999999999</v>
      </c>
      <c r="D648" s="17">
        <v>-0.4385</v>
      </c>
      <c r="E648" s="11">
        <f t="shared" si="30"/>
        <v>-0.4415</v>
      </c>
      <c r="F648" s="11">
        <f t="shared" si="31"/>
        <v>-0.41498874242932632</v>
      </c>
      <c r="G648" s="13">
        <f t="shared" si="32"/>
        <v>2.5887424293263295E-3</v>
      </c>
    </row>
    <row r="649" spans="1:7" x14ac:dyDescent="0.25">
      <c r="A649" s="15" t="s">
        <v>34</v>
      </c>
      <c r="B649" s="16">
        <v>41501</v>
      </c>
      <c r="C649" s="17">
        <v>-0.82989999999999997</v>
      </c>
      <c r="D649" s="17">
        <v>-0.80900000000000005</v>
      </c>
      <c r="E649" s="11">
        <f t="shared" si="30"/>
        <v>-0.81200000000000006</v>
      </c>
      <c r="F649" s="11">
        <f t="shared" si="31"/>
        <v>-0.8266843445565295</v>
      </c>
      <c r="G649" s="13">
        <f t="shared" si="32"/>
        <v>-3.2156554434704665E-3</v>
      </c>
    </row>
    <row r="650" spans="1:7" x14ac:dyDescent="0.25">
      <c r="A650" s="15" t="s">
        <v>34</v>
      </c>
      <c r="B650" s="16">
        <v>41502</v>
      </c>
      <c r="C650" s="17">
        <v>0.51949999999999996</v>
      </c>
      <c r="D650" s="17">
        <v>0.47739999999999999</v>
      </c>
      <c r="E650" s="11">
        <f t="shared" si="30"/>
        <v>0.47439999999999999</v>
      </c>
      <c r="F650" s="11">
        <f t="shared" si="31"/>
        <v>0.60274945457014828</v>
      </c>
      <c r="G650" s="13">
        <f t="shared" si="32"/>
        <v>-8.3249454570148318E-2</v>
      </c>
    </row>
    <row r="651" spans="1:7" x14ac:dyDescent="0.25">
      <c r="A651" s="15" t="s">
        <v>34</v>
      </c>
      <c r="B651" s="16">
        <v>41505</v>
      </c>
      <c r="C651" s="17">
        <v>-1.0417000000000001</v>
      </c>
      <c r="D651" s="17">
        <v>-0.31330000000000002</v>
      </c>
      <c r="E651" s="11">
        <f t="shared" si="30"/>
        <v>-0.31630000000000003</v>
      </c>
      <c r="F651" s="11">
        <f t="shared" si="31"/>
        <v>-0.27586785339740777</v>
      </c>
      <c r="G651" s="13">
        <f t="shared" si="32"/>
        <v>-0.76583214660259236</v>
      </c>
    </row>
    <row r="652" spans="1:7" x14ac:dyDescent="0.25">
      <c r="A652" s="15" t="s">
        <v>34</v>
      </c>
      <c r="B652" s="16">
        <v>41506</v>
      </c>
      <c r="C652" s="17">
        <v>-1.1585000000000001</v>
      </c>
      <c r="D652" s="17">
        <v>-0.85880000000000001</v>
      </c>
      <c r="E652" s="11">
        <f t="shared" si="30"/>
        <v>-0.86180000000000001</v>
      </c>
      <c r="F652" s="11">
        <f t="shared" si="31"/>
        <v>-0.88202156719063118</v>
      </c>
      <c r="G652" s="13">
        <f t="shared" si="32"/>
        <v>-0.2764784328093689</v>
      </c>
    </row>
    <row r="653" spans="1:7" x14ac:dyDescent="0.25">
      <c r="A653" s="15" t="s">
        <v>34</v>
      </c>
      <c r="B653" s="16">
        <v>41508</v>
      </c>
      <c r="C653" s="17">
        <v>0.10589999999999999</v>
      </c>
      <c r="D653" s="17">
        <v>-0.23350000000000001</v>
      </c>
      <c r="E653" s="11">
        <f t="shared" si="30"/>
        <v>-0.23650000000000002</v>
      </c>
      <c r="F653" s="11">
        <f t="shared" si="31"/>
        <v>-0.18719495447770246</v>
      </c>
      <c r="G653" s="13">
        <f t="shared" si="32"/>
        <v>0.29309495447770245</v>
      </c>
    </row>
    <row r="654" spans="1:7" x14ac:dyDescent="0.25">
      <c r="A654" s="15" t="s">
        <v>34</v>
      </c>
      <c r="B654" s="16">
        <v>41509</v>
      </c>
      <c r="C654" s="17">
        <v>2.6111</v>
      </c>
      <c r="D654" s="17">
        <v>0.75129999999999997</v>
      </c>
      <c r="E654" s="11">
        <f t="shared" si="30"/>
        <v>0.74829999999999997</v>
      </c>
      <c r="F654" s="11">
        <f t="shared" si="31"/>
        <v>0.90710417905770813</v>
      </c>
      <c r="G654" s="13">
        <f t="shared" si="32"/>
        <v>1.7039958209422919</v>
      </c>
    </row>
    <row r="655" spans="1:7" x14ac:dyDescent="0.25">
      <c r="A655" s="15" t="s">
        <v>34</v>
      </c>
      <c r="B655" s="16">
        <v>41512</v>
      </c>
      <c r="C655" s="17">
        <v>-0.2064</v>
      </c>
      <c r="D655" s="17">
        <v>0.2747</v>
      </c>
      <c r="E655" s="11">
        <f t="shared" si="30"/>
        <v>0.2717</v>
      </c>
      <c r="F655" s="11">
        <f t="shared" si="31"/>
        <v>0.3775114018004207</v>
      </c>
      <c r="G655" s="13">
        <f t="shared" si="32"/>
        <v>-0.58391140180042067</v>
      </c>
    </row>
    <row r="656" spans="1:7" x14ac:dyDescent="0.25">
      <c r="A656" s="15" t="s">
        <v>34</v>
      </c>
      <c r="B656" s="16">
        <v>41513</v>
      </c>
      <c r="C656" s="17">
        <v>-1.2474000000000001</v>
      </c>
      <c r="D656" s="17">
        <v>-0.94340000000000002</v>
      </c>
      <c r="E656" s="11">
        <f t="shared" si="30"/>
        <v>-0.94640000000000002</v>
      </c>
      <c r="F656" s="11">
        <f t="shared" si="31"/>
        <v>-0.97602817431603306</v>
      </c>
      <c r="G656" s="13">
        <f t="shared" si="32"/>
        <v>-0.27137182568396701</v>
      </c>
    </row>
    <row r="657" spans="1:7" x14ac:dyDescent="0.25">
      <c r="A657" s="15" t="s">
        <v>34</v>
      </c>
      <c r="B657" s="16">
        <v>41514</v>
      </c>
      <c r="C657" s="17">
        <v>1.2474000000000001</v>
      </c>
      <c r="D657" s="17">
        <v>4.7300000000000002E-2</v>
      </c>
      <c r="E657" s="11">
        <f t="shared" si="30"/>
        <v>4.4299999999999999E-2</v>
      </c>
      <c r="F657" s="11">
        <f t="shared" si="31"/>
        <v>0.12482697555554624</v>
      </c>
      <c r="G657" s="13">
        <f t="shared" si="32"/>
        <v>1.1225730244444538</v>
      </c>
    </row>
    <row r="658" spans="1:7" x14ac:dyDescent="0.25">
      <c r="A658" s="15" t="s">
        <v>34</v>
      </c>
      <c r="B658" s="16">
        <v>41515</v>
      </c>
      <c r="C658" s="17">
        <v>1.9438</v>
      </c>
      <c r="D658" s="17">
        <v>1.1831</v>
      </c>
      <c r="E658" s="11">
        <f t="shared" si="30"/>
        <v>1.1801000000000001</v>
      </c>
      <c r="F658" s="11">
        <f t="shared" si="31"/>
        <v>1.3869156797284945</v>
      </c>
      <c r="G658" s="13">
        <f t="shared" si="32"/>
        <v>0.55688432027150547</v>
      </c>
    </row>
    <row r="659" spans="1:7" x14ac:dyDescent="0.25">
      <c r="A659" s="15" t="s">
        <v>34</v>
      </c>
      <c r="B659" s="16">
        <v>41516</v>
      </c>
      <c r="C659" s="17">
        <v>1.8072999999999999</v>
      </c>
      <c r="D659" s="17">
        <v>1.3078000000000001</v>
      </c>
      <c r="E659" s="11">
        <f t="shared" si="30"/>
        <v>1.3048000000000002</v>
      </c>
      <c r="F659" s="11">
        <f t="shared" si="31"/>
        <v>1.525480974155653</v>
      </c>
      <c r="G659" s="13">
        <f t="shared" si="32"/>
        <v>0.28181902584434693</v>
      </c>
    </row>
    <row r="660" spans="1:7" x14ac:dyDescent="0.25">
      <c r="A660" s="15" t="s">
        <v>34</v>
      </c>
      <c r="B660" s="16">
        <v>41519</v>
      </c>
      <c r="C660" s="17">
        <v>1.4815</v>
      </c>
      <c r="D660" s="17">
        <v>0.21129999999999999</v>
      </c>
      <c r="E660" s="11">
        <f t="shared" si="30"/>
        <v>0.20829999999999999</v>
      </c>
      <c r="F660" s="11">
        <f t="shared" si="31"/>
        <v>0.30706200591684529</v>
      </c>
      <c r="G660" s="13">
        <f t="shared" si="32"/>
        <v>1.1744379940831546</v>
      </c>
    </row>
    <row r="661" spans="1:7" x14ac:dyDescent="0.25">
      <c r="A661" s="15" t="s">
        <v>34</v>
      </c>
      <c r="B661" s="16">
        <v>41520</v>
      </c>
      <c r="C661" s="17">
        <v>0</v>
      </c>
      <c r="D661" s="17">
        <v>0.61399999999999999</v>
      </c>
      <c r="E661" s="11">
        <f t="shared" si="30"/>
        <v>0.61099999999999999</v>
      </c>
      <c r="F661" s="11">
        <f t="shared" si="31"/>
        <v>0.75453790059059611</v>
      </c>
      <c r="G661" s="13">
        <f t="shared" si="32"/>
        <v>-0.75453790059059611</v>
      </c>
    </row>
    <row r="662" spans="1:7" x14ac:dyDescent="0.25">
      <c r="A662" s="15" t="s">
        <v>34</v>
      </c>
      <c r="B662" s="16">
        <v>41521</v>
      </c>
      <c r="C662" s="17">
        <v>-1.4815</v>
      </c>
      <c r="D662" s="17">
        <v>-6.0999999999999999E-2</v>
      </c>
      <c r="E662" s="11">
        <f t="shared" si="30"/>
        <v>-6.4000000000000001E-2</v>
      </c>
      <c r="F662" s="11">
        <f t="shared" si="31"/>
        <v>4.4851841645176388E-3</v>
      </c>
      <c r="G662" s="13">
        <f t="shared" si="32"/>
        <v>-1.4859851841645177</v>
      </c>
    </row>
    <row r="663" spans="1:7" x14ac:dyDescent="0.25">
      <c r="A663" s="15" t="s">
        <v>34</v>
      </c>
      <c r="B663" s="16">
        <v>41522</v>
      </c>
      <c r="C663" s="17">
        <v>0.99009999999999998</v>
      </c>
      <c r="D663" s="17">
        <v>1.0541</v>
      </c>
      <c r="E663" s="11">
        <f t="shared" si="30"/>
        <v>1.0511000000000001</v>
      </c>
      <c r="F663" s="11">
        <f t="shared" si="31"/>
        <v>1.2435722717003996</v>
      </c>
      <c r="G663" s="13">
        <f t="shared" si="32"/>
        <v>-0.25347227170039965</v>
      </c>
    </row>
    <row r="664" spans="1:7" x14ac:dyDescent="0.25">
      <c r="A664" s="15" t="s">
        <v>34</v>
      </c>
      <c r="B664" s="16">
        <v>41523</v>
      </c>
      <c r="C664" s="17">
        <v>0.4914</v>
      </c>
      <c r="D664" s="17">
        <v>-0.06</v>
      </c>
      <c r="E664" s="11">
        <f t="shared" si="30"/>
        <v>-6.3E-2</v>
      </c>
      <c r="F664" s="11">
        <f t="shared" si="31"/>
        <v>5.5963733740377608E-3</v>
      </c>
      <c r="G664" s="13">
        <f t="shared" si="32"/>
        <v>0.48580362662596221</v>
      </c>
    </row>
    <row r="665" spans="1:7" x14ac:dyDescent="0.25">
      <c r="A665" s="15" t="s">
        <v>34</v>
      </c>
      <c r="B665" s="16">
        <v>41526</v>
      </c>
      <c r="C665" s="17">
        <v>0.97560000000000002</v>
      </c>
      <c r="D665" s="17">
        <v>0.34129999999999999</v>
      </c>
      <c r="E665" s="11">
        <f t="shared" si="30"/>
        <v>0.33829999999999999</v>
      </c>
      <c r="F665" s="11">
        <f t="shared" si="31"/>
        <v>0.45151660315446041</v>
      </c>
      <c r="G665" s="13">
        <f t="shared" si="32"/>
        <v>0.52408339684553962</v>
      </c>
    </row>
    <row r="666" spans="1:7" x14ac:dyDescent="0.25">
      <c r="A666" s="15" t="s">
        <v>34</v>
      </c>
      <c r="B666" s="16">
        <v>41527</v>
      </c>
      <c r="C666" s="17">
        <v>1.4458</v>
      </c>
      <c r="D666" s="17">
        <v>0.20319999999999999</v>
      </c>
      <c r="E666" s="11">
        <f t="shared" si="30"/>
        <v>0.20019999999999999</v>
      </c>
      <c r="F666" s="11">
        <f t="shared" si="31"/>
        <v>0.29806137331973237</v>
      </c>
      <c r="G666" s="13">
        <f t="shared" si="32"/>
        <v>1.1477386266802676</v>
      </c>
    </row>
    <row r="667" spans="1:7" x14ac:dyDescent="0.25">
      <c r="A667" s="15" t="s">
        <v>34</v>
      </c>
      <c r="B667" s="16">
        <v>41528</v>
      </c>
      <c r="C667" s="17">
        <v>0</v>
      </c>
      <c r="D667" s="17">
        <v>2.7000000000000001E-3</v>
      </c>
      <c r="E667" s="11">
        <f t="shared" si="30"/>
        <v>-2.9999999999999992E-4</v>
      </c>
      <c r="F667" s="11">
        <f t="shared" si="31"/>
        <v>7.5267936810949052E-2</v>
      </c>
      <c r="G667" s="13">
        <f t="shared" si="32"/>
        <v>-7.5267936810949052E-2</v>
      </c>
    </row>
    <row r="668" spans="1:7" x14ac:dyDescent="0.25">
      <c r="A668" s="15" t="s">
        <v>34</v>
      </c>
      <c r="B668" s="16">
        <v>41529</v>
      </c>
      <c r="C668" s="17">
        <v>-0.96150000000000002</v>
      </c>
      <c r="D668" s="17">
        <v>0.19919999999999999</v>
      </c>
      <c r="E668" s="11">
        <f t="shared" si="30"/>
        <v>0.19619999999999999</v>
      </c>
      <c r="F668" s="11">
        <f t="shared" si="31"/>
        <v>0.29361661648165188</v>
      </c>
      <c r="G668" s="13">
        <f t="shared" si="32"/>
        <v>-1.2551166164816518</v>
      </c>
    </row>
    <row r="669" spans="1:7" x14ac:dyDescent="0.25">
      <c r="A669" s="15" t="s">
        <v>34</v>
      </c>
      <c r="B669" s="16">
        <v>41530</v>
      </c>
      <c r="C669" s="17">
        <v>-0.97089999999999999</v>
      </c>
      <c r="D669" s="17">
        <v>-0.69730000000000003</v>
      </c>
      <c r="E669" s="11">
        <f t="shared" si="30"/>
        <v>-0.70030000000000003</v>
      </c>
      <c r="F669" s="11">
        <f t="shared" si="31"/>
        <v>-0.70256450985313246</v>
      </c>
      <c r="G669" s="13">
        <f t="shared" si="32"/>
        <v>-0.26833549014686753</v>
      </c>
    </row>
    <row r="670" spans="1:7" x14ac:dyDescent="0.25">
      <c r="A670" s="15" t="s">
        <v>34</v>
      </c>
      <c r="B670" s="16">
        <v>41531</v>
      </c>
      <c r="C670" s="17">
        <v>0</v>
      </c>
      <c r="D670" s="17">
        <v>-0.31540000000000001</v>
      </c>
      <c r="E670" s="11">
        <f t="shared" si="30"/>
        <v>-0.31840000000000002</v>
      </c>
      <c r="F670" s="11">
        <f t="shared" si="31"/>
        <v>-0.27820135073739999</v>
      </c>
      <c r="G670" s="13">
        <f t="shared" si="32"/>
        <v>0.27820135073739999</v>
      </c>
    </row>
    <row r="671" spans="1:7" x14ac:dyDescent="0.25">
      <c r="A671" s="15" t="s">
        <v>34</v>
      </c>
      <c r="B671" s="16">
        <v>41533</v>
      </c>
      <c r="C671" s="17">
        <v>2.8847999999999998</v>
      </c>
      <c r="D671" s="17">
        <v>1.3765000000000001</v>
      </c>
      <c r="E671" s="11">
        <f t="shared" si="30"/>
        <v>1.3735000000000002</v>
      </c>
      <c r="F671" s="11">
        <f t="shared" si="31"/>
        <v>1.601819672849685</v>
      </c>
      <c r="G671" s="13">
        <f t="shared" si="32"/>
        <v>1.2829803271503148</v>
      </c>
    </row>
    <row r="672" spans="1:7" x14ac:dyDescent="0.25">
      <c r="A672" s="15" t="s">
        <v>34</v>
      </c>
      <c r="B672" s="16">
        <v>41534</v>
      </c>
      <c r="C672" s="17">
        <v>0</v>
      </c>
      <c r="D672" s="17">
        <v>-6.7400000000000002E-2</v>
      </c>
      <c r="E672" s="11">
        <f t="shared" si="30"/>
        <v>-7.0400000000000004E-2</v>
      </c>
      <c r="F672" s="11">
        <f t="shared" si="31"/>
        <v>-2.6264267764111032E-3</v>
      </c>
      <c r="G672" s="13">
        <f t="shared" si="32"/>
        <v>2.6264267764111032E-3</v>
      </c>
    </row>
    <row r="673" spans="1:7" x14ac:dyDescent="0.25">
      <c r="A673" s="15" t="s">
        <v>34</v>
      </c>
      <c r="B673" s="16">
        <v>41535</v>
      </c>
      <c r="C673" s="17">
        <v>-2.3982000000000001</v>
      </c>
      <c r="D673" s="17">
        <v>-0.49330000000000002</v>
      </c>
      <c r="E673" s="11">
        <f t="shared" si="30"/>
        <v>-0.49630000000000002</v>
      </c>
      <c r="F673" s="11">
        <f t="shared" si="31"/>
        <v>-0.47588191111102873</v>
      </c>
      <c r="G673" s="13">
        <f t="shared" si="32"/>
        <v>-1.9223180888889715</v>
      </c>
    </row>
    <row r="674" spans="1:7" x14ac:dyDescent="0.25">
      <c r="A674" s="15" t="s">
        <v>34</v>
      </c>
      <c r="B674" s="16">
        <v>41540</v>
      </c>
      <c r="C674" s="17">
        <v>2.3982000000000001</v>
      </c>
      <c r="D674" s="17">
        <v>1.0138</v>
      </c>
      <c r="E674" s="11">
        <f t="shared" si="30"/>
        <v>1.0108000000000001</v>
      </c>
      <c r="F674" s="11">
        <f t="shared" si="31"/>
        <v>1.1987913465567388</v>
      </c>
      <c r="G674" s="13">
        <f t="shared" si="32"/>
        <v>1.1994086534432613</v>
      </c>
    </row>
    <row r="675" spans="1:7" x14ac:dyDescent="0.25">
      <c r="A675" s="15" t="s">
        <v>34</v>
      </c>
      <c r="B675" s="16">
        <v>41541</v>
      </c>
      <c r="C675" s="17">
        <v>-0.47510000000000002</v>
      </c>
      <c r="D675" s="17">
        <v>7.5800000000000006E-2</v>
      </c>
      <c r="E675" s="11">
        <f t="shared" si="30"/>
        <v>7.2800000000000004E-2</v>
      </c>
      <c r="F675" s="11">
        <f t="shared" si="31"/>
        <v>0.15649586802686954</v>
      </c>
      <c r="G675" s="13">
        <f t="shared" si="32"/>
        <v>-0.63159586802686962</v>
      </c>
    </row>
    <row r="676" spans="1:7" x14ac:dyDescent="0.25">
      <c r="A676" s="15" t="s">
        <v>34</v>
      </c>
      <c r="B676" s="16">
        <v>41542</v>
      </c>
      <c r="C676" s="17">
        <v>-1.9231</v>
      </c>
      <c r="D676" s="17">
        <v>-0.18360000000000001</v>
      </c>
      <c r="E676" s="11">
        <f t="shared" si="30"/>
        <v>-0.18660000000000002</v>
      </c>
      <c r="F676" s="11">
        <f t="shared" si="31"/>
        <v>-0.13174661292264866</v>
      </c>
      <c r="G676" s="13">
        <f t="shared" si="32"/>
        <v>-1.7913533870773515</v>
      </c>
    </row>
    <row r="677" spans="1:7" x14ac:dyDescent="0.25">
      <c r="A677" s="15" t="s">
        <v>34</v>
      </c>
      <c r="B677" s="16">
        <v>41543</v>
      </c>
      <c r="C677" s="17">
        <v>-1.4670000000000001</v>
      </c>
      <c r="D677" s="17">
        <v>-1.2050000000000001</v>
      </c>
      <c r="E677" s="11">
        <f t="shared" si="30"/>
        <v>-1.208</v>
      </c>
      <c r="F677" s="11">
        <f t="shared" si="31"/>
        <v>-1.2667152715264955</v>
      </c>
      <c r="G677" s="13">
        <f t="shared" si="32"/>
        <v>-0.20028472847350454</v>
      </c>
    </row>
    <row r="678" spans="1:7" x14ac:dyDescent="0.25">
      <c r="A678" s="15" t="s">
        <v>34</v>
      </c>
      <c r="B678" s="16">
        <v>41544</v>
      </c>
      <c r="C678" s="17">
        <v>1.4670000000000001</v>
      </c>
      <c r="D678" s="17">
        <v>0.5605</v>
      </c>
      <c r="E678" s="11">
        <f t="shared" si="30"/>
        <v>0.5575</v>
      </c>
      <c r="F678" s="11">
        <f t="shared" si="31"/>
        <v>0.69508927788126995</v>
      </c>
      <c r="G678" s="13">
        <f t="shared" si="32"/>
        <v>0.77191072211873013</v>
      </c>
    </row>
    <row r="679" spans="1:7" x14ac:dyDescent="0.25">
      <c r="A679" s="15" t="s">
        <v>34</v>
      </c>
      <c r="B679" s="16">
        <v>41547</v>
      </c>
      <c r="C679" s="17">
        <v>-2.4571000000000001</v>
      </c>
      <c r="D679" s="17">
        <v>-0.69259999999999999</v>
      </c>
      <c r="E679" s="11">
        <f t="shared" si="30"/>
        <v>-0.6956</v>
      </c>
      <c r="F679" s="11">
        <f t="shared" si="31"/>
        <v>-0.69734192056838784</v>
      </c>
      <c r="G679" s="13">
        <f t="shared" si="32"/>
        <v>-1.7597580794316121</v>
      </c>
    </row>
    <row r="680" spans="1:7" x14ac:dyDescent="0.25">
      <c r="A680" s="15" t="s">
        <v>34</v>
      </c>
      <c r="B680" s="16">
        <v>41548</v>
      </c>
      <c r="C680" s="17">
        <v>0.99009999999999998</v>
      </c>
      <c r="D680" s="17">
        <v>0.16070000000000001</v>
      </c>
      <c r="E680" s="11">
        <f t="shared" si="30"/>
        <v>0.15770000000000001</v>
      </c>
      <c r="F680" s="11">
        <f t="shared" si="31"/>
        <v>0.25083583191512743</v>
      </c>
      <c r="G680" s="13">
        <f t="shared" si="32"/>
        <v>0.73926416808487261</v>
      </c>
    </row>
    <row r="681" spans="1:7" x14ac:dyDescent="0.25">
      <c r="A681" s="15" t="s">
        <v>34</v>
      </c>
      <c r="B681" s="16">
        <v>41549</v>
      </c>
      <c r="C681" s="17">
        <v>1.4670000000000001</v>
      </c>
      <c r="D681" s="17">
        <v>0.35970000000000002</v>
      </c>
      <c r="E681" s="11">
        <f t="shared" si="30"/>
        <v>0.35670000000000002</v>
      </c>
      <c r="F681" s="11">
        <f t="shared" si="31"/>
        <v>0.47196248460963058</v>
      </c>
      <c r="G681" s="13">
        <f t="shared" si="32"/>
        <v>0.99503751539036944</v>
      </c>
    </row>
    <row r="682" spans="1:7" x14ac:dyDescent="0.25">
      <c r="A682" s="15" t="s">
        <v>34</v>
      </c>
      <c r="B682" s="16">
        <v>41550</v>
      </c>
      <c r="C682" s="17">
        <v>1.9231</v>
      </c>
      <c r="D682" s="17">
        <v>1.7194</v>
      </c>
      <c r="E682" s="11">
        <f t="shared" si="30"/>
        <v>1.7164000000000001</v>
      </c>
      <c r="F682" s="11">
        <f t="shared" si="31"/>
        <v>1.982846452794133</v>
      </c>
      <c r="G682" s="13">
        <f t="shared" si="32"/>
        <v>-5.9746452794132932E-2</v>
      </c>
    </row>
    <row r="683" spans="1:7" x14ac:dyDescent="0.25">
      <c r="A683" s="15" t="s">
        <v>34</v>
      </c>
      <c r="B683" s="16">
        <v>41551</v>
      </c>
      <c r="C683" s="17">
        <v>-0.95689999999999997</v>
      </c>
      <c r="D683" s="17">
        <v>6.6100000000000006E-2</v>
      </c>
      <c r="E683" s="11">
        <f t="shared" si="30"/>
        <v>6.3100000000000003E-2</v>
      </c>
      <c r="F683" s="11">
        <f t="shared" si="31"/>
        <v>0.14571733269452442</v>
      </c>
      <c r="G683" s="13">
        <f t="shared" si="32"/>
        <v>-1.1026173326945243</v>
      </c>
    </row>
    <row r="684" spans="1:7" x14ac:dyDescent="0.25">
      <c r="A684" s="15" t="s">
        <v>34</v>
      </c>
      <c r="B684" s="16">
        <v>41554</v>
      </c>
      <c r="C684" s="17">
        <v>-0.96619999999999995</v>
      </c>
      <c r="D684" s="17">
        <v>-0.37</v>
      </c>
      <c r="E684" s="11">
        <f t="shared" si="30"/>
        <v>-0.373</v>
      </c>
      <c r="F684" s="11">
        <f t="shared" si="31"/>
        <v>-0.33887228157719834</v>
      </c>
      <c r="G684" s="13">
        <f t="shared" si="32"/>
        <v>-0.62732771842280166</v>
      </c>
    </row>
    <row r="685" spans="1:7" x14ac:dyDescent="0.25">
      <c r="A685" s="15" t="s">
        <v>34</v>
      </c>
      <c r="B685" s="16">
        <v>41555</v>
      </c>
      <c r="C685" s="17">
        <v>1.9231</v>
      </c>
      <c r="D685" s="17">
        <v>0.50260000000000005</v>
      </c>
      <c r="E685" s="11">
        <f t="shared" si="30"/>
        <v>0.49960000000000004</v>
      </c>
      <c r="F685" s="11">
        <f t="shared" si="31"/>
        <v>0.63075142265005524</v>
      </c>
      <c r="G685" s="13">
        <f t="shared" si="32"/>
        <v>1.2923485773499448</v>
      </c>
    </row>
    <row r="686" spans="1:7" x14ac:dyDescent="0.25">
      <c r="A686" s="15" t="s">
        <v>34</v>
      </c>
      <c r="B686" s="16">
        <v>41556</v>
      </c>
      <c r="C686" s="17">
        <v>0</v>
      </c>
      <c r="D686" s="17">
        <v>-0.36980000000000002</v>
      </c>
      <c r="E686" s="11">
        <f t="shared" si="30"/>
        <v>-0.37280000000000002</v>
      </c>
      <c r="F686" s="11">
        <f t="shared" si="31"/>
        <v>-0.33865004373529434</v>
      </c>
      <c r="G686" s="13">
        <f t="shared" si="32"/>
        <v>0.33865004373529434</v>
      </c>
    </row>
    <row r="687" spans="1:7" x14ac:dyDescent="0.25">
      <c r="A687" s="15" t="s">
        <v>34</v>
      </c>
      <c r="B687" s="16">
        <v>41558</v>
      </c>
      <c r="C687" s="17">
        <v>1.4185000000000001</v>
      </c>
      <c r="D687" s="17">
        <v>5.5599999999999997E-2</v>
      </c>
      <c r="E687" s="11">
        <f t="shared" si="30"/>
        <v>5.2599999999999994E-2</v>
      </c>
      <c r="F687" s="11">
        <f t="shared" si="31"/>
        <v>0.13404984599456321</v>
      </c>
      <c r="G687" s="13">
        <f t="shared" si="32"/>
        <v>1.2844501540054369</v>
      </c>
    </row>
    <row r="688" spans="1:7" x14ac:dyDescent="0.25">
      <c r="A688" s="15" t="s">
        <v>34</v>
      </c>
      <c r="B688" s="16">
        <v>41561</v>
      </c>
      <c r="C688" s="17">
        <v>-1.4185000000000001</v>
      </c>
      <c r="D688" s="17">
        <v>-0.9073</v>
      </c>
      <c r="E688" s="11">
        <f t="shared" si="30"/>
        <v>-0.9103</v>
      </c>
      <c r="F688" s="11">
        <f t="shared" si="31"/>
        <v>-0.93591424385235689</v>
      </c>
      <c r="G688" s="13">
        <f t="shared" si="32"/>
        <v>-0.48258575614764321</v>
      </c>
    </row>
    <row r="689" spans="1:7" x14ac:dyDescent="0.25">
      <c r="A689" s="15" t="s">
        <v>34</v>
      </c>
      <c r="B689" s="16">
        <v>41562</v>
      </c>
      <c r="C689" s="17">
        <v>1.8868</v>
      </c>
      <c r="D689" s="17">
        <v>1.1287</v>
      </c>
      <c r="E689" s="11">
        <f t="shared" si="30"/>
        <v>1.1257000000000001</v>
      </c>
      <c r="F689" s="11">
        <f t="shared" si="31"/>
        <v>1.3264669867306003</v>
      </c>
      <c r="G689" s="13">
        <f t="shared" si="32"/>
        <v>0.56033301326939977</v>
      </c>
    </row>
    <row r="690" spans="1:7" x14ac:dyDescent="0.25">
      <c r="A690" s="15" t="s">
        <v>34</v>
      </c>
      <c r="B690" s="16">
        <v>41563</v>
      </c>
      <c r="C690" s="17">
        <v>-0.93899999999999995</v>
      </c>
      <c r="D690" s="17">
        <v>-0.42749999999999999</v>
      </c>
      <c r="E690" s="11">
        <f t="shared" si="30"/>
        <v>-0.43049999999999999</v>
      </c>
      <c r="F690" s="11">
        <f t="shared" si="31"/>
        <v>-0.40276566112460499</v>
      </c>
      <c r="G690" s="13">
        <f t="shared" si="32"/>
        <v>-0.53623433887539496</v>
      </c>
    </row>
    <row r="691" spans="1:7" x14ac:dyDescent="0.25">
      <c r="A691" s="15" t="s">
        <v>34</v>
      </c>
      <c r="B691" s="16">
        <v>41564</v>
      </c>
      <c r="C691" s="17">
        <v>0.93899999999999995</v>
      </c>
      <c r="D691" s="17">
        <v>0.50880000000000003</v>
      </c>
      <c r="E691" s="11">
        <f t="shared" si="30"/>
        <v>0.50580000000000003</v>
      </c>
      <c r="F691" s="11">
        <f t="shared" si="31"/>
        <v>0.63764079574907995</v>
      </c>
      <c r="G691" s="13">
        <f t="shared" si="32"/>
        <v>0.30135920425092</v>
      </c>
    </row>
    <row r="692" spans="1:7" x14ac:dyDescent="0.25">
      <c r="A692" s="15" t="s">
        <v>34</v>
      </c>
      <c r="B692" s="16">
        <v>41565</v>
      </c>
      <c r="C692" s="17">
        <v>2.7652000000000001</v>
      </c>
      <c r="D692" s="17">
        <v>0.79100000000000004</v>
      </c>
      <c r="E692" s="11">
        <f t="shared" si="30"/>
        <v>0.78800000000000003</v>
      </c>
      <c r="F692" s="11">
        <f t="shared" si="31"/>
        <v>0.95121839067565683</v>
      </c>
      <c r="G692" s="13">
        <f t="shared" si="32"/>
        <v>1.8139816093243433</v>
      </c>
    </row>
    <row r="693" spans="1:7" x14ac:dyDescent="0.25">
      <c r="A693" s="15" t="s">
        <v>34</v>
      </c>
      <c r="B693" s="16">
        <v>41568</v>
      </c>
      <c r="C693" s="17">
        <v>0</v>
      </c>
      <c r="D693" s="17">
        <v>-0.25940000000000002</v>
      </c>
      <c r="E693" s="11">
        <f t="shared" si="30"/>
        <v>-0.26240000000000002</v>
      </c>
      <c r="F693" s="11">
        <f t="shared" si="31"/>
        <v>-0.21597475500427349</v>
      </c>
      <c r="G693" s="13">
        <f t="shared" si="32"/>
        <v>0.21597475500427349</v>
      </c>
    </row>
    <row r="694" spans="1:7" x14ac:dyDescent="0.25">
      <c r="A694" s="15" t="s">
        <v>34</v>
      </c>
      <c r="B694" s="16">
        <v>41569</v>
      </c>
      <c r="C694" s="17">
        <v>1.3544</v>
      </c>
      <c r="D694" s="17">
        <v>-1.2500000000000001E-2</v>
      </c>
      <c r="E694" s="11">
        <f t="shared" si="30"/>
        <v>-1.55E-2</v>
      </c>
      <c r="F694" s="11">
        <f t="shared" si="31"/>
        <v>5.8377860826243286E-2</v>
      </c>
      <c r="G694" s="13">
        <f t="shared" si="32"/>
        <v>1.2960221391737567</v>
      </c>
    </row>
    <row r="695" spans="1:7" x14ac:dyDescent="0.25">
      <c r="A695" s="15" t="s">
        <v>34</v>
      </c>
      <c r="B695" s="16">
        <v>41570</v>
      </c>
      <c r="C695" s="17">
        <v>-0.44940000000000002</v>
      </c>
      <c r="D695" s="17">
        <v>-0.29320000000000002</v>
      </c>
      <c r="E695" s="11">
        <f t="shared" si="30"/>
        <v>-0.29620000000000002</v>
      </c>
      <c r="F695" s="11">
        <f t="shared" si="31"/>
        <v>-0.25353295028605344</v>
      </c>
      <c r="G695" s="13">
        <f t="shared" si="32"/>
        <v>-0.19586704971394658</v>
      </c>
    </row>
    <row r="696" spans="1:7" x14ac:dyDescent="0.25">
      <c r="A696" s="15" t="s">
        <v>34</v>
      </c>
      <c r="B696" s="16">
        <v>41571</v>
      </c>
      <c r="C696" s="17">
        <v>-0.90500000000000003</v>
      </c>
      <c r="D696" s="17">
        <v>0.2392</v>
      </c>
      <c r="E696" s="11">
        <f t="shared" si="30"/>
        <v>0.23619999999999999</v>
      </c>
      <c r="F696" s="11">
        <f t="shared" si="31"/>
        <v>0.33806418486245654</v>
      </c>
      <c r="G696" s="13">
        <f t="shared" si="32"/>
        <v>-1.2430641848624566</v>
      </c>
    </row>
    <row r="697" spans="1:7" x14ac:dyDescent="0.25">
      <c r="A697" s="15" t="s">
        <v>34</v>
      </c>
      <c r="B697" s="16">
        <v>41572</v>
      </c>
      <c r="C697" s="17">
        <v>-2.7652000000000001</v>
      </c>
      <c r="D697" s="17">
        <v>-0.80069999999999997</v>
      </c>
      <c r="E697" s="11">
        <f t="shared" si="30"/>
        <v>-0.80369999999999997</v>
      </c>
      <c r="F697" s="11">
        <f t="shared" si="31"/>
        <v>-0.81746147411751235</v>
      </c>
      <c r="G697" s="13">
        <f t="shared" si="32"/>
        <v>-1.9477385258824877</v>
      </c>
    </row>
    <row r="698" spans="1:7" x14ac:dyDescent="0.25">
      <c r="A698" s="15" t="s">
        <v>34</v>
      </c>
      <c r="B698" s="16">
        <v>41575</v>
      </c>
      <c r="C698" s="17">
        <v>2.3096000000000001</v>
      </c>
      <c r="D698" s="17">
        <v>0.73070000000000002</v>
      </c>
      <c r="E698" s="11">
        <f t="shared" si="30"/>
        <v>0.72770000000000001</v>
      </c>
      <c r="F698" s="11">
        <f t="shared" si="31"/>
        <v>0.88421368134159373</v>
      </c>
      <c r="G698" s="13">
        <f t="shared" si="32"/>
        <v>1.4253863186584064</v>
      </c>
    </row>
    <row r="699" spans="1:7" x14ac:dyDescent="0.25">
      <c r="A699" s="15" t="s">
        <v>34</v>
      </c>
      <c r="B699" s="16">
        <v>41576</v>
      </c>
      <c r="C699" s="17">
        <v>0</v>
      </c>
      <c r="D699" s="17">
        <v>0.15629999999999999</v>
      </c>
      <c r="E699" s="11">
        <f t="shared" si="30"/>
        <v>0.15329999999999999</v>
      </c>
      <c r="F699" s="11">
        <f t="shared" si="31"/>
        <v>0.24594659939323893</v>
      </c>
      <c r="G699" s="13">
        <f t="shared" si="32"/>
        <v>-0.24594659939323893</v>
      </c>
    </row>
    <row r="700" spans="1:7" x14ac:dyDescent="0.25">
      <c r="A700" s="15" t="s">
        <v>34</v>
      </c>
      <c r="B700" s="16">
        <v>41577</v>
      </c>
      <c r="C700" s="17">
        <v>0.4556</v>
      </c>
      <c r="D700" s="17">
        <v>0.52210000000000001</v>
      </c>
      <c r="E700" s="11">
        <f t="shared" si="30"/>
        <v>0.51910000000000001</v>
      </c>
      <c r="F700" s="11">
        <f t="shared" si="31"/>
        <v>0.65241961223569744</v>
      </c>
      <c r="G700" s="13">
        <f t="shared" si="32"/>
        <v>-0.19681961223569744</v>
      </c>
    </row>
    <row r="701" spans="1:7" x14ac:dyDescent="0.25">
      <c r="A701" s="15" t="s">
        <v>34</v>
      </c>
      <c r="B701" s="16">
        <v>41578</v>
      </c>
      <c r="C701" s="17">
        <v>-0.4556</v>
      </c>
      <c r="D701" s="17">
        <v>-0.1774</v>
      </c>
      <c r="E701" s="11">
        <f t="shared" si="30"/>
        <v>-0.1804</v>
      </c>
      <c r="F701" s="11">
        <f t="shared" si="31"/>
        <v>-0.12485723982362391</v>
      </c>
      <c r="G701" s="13">
        <f t="shared" si="32"/>
        <v>-0.3307427601763761</v>
      </c>
    </row>
    <row r="702" spans="1:7" x14ac:dyDescent="0.25">
      <c r="A702" s="15" t="s">
        <v>34</v>
      </c>
      <c r="B702" s="16">
        <v>41579</v>
      </c>
      <c r="C702" s="17">
        <v>0</v>
      </c>
      <c r="D702" s="17">
        <v>-0.73499999999999999</v>
      </c>
      <c r="E702" s="11">
        <f t="shared" si="30"/>
        <v>-0.73799999999999999</v>
      </c>
      <c r="F702" s="11">
        <f t="shared" si="31"/>
        <v>-0.74445634305204078</v>
      </c>
      <c r="G702" s="13">
        <f t="shared" si="32"/>
        <v>0.74445634305204078</v>
      </c>
    </row>
    <row r="703" spans="1:7" x14ac:dyDescent="0.25">
      <c r="A703" s="15" t="s">
        <v>34</v>
      </c>
      <c r="B703" s="16">
        <v>41582</v>
      </c>
      <c r="C703" s="17">
        <v>-0.4577</v>
      </c>
      <c r="D703" s="17">
        <v>-0.40660000000000002</v>
      </c>
      <c r="E703" s="11">
        <f t="shared" si="30"/>
        <v>-0.40960000000000002</v>
      </c>
      <c r="F703" s="11">
        <f t="shared" si="31"/>
        <v>-0.37954180664563458</v>
      </c>
      <c r="G703" s="13">
        <f t="shared" si="32"/>
        <v>-7.8158193354365413E-2</v>
      </c>
    </row>
    <row r="704" spans="1:7" x14ac:dyDescent="0.25">
      <c r="A704" s="15" t="s">
        <v>34</v>
      </c>
      <c r="B704" s="16">
        <v>41583</v>
      </c>
      <c r="C704" s="17">
        <v>-2.3203</v>
      </c>
      <c r="D704" s="17">
        <v>-1.1066</v>
      </c>
      <c r="E704" s="11">
        <f t="shared" si="30"/>
        <v>-1.1095999999999999</v>
      </c>
      <c r="F704" s="11">
        <f t="shared" si="31"/>
        <v>-1.157374253309716</v>
      </c>
      <c r="G704" s="13">
        <f t="shared" si="32"/>
        <v>-1.162925746690284</v>
      </c>
    </row>
    <row r="705" spans="1:7" x14ac:dyDescent="0.25">
      <c r="A705" s="15" t="s">
        <v>34</v>
      </c>
      <c r="B705" s="16">
        <v>41584</v>
      </c>
      <c r="C705" s="17">
        <v>0.46839999999999998</v>
      </c>
      <c r="D705" s="17">
        <v>0.23899999999999999</v>
      </c>
      <c r="E705" s="11">
        <f t="shared" si="30"/>
        <v>0.23599999999999999</v>
      </c>
      <c r="F705" s="11">
        <f t="shared" si="31"/>
        <v>0.33784194702055254</v>
      </c>
      <c r="G705" s="13">
        <f t="shared" si="32"/>
        <v>0.13055805297944745</v>
      </c>
    </row>
    <row r="706" spans="1:7" x14ac:dyDescent="0.25">
      <c r="A706" s="15" t="s">
        <v>34</v>
      </c>
      <c r="B706" s="16">
        <v>41585</v>
      </c>
      <c r="C706" s="17">
        <v>0</v>
      </c>
      <c r="D706" s="17">
        <v>2.1000000000000001E-2</v>
      </c>
      <c r="E706" s="11">
        <f t="shared" si="30"/>
        <v>1.8000000000000002E-2</v>
      </c>
      <c r="F706" s="11">
        <f t="shared" si="31"/>
        <v>9.5602699345167186E-2</v>
      </c>
      <c r="G706" s="13">
        <f t="shared" si="32"/>
        <v>-9.5602699345167186E-2</v>
      </c>
    </row>
    <row r="707" spans="1:7" x14ac:dyDescent="0.25">
      <c r="A707" s="15" t="s">
        <v>34</v>
      </c>
      <c r="B707" s="16">
        <v>41586</v>
      </c>
      <c r="C707" s="17">
        <v>-0.93899999999999995</v>
      </c>
      <c r="D707" s="17">
        <v>-0.65549999999999997</v>
      </c>
      <c r="E707" s="11">
        <f t="shared" ref="E707:E770" si="33">D707-$K$1</f>
        <v>-0.65849999999999997</v>
      </c>
      <c r="F707" s="11">
        <f t="shared" ref="F707:F770" si="34">K$2+K$3*E707</f>
        <v>-0.65611680089519153</v>
      </c>
      <c r="G707" s="13">
        <f t="shared" ref="G707:G770" si="35">C707-F707</f>
        <v>-0.28288319910480841</v>
      </c>
    </row>
    <row r="708" spans="1:7" x14ac:dyDescent="0.25">
      <c r="A708" s="15" t="s">
        <v>34</v>
      </c>
      <c r="B708" s="16">
        <v>41589</v>
      </c>
      <c r="C708" s="17">
        <v>-1.4252</v>
      </c>
      <c r="D708" s="17">
        <v>-0.57310000000000005</v>
      </c>
      <c r="E708" s="11">
        <f t="shared" si="33"/>
        <v>-0.57610000000000006</v>
      </c>
      <c r="F708" s="11">
        <f t="shared" si="34"/>
        <v>-0.56455481003073404</v>
      </c>
      <c r="G708" s="13">
        <f t="shared" si="35"/>
        <v>-0.86064518996926598</v>
      </c>
    </row>
    <row r="709" spans="1:7" x14ac:dyDescent="0.25">
      <c r="A709" s="15" t="s">
        <v>34</v>
      </c>
      <c r="B709" s="16">
        <v>41590</v>
      </c>
      <c r="C709" s="17">
        <v>0.4773</v>
      </c>
      <c r="D709" s="17">
        <v>0.15509999999999999</v>
      </c>
      <c r="E709" s="11">
        <f t="shared" si="33"/>
        <v>0.15209999999999999</v>
      </c>
      <c r="F709" s="11">
        <f t="shared" si="34"/>
        <v>0.24461317234181479</v>
      </c>
      <c r="G709" s="13">
        <f t="shared" si="35"/>
        <v>0.23268682765818521</v>
      </c>
    </row>
    <row r="710" spans="1:7" x14ac:dyDescent="0.25">
      <c r="A710" s="15" t="s">
        <v>34</v>
      </c>
      <c r="B710" s="16">
        <v>41591</v>
      </c>
      <c r="C710" s="17">
        <v>-1.9231</v>
      </c>
      <c r="D710" s="17">
        <v>-1.1166</v>
      </c>
      <c r="E710" s="11">
        <f t="shared" si="33"/>
        <v>-1.1195999999999999</v>
      </c>
      <c r="F710" s="11">
        <f t="shared" si="34"/>
        <v>-1.1684861454049171</v>
      </c>
      <c r="G710" s="13">
        <f t="shared" si="35"/>
        <v>-0.7546138545950829</v>
      </c>
    </row>
    <row r="711" spans="1:7" x14ac:dyDescent="0.25">
      <c r="A711" s="15" t="s">
        <v>34</v>
      </c>
      <c r="B711" s="16">
        <v>41592</v>
      </c>
      <c r="C711" s="17">
        <v>0.48430000000000001</v>
      </c>
      <c r="D711" s="17">
        <v>0.3775</v>
      </c>
      <c r="E711" s="11">
        <f t="shared" si="33"/>
        <v>0.3745</v>
      </c>
      <c r="F711" s="11">
        <f t="shared" si="34"/>
        <v>0.49174165253908864</v>
      </c>
      <c r="G711" s="13">
        <f t="shared" si="35"/>
        <v>-7.4416525390886279E-3</v>
      </c>
    </row>
    <row r="712" spans="1:7" x14ac:dyDescent="0.25">
      <c r="A712" s="15" t="s">
        <v>34</v>
      </c>
      <c r="B712" s="16">
        <v>41593</v>
      </c>
      <c r="C712" s="17">
        <v>0.4819</v>
      </c>
      <c r="D712" s="17">
        <v>0.51749999999999996</v>
      </c>
      <c r="E712" s="11">
        <f t="shared" si="33"/>
        <v>0.51449999999999996</v>
      </c>
      <c r="F712" s="11">
        <f t="shared" si="34"/>
        <v>0.64730814187190489</v>
      </c>
      <c r="G712" s="13">
        <f t="shared" si="35"/>
        <v>-0.16540814187190489</v>
      </c>
    </row>
    <row r="713" spans="1:7" x14ac:dyDescent="0.25">
      <c r="A713" s="15" t="s">
        <v>34</v>
      </c>
      <c r="B713" s="16">
        <v>41596</v>
      </c>
      <c r="C713" s="17">
        <v>0</v>
      </c>
      <c r="D713" s="17">
        <v>0.17519999999999999</v>
      </c>
      <c r="E713" s="11">
        <f t="shared" si="33"/>
        <v>0.17219999999999999</v>
      </c>
      <c r="F713" s="11">
        <f t="shared" si="34"/>
        <v>0.26694807545316912</v>
      </c>
      <c r="G713" s="13">
        <f t="shared" si="35"/>
        <v>-0.26694807545316912</v>
      </c>
    </row>
    <row r="714" spans="1:7" x14ac:dyDescent="0.25">
      <c r="A714" s="15" t="s">
        <v>34</v>
      </c>
      <c r="B714" s="16">
        <v>41597</v>
      </c>
      <c r="C714" s="17">
        <v>0.95689999999999997</v>
      </c>
      <c r="D714" s="17">
        <v>0.83579999999999999</v>
      </c>
      <c r="E714" s="11">
        <f t="shared" si="33"/>
        <v>0.83279999999999998</v>
      </c>
      <c r="F714" s="11">
        <f t="shared" si="34"/>
        <v>1.0009996672621579</v>
      </c>
      <c r="G714" s="13">
        <f t="shared" si="35"/>
        <v>-4.4099667262157971E-2</v>
      </c>
    </row>
    <row r="715" spans="1:7" x14ac:dyDescent="0.25">
      <c r="A715" s="15" t="s">
        <v>34</v>
      </c>
      <c r="B715" s="16">
        <v>41598</v>
      </c>
      <c r="C715" s="17">
        <v>-1.9231</v>
      </c>
      <c r="D715" s="17">
        <v>-0.67720000000000002</v>
      </c>
      <c r="E715" s="11">
        <f t="shared" si="33"/>
        <v>-0.68020000000000003</v>
      </c>
      <c r="F715" s="11">
        <f t="shared" si="34"/>
        <v>-0.68022960674177813</v>
      </c>
      <c r="G715" s="13">
        <f t="shared" si="35"/>
        <v>-1.2428703932582219</v>
      </c>
    </row>
    <row r="716" spans="1:7" x14ac:dyDescent="0.25">
      <c r="A716" s="15" t="s">
        <v>34</v>
      </c>
      <c r="B716" s="16">
        <v>41599</v>
      </c>
      <c r="C716" s="17">
        <v>-1.9608000000000001</v>
      </c>
      <c r="D716" s="17">
        <v>-1.2882</v>
      </c>
      <c r="E716" s="11">
        <f t="shared" si="33"/>
        <v>-1.2911999999999999</v>
      </c>
      <c r="F716" s="11">
        <f t="shared" si="34"/>
        <v>-1.3591662137585689</v>
      </c>
      <c r="G716" s="13">
        <f t="shared" si="35"/>
        <v>-0.60163378624143116</v>
      </c>
    </row>
    <row r="717" spans="1:7" x14ac:dyDescent="0.25">
      <c r="A717" s="15" t="s">
        <v>34</v>
      </c>
      <c r="B717" s="16">
        <v>41600</v>
      </c>
      <c r="C717" s="17">
        <v>-0.995</v>
      </c>
      <c r="D717" s="17">
        <v>0.2137</v>
      </c>
      <c r="E717" s="11">
        <f t="shared" si="33"/>
        <v>0.2107</v>
      </c>
      <c r="F717" s="11">
        <f t="shared" si="34"/>
        <v>0.30972886001969357</v>
      </c>
      <c r="G717" s="13">
        <f t="shared" si="35"/>
        <v>-1.3047288600196936</v>
      </c>
    </row>
    <row r="718" spans="1:7" x14ac:dyDescent="0.25">
      <c r="A718" s="15" t="s">
        <v>34</v>
      </c>
      <c r="B718" s="16">
        <v>41603</v>
      </c>
      <c r="C718" s="17">
        <v>0.995</v>
      </c>
      <c r="D718" s="17">
        <v>0.86760000000000004</v>
      </c>
      <c r="E718" s="11">
        <f t="shared" si="33"/>
        <v>0.86460000000000004</v>
      </c>
      <c r="F718" s="11">
        <f t="shared" si="34"/>
        <v>1.0363354841248977</v>
      </c>
      <c r="G718" s="13">
        <f t="shared" si="35"/>
        <v>-4.1335484124897737E-2</v>
      </c>
    </row>
    <row r="719" spans="1:7" x14ac:dyDescent="0.25">
      <c r="A719" s="15" t="s">
        <v>34</v>
      </c>
      <c r="B719" s="16">
        <v>41604</v>
      </c>
      <c r="C719" s="17">
        <v>2.4451000000000001</v>
      </c>
      <c r="D719" s="17">
        <v>0.73629999999999995</v>
      </c>
      <c r="E719" s="11">
        <f t="shared" si="33"/>
        <v>0.73329999999999995</v>
      </c>
      <c r="F719" s="11">
        <f t="shared" si="34"/>
        <v>0.89043634091490631</v>
      </c>
      <c r="G719" s="13">
        <f t="shared" si="35"/>
        <v>1.5546636590850937</v>
      </c>
    </row>
    <row r="720" spans="1:7" x14ac:dyDescent="0.25">
      <c r="A720" s="15" t="s">
        <v>34</v>
      </c>
      <c r="B720" s="16">
        <v>41605</v>
      </c>
      <c r="C720" s="17">
        <v>1.4389000000000001</v>
      </c>
      <c r="D720" s="17">
        <v>0.5786</v>
      </c>
      <c r="E720" s="11">
        <f t="shared" si="33"/>
        <v>0.5756</v>
      </c>
      <c r="F720" s="11">
        <f t="shared" si="34"/>
        <v>0.71520180257358401</v>
      </c>
      <c r="G720" s="13">
        <f t="shared" si="35"/>
        <v>0.72369819742641606</v>
      </c>
    </row>
    <row r="721" spans="1:7" x14ac:dyDescent="0.25">
      <c r="A721" s="15" t="s">
        <v>34</v>
      </c>
      <c r="B721" s="16">
        <v>41606</v>
      </c>
      <c r="C721" s="17">
        <v>0</v>
      </c>
      <c r="D721" s="17">
        <v>0.79900000000000004</v>
      </c>
      <c r="E721" s="11">
        <f t="shared" si="33"/>
        <v>0.79600000000000004</v>
      </c>
      <c r="F721" s="11">
        <f t="shared" si="34"/>
        <v>0.9601079043518177</v>
      </c>
      <c r="G721" s="13">
        <f t="shared" si="35"/>
        <v>-0.9601079043518177</v>
      </c>
    </row>
    <row r="722" spans="1:7" x14ac:dyDescent="0.25">
      <c r="A722" s="15" t="s">
        <v>34</v>
      </c>
      <c r="B722" s="16">
        <v>41607</v>
      </c>
      <c r="C722" s="17">
        <v>0</v>
      </c>
      <c r="D722" s="17">
        <v>0.52949999999999997</v>
      </c>
      <c r="E722" s="11">
        <f t="shared" si="33"/>
        <v>0.52649999999999997</v>
      </c>
      <c r="F722" s="11">
        <f t="shared" si="34"/>
        <v>0.66064241238614629</v>
      </c>
      <c r="G722" s="13">
        <f t="shared" si="35"/>
        <v>-0.66064241238614629</v>
      </c>
    </row>
    <row r="723" spans="1:7" x14ac:dyDescent="0.25">
      <c r="A723" s="15" t="s">
        <v>34</v>
      </c>
      <c r="B723" s="16">
        <v>41610</v>
      </c>
      <c r="C723" s="17">
        <v>-0.4773</v>
      </c>
      <c r="D723" s="17">
        <v>9.2499999999999999E-2</v>
      </c>
      <c r="E723" s="11">
        <f t="shared" si="33"/>
        <v>8.9499999999999996E-2</v>
      </c>
      <c r="F723" s="11">
        <f t="shared" si="34"/>
        <v>0.17505272782585551</v>
      </c>
      <c r="G723" s="13">
        <f t="shared" si="35"/>
        <v>-0.65235272782585552</v>
      </c>
    </row>
    <row r="724" spans="1:7" x14ac:dyDescent="0.25">
      <c r="A724" s="15" t="s">
        <v>34</v>
      </c>
      <c r="B724" s="16">
        <v>41611</v>
      </c>
      <c r="C724" s="17">
        <v>-0.47960000000000003</v>
      </c>
      <c r="D724" s="17">
        <v>-0.26250000000000001</v>
      </c>
      <c r="E724" s="11">
        <f t="shared" si="33"/>
        <v>-0.26550000000000001</v>
      </c>
      <c r="F724" s="11">
        <f t="shared" si="34"/>
        <v>-0.21941944155378584</v>
      </c>
      <c r="G724" s="13">
        <f t="shared" si="35"/>
        <v>-0.26018055844621418</v>
      </c>
    </row>
    <row r="725" spans="1:7" x14ac:dyDescent="0.25">
      <c r="A725" s="15" t="s">
        <v>34</v>
      </c>
      <c r="B725" s="16">
        <v>41612</v>
      </c>
      <c r="C725" s="17">
        <v>0.95689999999999997</v>
      </c>
      <c r="D725" s="17">
        <v>0.30280000000000001</v>
      </c>
      <c r="E725" s="11">
        <f t="shared" si="33"/>
        <v>0.29980000000000001</v>
      </c>
      <c r="F725" s="11">
        <f t="shared" si="34"/>
        <v>0.40873581858793595</v>
      </c>
      <c r="G725" s="13">
        <f t="shared" si="35"/>
        <v>0.54816418141206402</v>
      </c>
    </row>
    <row r="726" spans="1:7" x14ac:dyDescent="0.25">
      <c r="A726" s="15" t="s">
        <v>34</v>
      </c>
      <c r="B726" s="16">
        <v>41613</v>
      </c>
      <c r="C726" s="17">
        <v>-0.95689999999999997</v>
      </c>
      <c r="D726" s="17">
        <v>-0.50570000000000004</v>
      </c>
      <c r="E726" s="11">
        <f t="shared" si="33"/>
        <v>-0.50870000000000004</v>
      </c>
      <c r="F726" s="11">
        <f t="shared" si="34"/>
        <v>-0.48966065730907815</v>
      </c>
      <c r="G726" s="13">
        <f t="shared" si="35"/>
        <v>-0.46723934269092182</v>
      </c>
    </row>
    <row r="727" spans="1:7" x14ac:dyDescent="0.25">
      <c r="A727" s="15" t="s">
        <v>34</v>
      </c>
      <c r="B727" s="16">
        <v>41614</v>
      </c>
      <c r="C727" s="17">
        <v>-0.96619999999999995</v>
      </c>
      <c r="D727" s="17">
        <v>-9.3399999999999997E-2</v>
      </c>
      <c r="E727" s="11">
        <f t="shared" si="33"/>
        <v>-9.64E-2</v>
      </c>
      <c r="F727" s="11">
        <f t="shared" si="34"/>
        <v>-3.1517346223934123E-2</v>
      </c>
      <c r="G727" s="13">
        <f t="shared" si="35"/>
        <v>-0.93468265377606585</v>
      </c>
    </row>
    <row r="728" spans="1:7" x14ac:dyDescent="0.25">
      <c r="A728" s="15" t="s">
        <v>34</v>
      </c>
      <c r="B728" s="16">
        <v>41617</v>
      </c>
      <c r="C728" s="17">
        <v>1.9231</v>
      </c>
      <c r="D728" s="17">
        <v>0.91479999999999995</v>
      </c>
      <c r="E728" s="11">
        <f t="shared" si="33"/>
        <v>0.91179999999999994</v>
      </c>
      <c r="F728" s="11">
        <f t="shared" si="34"/>
        <v>1.0887836148142471</v>
      </c>
      <c r="G728" s="13">
        <f t="shared" si="35"/>
        <v>0.83431638518575291</v>
      </c>
    </row>
    <row r="729" spans="1:7" x14ac:dyDescent="0.25">
      <c r="A729" s="15" t="s">
        <v>34</v>
      </c>
      <c r="B729" s="16">
        <v>41618</v>
      </c>
      <c r="C729" s="17">
        <v>-0.95689999999999997</v>
      </c>
      <c r="D729" s="17">
        <v>-1.46E-2</v>
      </c>
      <c r="E729" s="11">
        <f t="shared" si="33"/>
        <v>-1.7600000000000001E-2</v>
      </c>
      <c r="F729" s="11">
        <f t="shared" si="34"/>
        <v>5.6044363486251039E-2</v>
      </c>
      <c r="G729" s="13">
        <f t="shared" si="35"/>
        <v>-1.0129443634862509</v>
      </c>
    </row>
    <row r="730" spans="1:7" x14ac:dyDescent="0.25">
      <c r="A730" s="15" t="s">
        <v>34</v>
      </c>
      <c r="B730" s="16">
        <v>41619</v>
      </c>
      <c r="C730" s="17">
        <v>0.95689999999999997</v>
      </c>
      <c r="D730" s="17">
        <v>-0.114</v>
      </c>
      <c r="E730" s="11">
        <f t="shared" si="33"/>
        <v>-0.11700000000000001</v>
      </c>
      <c r="F730" s="11">
        <f t="shared" si="34"/>
        <v>-5.4407843940048536E-2</v>
      </c>
      <c r="G730" s="13">
        <f t="shared" si="35"/>
        <v>1.0113078439400485</v>
      </c>
    </row>
    <row r="731" spans="1:7" x14ac:dyDescent="0.25">
      <c r="A731" s="15" t="s">
        <v>34</v>
      </c>
      <c r="B731" s="16">
        <v>41620</v>
      </c>
      <c r="C731" s="17">
        <v>-1.9231</v>
      </c>
      <c r="D731" s="17">
        <v>-0.86260000000000003</v>
      </c>
      <c r="E731" s="11">
        <f t="shared" si="33"/>
        <v>-0.86560000000000004</v>
      </c>
      <c r="F731" s="11">
        <f t="shared" si="34"/>
        <v>-0.88624408618680772</v>
      </c>
      <c r="G731" s="13">
        <f t="shared" si="35"/>
        <v>-1.0368559138131923</v>
      </c>
    </row>
    <row r="732" spans="1:7" x14ac:dyDescent="0.25">
      <c r="A732" s="15" t="s">
        <v>34</v>
      </c>
      <c r="B732" s="16">
        <v>41621</v>
      </c>
      <c r="C732" s="17">
        <v>-0.48659999999999998</v>
      </c>
      <c r="D732" s="17">
        <v>0.1865</v>
      </c>
      <c r="E732" s="11">
        <f t="shared" si="33"/>
        <v>0.1835</v>
      </c>
      <c r="F732" s="11">
        <f t="shared" si="34"/>
        <v>0.27950451352074646</v>
      </c>
      <c r="G732" s="13">
        <f t="shared" si="35"/>
        <v>-0.76610451352074649</v>
      </c>
    </row>
    <row r="733" spans="1:7" x14ac:dyDescent="0.25">
      <c r="A733" s="15" t="s">
        <v>34</v>
      </c>
      <c r="B733" s="16">
        <v>41624</v>
      </c>
      <c r="C733" s="17">
        <v>-0.48899999999999999</v>
      </c>
      <c r="D733" s="17">
        <v>-0.75570000000000004</v>
      </c>
      <c r="E733" s="11">
        <f t="shared" si="33"/>
        <v>-0.75870000000000004</v>
      </c>
      <c r="F733" s="11">
        <f t="shared" si="34"/>
        <v>-0.76745795968910724</v>
      </c>
      <c r="G733" s="13">
        <f t="shared" si="35"/>
        <v>0.27845795968910725</v>
      </c>
    </row>
    <row r="734" spans="1:7" x14ac:dyDescent="0.25">
      <c r="A734" s="15" t="s">
        <v>34</v>
      </c>
      <c r="B734" s="16">
        <v>41625</v>
      </c>
      <c r="C734" s="17">
        <v>1.4599</v>
      </c>
      <c r="D734" s="17">
        <v>0.46870000000000001</v>
      </c>
      <c r="E734" s="11">
        <f t="shared" si="33"/>
        <v>0.4657</v>
      </c>
      <c r="F734" s="11">
        <f t="shared" si="34"/>
        <v>0.59308210844732323</v>
      </c>
      <c r="G734" s="13">
        <f t="shared" si="35"/>
        <v>0.86681789155267674</v>
      </c>
    </row>
    <row r="735" spans="1:7" x14ac:dyDescent="0.25">
      <c r="A735" s="15" t="s">
        <v>34</v>
      </c>
      <c r="B735" s="16">
        <v>41626</v>
      </c>
      <c r="C735" s="17">
        <v>-2.4451000000000001</v>
      </c>
      <c r="D735" s="17">
        <v>-4.6600000000000003E-2</v>
      </c>
      <c r="E735" s="11">
        <f t="shared" si="33"/>
        <v>-4.9600000000000005E-2</v>
      </c>
      <c r="F735" s="11">
        <f t="shared" si="34"/>
        <v>2.0486308781607308E-2</v>
      </c>
      <c r="G735" s="13">
        <f t="shared" si="35"/>
        <v>-2.4655863087816074</v>
      </c>
    </row>
    <row r="736" spans="1:7" x14ac:dyDescent="0.25">
      <c r="A736" s="15" t="s">
        <v>34</v>
      </c>
      <c r="B736" s="16">
        <v>41627</v>
      </c>
      <c r="C736" s="17">
        <v>1.4742</v>
      </c>
      <c r="D736" s="17">
        <v>0.6966</v>
      </c>
      <c r="E736" s="11">
        <f t="shared" si="33"/>
        <v>0.69359999999999999</v>
      </c>
      <c r="F736" s="11">
        <f t="shared" si="34"/>
        <v>0.84632212929695771</v>
      </c>
      <c r="G736" s="13">
        <f t="shared" si="35"/>
        <v>0.62787787070304224</v>
      </c>
    </row>
    <row r="737" spans="1:7" x14ac:dyDescent="0.25">
      <c r="A737" s="15" t="s">
        <v>34</v>
      </c>
      <c r="B737" s="16">
        <v>41628</v>
      </c>
      <c r="C737" s="17">
        <v>-0.48899999999999999</v>
      </c>
      <c r="D737" s="17">
        <v>1.34E-2</v>
      </c>
      <c r="E737" s="11">
        <f t="shared" si="33"/>
        <v>1.04E-2</v>
      </c>
      <c r="F737" s="11">
        <f t="shared" si="34"/>
        <v>8.7157661352814303E-2</v>
      </c>
      <c r="G737" s="13">
        <f t="shared" si="35"/>
        <v>-0.57615766135281432</v>
      </c>
    </row>
    <row r="738" spans="1:7" x14ac:dyDescent="0.25">
      <c r="A738" s="15" t="s">
        <v>34</v>
      </c>
      <c r="B738" s="16">
        <v>41631</v>
      </c>
      <c r="C738" s="17">
        <v>1.9418</v>
      </c>
      <c r="D738" s="17">
        <v>0.56840000000000002</v>
      </c>
      <c r="E738" s="11">
        <f t="shared" si="33"/>
        <v>0.56540000000000001</v>
      </c>
      <c r="F738" s="11">
        <f t="shared" si="34"/>
        <v>0.70386767263647887</v>
      </c>
      <c r="G738" s="13">
        <f t="shared" si="35"/>
        <v>1.237932327363521</v>
      </c>
    </row>
    <row r="739" spans="1:7" x14ac:dyDescent="0.25">
      <c r="A739" s="15" t="s">
        <v>34</v>
      </c>
      <c r="B739" s="16">
        <v>41632</v>
      </c>
      <c r="C739" s="17">
        <v>-0.96619999999999995</v>
      </c>
      <c r="D739" s="17">
        <v>-7.0599999999999996E-2</v>
      </c>
      <c r="E739" s="11">
        <f t="shared" si="33"/>
        <v>-7.3599999999999999E-2</v>
      </c>
      <c r="F739" s="11">
        <f t="shared" si="34"/>
        <v>-6.1822322468754742E-3</v>
      </c>
      <c r="G739" s="13">
        <f t="shared" si="35"/>
        <v>-0.96001776775312453</v>
      </c>
    </row>
    <row r="740" spans="1:7" x14ac:dyDescent="0.25">
      <c r="A740" s="15" t="s">
        <v>34</v>
      </c>
      <c r="B740" s="16">
        <v>41633</v>
      </c>
      <c r="C740" s="17">
        <v>0</v>
      </c>
      <c r="D740" s="17">
        <v>0.20419999999999999</v>
      </c>
      <c r="E740" s="11">
        <f t="shared" si="33"/>
        <v>0.20119999999999999</v>
      </c>
      <c r="F740" s="11">
        <f t="shared" si="34"/>
        <v>0.29917256252925251</v>
      </c>
      <c r="G740" s="13">
        <f t="shared" si="35"/>
        <v>-0.29917256252925251</v>
      </c>
    </row>
    <row r="741" spans="1:7" x14ac:dyDescent="0.25">
      <c r="A741" s="15" t="s">
        <v>34</v>
      </c>
      <c r="B741" s="16">
        <v>41634</v>
      </c>
      <c r="C741" s="17">
        <v>0.96619999999999995</v>
      </c>
      <c r="D741" s="17">
        <v>0.21390000000000001</v>
      </c>
      <c r="E741" s="11">
        <f t="shared" si="33"/>
        <v>0.2109</v>
      </c>
      <c r="F741" s="11">
        <f t="shared" si="34"/>
        <v>0.30995109786159764</v>
      </c>
      <c r="G741" s="13">
        <f t="shared" si="35"/>
        <v>0.65624890213840237</v>
      </c>
    </row>
    <row r="742" spans="1:7" x14ac:dyDescent="0.25">
      <c r="A742" s="15" t="s">
        <v>34</v>
      </c>
      <c r="B742" s="16">
        <v>41635</v>
      </c>
      <c r="C742" s="17">
        <v>0.47960000000000003</v>
      </c>
      <c r="D742" s="17">
        <v>0.57750000000000001</v>
      </c>
      <c r="E742" s="11">
        <f t="shared" si="33"/>
        <v>0.57450000000000001</v>
      </c>
      <c r="F742" s="11">
        <f t="shared" si="34"/>
        <v>0.71397949444311193</v>
      </c>
      <c r="G742" s="13">
        <f t="shared" si="35"/>
        <v>-0.2343794944431119</v>
      </c>
    </row>
    <row r="743" spans="1:7" x14ac:dyDescent="0.25">
      <c r="A743" s="15" t="s">
        <v>34</v>
      </c>
      <c r="B743" s="16">
        <v>41638</v>
      </c>
      <c r="C743" s="17">
        <v>1.4252</v>
      </c>
      <c r="D743" s="17">
        <v>1.0303</v>
      </c>
      <c r="E743" s="11">
        <f t="shared" si="33"/>
        <v>1.0273000000000001</v>
      </c>
      <c r="F743" s="11">
        <f t="shared" si="34"/>
        <v>1.2171259685138207</v>
      </c>
      <c r="G743" s="13">
        <f t="shared" si="35"/>
        <v>0.20807403148617931</v>
      </c>
    </row>
    <row r="744" spans="1:7" x14ac:dyDescent="0.25">
      <c r="A744" s="15" t="s">
        <v>34</v>
      </c>
      <c r="B744" s="16">
        <v>41639</v>
      </c>
      <c r="C744" s="17">
        <v>-0.4728</v>
      </c>
      <c r="D744" s="17">
        <v>-0.13830000000000001</v>
      </c>
      <c r="E744" s="11">
        <f t="shared" si="33"/>
        <v>-0.14130000000000001</v>
      </c>
      <c r="F744" s="11">
        <f t="shared" si="34"/>
        <v>-8.1409741731387361E-2</v>
      </c>
      <c r="G744" s="13">
        <f t="shared" si="35"/>
        <v>-0.39139025826861262</v>
      </c>
    </row>
    <row r="745" spans="1:7" x14ac:dyDescent="0.25">
      <c r="A745" s="15" t="s">
        <v>34</v>
      </c>
      <c r="B745" s="16">
        <v>41641</v>
      </c>
      <c r="C745" s="17">
        <v>-0.95240000000000002</v>
      </c>
      <c r="D745" s="17">
        <v>1.2E-2</v>
      </c>
      <c r="E745" s="11">
        <f t="shared" si="33"/>
        <v>9.0000000000000011E-3</v>
      </c>
      <c r="F745" s="11">
        <f t="shared" si="34"/>
        <v>8.5601996459486129E-2</v>
      </c>
      <c r="G745" s="13">
        <f t="shared" si="35"/>
        <v>-1.0380019964594862</v>
      </c>
    </row>
    <row r="746" spans="1:7" x14ac:dyDescent="0.25">
      <c r="A746" s="15" t="s">
        <v>34</v>
      </c>
      <c r="B746" s="16">
        <v>41642</v>
      </c>
      <c r="C746" s="17">
        <v>-1.9323999999999999</v>
      </c>
      <c r="D746" s="17">
        <v>-0.76929999999999998</v>
      </c>
      <c r="E746" s="11">
        <f t="shared" si="33"/>
        <v>-0.77229999999999999</v>
      </c>
      <c r="F746" s="11">
        <f t="shared" si="34"/>
        <v>-0.7825701329385808</v>
      </c>
      <c r="G746" s="13">
        <f t="shared" si="35"/>
        <v>-1.1498298670614191</v>
      </c>
    </row>
    <row r="747" spans="1:7" x14ac:dyDescent="0.25">
      <c r="A747" s="15" t="s">
        <v>34</v>
      </c>
      <c r="B747" s="16">
        <v>41645</v>
      </c>
      <c r="C747" s="17">
        <v>0</v>
      </c>
      <c r="D747" s="17">
        <v>-0.54590000000000005</v>
      </c>
      <c r="E747" s="11">
        <f t="shared" si="33"/>
        <v>-0.54890000000000005</v>
      </c>
      <c r="F747" s="11">
        <f t="shared" si="34"/>
        <v>-0.53433046353178681</v>
      </c>
      <c r="G747" s="13">
        <f t="shared" si="35"/>
        <v>0.53433046353178681</v>
      </c>
    </row>
    <row r="748" spans="1:7" x14ac:dyDescent="0.25">
      <c r="A748" s="15" t="s">
        <v>34</v>
      </c>
      <c r="B748" s="16">
        <v>41646</v>
      </c>
      <c r="C748" s="17">
        <v>-0.48899999999999999</v>
      </c>
      <c r="D748" s="17">
        <v>0.14449999999999999</v>
      </c>
      <c r="E748" s="11">
        <f t="shared" si="33"/>
        <v>0.14149999999999999</v>
      </c>
      <c r="F748" s="11">
        <f t="shared" si="34"/>
        <v>0.23283456672090153</v>
      </c>
      <c r="G748" s="13">
        <f t="shared" si="35"/>
        <v>-0.72183456672090152</v>
      </c>
    </row>
    <row r="749" spans="1:7" x14ac:dyDescent="0.25">
      <c r="A749" s="15" t="s">
        <v>34</v>
      </c>
      <c r="B749" s="16">
        <v>41647</v>
      </c>
      <c r="C749" s="17">
        <v>1.9418</v>
      </c>
      <c r="D749" s="17">
        <v>0.51219999999999999</v>
      </c>
      <c r="E749" s="11">
        <f t="shared" si="33"/>
        <v>0.50919999999999999</v>
      </c>
      <c r="F749" s="11">
        <f t="shared" si="34"/>
        <v>0.64141883906144825</v>
      </c>
      <c r="G749" s="13">
        <f t="shared" si="35"/>
        <v>1.3003811609385516</v>
      </c>
    </row>
    <row r="750" spans="1:7" x14ac:dyDescent="0.25">
      <c r="A750" s="15" t="s">
        <v>34</v>
      </c>
      <c r="B750" s="16">
        <v>41648</v>
      </c>
      <c r="C750" s="17">
        <v>-2.927</v>
      </c>
      <c r="D750" s="17">
        <v>-0.48420000000000002</v>
      </c>
      <c r="E750" s="11">
        <f t="shared" si="33"/>
        <v>-0.48720000000000002</v>
      </c>
      <c r="F750" s="11">
        <f t="shared" si="34"/>
        <v>-0.46577008930439567</v>
      </c>
      <c r="G750" s="13">
        <f t="shared" si="35"/>
        <v>-2.4612299106956046</v>
      </c>
    </row>
    <row r="751" spans="1:7" x14ac:dyDescent="0.25">
      <c r="A751" s="15" t="s">
        <v>34</v>
      </c>
      <c r="B751" s="16">
        <v>41649</v>
      </c>
      <c r="C751" s="17">
        <v>0.98519999999999996</v>
      </c>
      <c r="D751" s="17">
        <v>0.1721</v>
      </c>
      <c r="E751" s="11">
        <f t="shared" si="33"/>
        <v>0.1691</v>
      </c>
      <c r="F751" s="11">
        <f t="shared" si="34"/>
        <v>0.26350338890365677</v>
      </c>
      <c r="G751" s="13">
        <f t="shared" si="35"/>
        <v>0.7216966110963432</v>
      </c>
    </row>
    <row r="752" spans="1:7" x14ac:dyDescent="0.25">
      <c r="A752" s="15" t="s">
        <v>34</v>
      </c>
      <c r="B752" s="16">
        <v>41652</v>
      </c>
      <c r="C752" s="17">
        <v>0.97560000000000002</v>
      </c>
      <c r="D752" s="17">
        <v>0.43109999999999998</v>
      </c>
      <c r="E752" s="11">
        <f t="shared" si="33"/>
        <v>0.42809999999999998</v>
      </c>
      <c r="F752" s="11">
        <f t="shared" si="34"/>
        <v>0.55130139416936685</v>
      </c>
      <c r="G752" s="13">
        <f t="shared" si="35"/>
        <v>0.42429860583063317</v>
      </c>
    </row>
    <row r="753" spans="1:7" x14ac:dyDescent="0.25">
      <c r="A753" s="15" t="s">
        <v>34</v>
      </c>
      <c r="B753" s="16">
        <v>41653</v>
      </c>
      <c r="C753" s="17">
        <v>0.48430000000000001</v>
      </c>
      <c r="D753" s="17">
        <v>-0.21110000000000001</v>
      </c>
      <c r="E753" s="11">
        <f t="shared" si="33"/>
        <v>-0.21410000000000001</v>
      </c>
      <c r="F753" s="11">
        <f t="shared" si="34"/>
        <v>-0.16230431618445185</v>
      </c>
      <c r="G753" s="13">
        <f t="shared" si="35"/>
        <v>0.64660431618445191</v>
      </c>
    </row>
    <row r="754" spans="1:7" x14ac:dyDescent="0.25">
      <c r="A754" s="15" t="s">
        <v>34</v>
      </c>
      <c r="B754" s="16">
        <v>41654</v>
      </c>
      <c r="C754" s="17">
        <v>1.4389000000000001</v>
      </c>
      <c r="D754" s="17">
        <v>0.63449999999999995</v>
      </c>
      <c r="E754" s="11">
        <f t="shared" si="33"/>
        <v>0.63149999999999995</v>
      </c>
      <c r="F754" s="11">
        <f t="shared" si="34"/>
        <v>0.77731727938575845</v>
      </c>
      <c r="G754" s="13">
        <f t="shared" si="35"/>
        <v>0.66158272061424162</v>
      </c>
    </row>
    <row r="755" spans="1:7" x14ac:dyDescent="0.25">
      <c r="A755" s="15" t="s">
        <v>34</v>
      </c>
      <c r="B755" s="16">
        <v>41655</v>
      </c>
      <c r="C755" s="17">
        <v>1.8868</v>
      </c>
      <c r="D755" s="17">
        <v>0.1111</v>
      </c>
      <c r="E755" s="11">
        <f t="shared" si="33"/>
        <v>0.1081</v>
      </c>
      <c r="F755" s="11">
        <f t="shared" si="34"/>
        <v>0.19572084712292967</v>
      </c>
      <c r="G755" s="13">
        <f t="shared" si="35"/>
        <v>1.6910791528770703</v>
      </c>
    </row>
    <row r="756" spans="1:7" x14ac:dyDescent="0.25">
      <c r="A756" s="15" t="s">
        <v>34</v>
      </c>
      <c r="B756" s="16">
        <v>41656</v>
      </c>
      <c r="C756" s="17">
        <v>0.4662</v>
      </c>
      <c r="D756" s="17">
        <v>-0.18720000000000001</v>
      </c>
      <c r="E756" s="11">
        <f t="shared" si="33"/>
        <v>-0.19020000000000001</v>
      </c>
      <c r="F756" s="11">
        <f t="shared" si="34"/>
        <v>-0.13574689407692103</v>
      </c>
      <c r="G756" s="13">
        <f t="shared" si="35"/>
        <v>0.60194689407692104</v>
      </c>
    </row>
    <row r="757" spans="1:7" x14ac:dyDescent="0.25">
      <c r="A757" s="15" t="s">
        <v>34</v>
      </c>
      <c r="B757" s="16">
        <v>41659</v>
      </c>
      <c r="C757" s="17">
        <v>0</v>
      </c>
      <c r="D757" s="17">
        <v>0.2969</v>
      </c>
      <c r="E757" s="11">
        <f t="shared" si="33"/>
        <v>0.29389999999999999</v>
      </c>
      <c r="F757" s="11">
        <f t="shared" si="34"/>
        <v>0.40217980225176725</v>
      </c>
      <c r="G757" s="13">
        <f t="shared" si="35"/>
        <v>-0.40217980225176725</v>
      </c>
    </row>
    <row r="758" spans="1:7" x14ac:dyDescent="0.25">
      <c r="A758" s="15" t="s">
        <v>34</v>
      </c>
      <c r="B758" s="16">
        <v>41660</v>
      </c>
      <c r="C758" s="17">
        <v>-0.93459999999999999</v>
      </c>
      <c r="D758" s="17">
        <v>-0.2515</v>
      </c>
      <c r="E758" s="11">
        <f t="shared" si="33"/>
        <v>-0.2545</v>
      </c>
      <c r="F758" s="11">
        <f t="shared" si="34"/>
        <v>-0.20719636024906452</v>
      </c>
      <c r="G758" s="13">
        <f t="shared" si="35"/>
        <v>-0.72740363975093547</v>
      </c>
    </row>
    <row r="759" spans="1:7" x14ac:dyDescent="0.25">
      <c r="A759" s="15" t="s">
        <v>34</v>
      </c>
      <c r="B759" s="16">
        <v>41661</v>
      </c>
      <c r="C759" s="17">
        <v>0.93459999999999999</v>
      </c>
      <c r="D759" s="17">
        <v>0.2949</v>
      </c>
      <c r="E759" s="11">
        <f t="shared" si="33"/>
        <v>0.29189999999999999</v>
      </c>
      <c r="F759" s="11">
        <f t="shared" si="34"/>
        <v>0.39995742383272703</v>
      </c>
      <c r="G759" s="13">
        <f t="shared" si="35"/>
        <v>0.53464257616727295</v>
      </c>
    </row>
    <row r="760" spans="1:7" x14ac:dyDescent="0.25">
      <c r="A760" s="15" t="s">
        <v>34</v>
      </c>
      <c r="B760" s="16">
        <v>41662</v>
      </c>
      <c r="C760" s="17">
        <v>0</v>
      </c>
      <c r="D760" s="17">
        <v>-0.35070000000000001</v>
      </c>
      <c r="E760" s="11">
        <f t="shared" si="33"/>
        <v>-0.35370000000000001</v>
      </c>
      <c r="F760" s="11">
        <f t="shared" si="34"/>
        <v>-0.31742632983346009</v>
      </c>
      <c r="G760" s="13">
        <f t="shared" si="35"/>
        <v>0.31742632983346009</v>
      </c>
    </row>
    <row r="761" spans="1:7" x14ac:dyDescent="0.25">
      <c r="A761" s="15" t="s">
        <v>34</v>
      </c>
      <c r="B761" s="16">
        <v>41663</v>
      </c>
      <c r="C761" s="17">
        <v>0.46400000000000002</v>
      </c>
      <c r="D761" s="17">
        <v>3.73E-2</v>
      </c>
      <c r="E761" s="11">
        <f t="shared" si="33"/>
        <v>3.4299999999999997E-2</v>
      </c>
      <c r="F761" s="11">
        <f t="shared" si="34"/>
        <v>0.11371508346034508</v>
      </c>
      <c r="G761" s="13">
        <f t="shared" si="35"/>
        <v>0.35028491653965493</v>
      </c>
    </row>
    <row r="762" spans="1:7" x14ac:dyDescent="0.25">
      <c r="A762" s="15" t="s">
        <v>34</v>
      </c>
      <c r="B762" s="16">
        <v>41666</v>
      </c>
      <c r="C762" s="17">
        <v>-2.8170999999999999</v>
      </c>
      <c r="D762" s="17">
        <v>-1.5912999999999999</v>
      </c>
      <c r="E762" s="11">
        <f t="shared" si="33"/>
        <v>-1.5942999999999998</v>
      </c>
      <c r="F762" s="11">
        <f t="shared" si="34"/>
        <v>-1.6959676631641163</v>
      </c>
      <c r="G762" s="13">
        <f t="shared" si="35"/>
        <v>-1.1211323368358836</v>
      </c>
    </row>
    <row r="763" spans="1:7" x14ac:dyDescent="0.25">
      <c r="A763" s="15" t="s">
        <v>34</v>
      </c>
      <c r="B763" s="16">
        <v>41675</v>
      </c>
      <c r="C763" s="17">
        <v>-4.3803000000000001</v>
      </c>
      <c r="D763" s="17">
        <v>-2.3685999999999998</v>
      </c>
      <c r="E763" s="11">
        <f t="shared" si="33"/>
        <v>-2.3715999999999999</v>
      </c>
      <c r="F763" s="11">
        <f t="shared" si="34"/>
        <v>-2.5596950357241028</v>
      </c>
      <c r="G763" s="13">
        <f t="shared" si="35"/>
        <v>-1.8206049642758972</v>
      </c>
    </row>
    <row r="764" spans="1:7" x14ac:dyDescent="0.25">
      <c r="A764" s="15" t="s">
        <v>34</v>
      </c>
      <c r="B764" s="16">
        <v>41676</v>
      </c>
      <c r="C764" s="17">
        <v>1.4815</v>
      </c>
      <c r="D764" s="17">
        <v>0.56140000000000001</v>
      </c>
      <c r="E764" s="11">
        <f t="shared" si="33"/>
        <v>0.55840000000000001</v>
      </c>
      <c r="F764" s="11">
        <f t="shared" si="34"/>
        <v>0.69608934816983803</v>
      </c>
      <c r="G764" s="13">
        <f t="shared" si="35"/>
        <v>0.78541065183016201</v>
      </c>
    </row>
    <row r="765" spans="1:7" x14ac:dyDescent="0.25">
      <c r="A765" s="15" t="s">
        <v>34</v>
      </c>
      <c r="B765" s="16">
        <v>41677</v>
      </c>
      <c r="C765" s="17">
        <v>1.9418</v>
      </c>
      <c r="D765" s="17">
        <v>0.9143</v>
      </c>
      <c r="E765" s="11">
        <f t="shared" si="33"/>
        <v>0.9113</v>
      </c>
      <c r="F765" s="11">
        <f t="shared" si="34"/>
        <v>1.0882280202094872</v>
      </c>
      <c r="G765" s="13">
        <f t="shared" si="35"/>
        <v>0.8535719797905128</v>
      </c>
    </row>
    <row r="766" spans="1:7" x14ac:dyDescent="0.25">
      <c r="A766" s="15" t="s">
        <v>34</v>
      </c>
      <c r="B766" s="16">
        <v>41680</v>
      </c>
      <c r="C766" s="17">
        <v>-0.96619999999999995</v>
      </c>
      <c r="D766" s="17">
        <v>5.4800000000000001E-2</v>
      </c>
      <c r="E766" s="11">
        <f t="shared" si="33"/>
        <v>5.1799999999999999E-2</v>
      </c>
      <c r="F766" s="11">
        <f t="shared" si="34"/>
        <v>0.13316089462694711</v>
      </c>
      <c r="G766" s="13">
        <f t="shared" si="35"/>
        <v>-1.0993608946269471</v>
      </c>
    </row>
    <row r="767" spans="1:7" x14ac:dyDescent="0.25">
      <c r="A767" s="15" t="s">
        <v>34</v>
      </c>
      <c r="B767" s="16">
        <v>41681</v>
      </c>
      <c r="C767" s="17">
        <v>1.4458</v>
      </c>
      <c r="D767" s="17">
        <v>0.45900000000000002</v>
      </c>
      <c r="E767" s="11">
        <f t="shared" si="33"/>
        <v>0.45600000000000002</v>
      </c>
      <c r="F767" s="11">
        <f t="shared" si="34"/>
        <v>0.58230357311497816</v>
      </c>
      <c r="G767" s="13">
        <f t="shared" si="35"/>
        <v>0.86349642688502182</v>
      </c>
    </row>
    <row r="768" spans="1:7" x14ac:dyDescent="0.25">
      <c r="A768" s="15" t="s">
        <v>34</v>
      </c>
      <c r="B768" s="16">
        <v>41682</v>
      </c>
      <c r="C768" s="17">
        <v>0.4773</v>
      </c>
      <c r="D768" s="17">
        <v>0.94810000000000005</v>
      </c>
      <c r="E768" s="11">
        <f t="shared" si="33"/>
        <v>0.94510000000000005</v>
      </c>
      <c r="F768" s="11">
        <f t="shared" si="34"/>
        <v>1.125786215491267</v>
      </c>
      <c r="G768" s="13">
        <f t="shared" si="35"/>
        <v>-0.64848621549126695</v>
      </c>
    </row>
    <row r="769" spans="1:7" x14ac:dyDescent="0.25">
      <c r="A769" s="15" t="s">
        <v>34</v>
      </c>
      <c r="B769" s="16">
        <v>41683</v>
      </c>
      <c r="C769" s="17">
        <v>0</v>
      </c>
      <c r="D769" s="17">
        <v>-0.50849999999999995</v>
      </c>
      <c r="E769" s="11">
        <f t="shared" si="33"/>
        <v>-0.51149999999999995</v>
      </c>
      <c r="F769" s="11">
        <f t="shared" si="34"/>
        <v>-0.49277198709573444</v>
      </c>
      <c r="G769" s="13">
        <f t="shared" si="35"/>
        <v>0.49277198709573444</v>
      </c>
    </row>
    <row r="770" spans="1:7" x14ac:dyDescent="0.25">
      <c r="A770" s="15" t="s">
        <v>34</v>
      </c>
      <c r="B770" s="16">
        <v>41684</v>
      </c>
      <c r="C770" s="17">
        <v>2.3530000000000002</v>
      </c>
      <c r="D770" s="17">
        <v>0.54149999999999998</v>
      </c>
      <c r="E770" s="11">
        <f t="shared" si="33"/>
        <v>0.53849999999999998</v>
      </c>
      <c r="F770" s="11">
        <f t="shared" si="34"/>
        <v>0.6739766829003877</v>
      </c>
      <c r="G770" s="13">
        <f t="shared" si="35"/>
        <v>1.6790233170996125</v>
      </c>
    </row>
    <row r="771" spans="1:7" x14ac:dyDescent="0.25">
      <c r="A771" s="15" t="s">
        <v>34</v>
      </c>
      <c r="B771" s="16">
        <v>41687</v>
      </c>
      <c r="C771" s="17">
        <v>0.92589999999999995</v>
      </c>
      <c r="D771" s="17">
        <v>6.8900000000000003E-2</v>
      </c>
      <c r="E771" s="11">
        <f t="shared" ref="E771:E834" si="36">D771-$K$1</f>
        <v>6.59E-2</v>
      </c>
      <c r="F771" s="11">
        <f t="shared" ref="F771:F834" si="37">K$2+K$3*E771</f>
        <v>0.14882866248118076</v>
      </c>
      <c r="G771" s="13">
        <f t="shared" ref="G771:G834" si="38">C771-F771</f>
        <v>0.77707133751881918</v>
      </c>
    </row>
    <row r="772" spans="1:7" x14ac:dyDescent="0.25">
      <c r="A772" s="15" t="s">
        <v>34</v>
      </c>
      <c r="B772" s="16">
        <v>41688</v>
      </c>
      <c r="C772" s="17">
        <v>-0.46189999999999998</v>
      </c>
      <c r="D772" s="17">
        <v>0.42959999999999998</v>
      </c>
      <c r="E772" s="11">
        <f t="shared" si="36"/>
        <v>0.42659999999999998</v>
      </c>
      <c r="F772" s="11">
        <f t="shared" si="37"/>
        <v>0.54963461035508676</v>
      </c>
      <c r="G772" s="13">
        <f t="shared" si="38"/>
        <v>-1.0115346103550866</v>
      </c>
    </row>
    <row r="773" spans="1:7" x14ac:dyDescent="0.25">
      <c r="A773" s="15" t="s">
        <v>34</v>
      </c>
      <c r="B773" s="16">
        <v>41689</v>
      </c>
      <c r="C773" s="17">
        <v>0</v>
      </c>
      <c r="D773" s="17">
        <v>0.24260000000000001</v>
      </c>
      <c r="E773" s="11">
        <f t="shared" si="36"/>
        <v>0.23960000000000001</v>
      </c>
      <c r="F773" s="11">
        <f t="shared" si="37"/>
        <v>0.34184222817482496</v>
      </c>
      <c r="G773" s="13">
        <f t="shared" si="38"/>
        <v>-0.34184222817482496</v>
      </c>
    </row>
    <row r="774" spans="1:7" x14ac:dyDescent="0.25">
      <c r="A774" s="15" t="s">
        <v>34</v>
      </c>
      <c r="B774" s="16">
        <v>41690</v>
      </c>
      <c r="C774" s="17">
        <v>-1.3986000000000001</v>
      </c>
      <c r="D774" s="17">
        <v>-0.61270000000000002</v>
      </c>
      <c r="E774" s="11">
        <f t="shared" si="36"/>
        <v>-0.61570000000000003</v>
      </c>
      <c r="F774" s="11">
        <f t="shared" si="37"/>
        <v>-0.60855790272773058</v>
      </c>
      <c r="G774" s="13">
        <f t="shared" si="38"/>
        <v>-0.79004209727226948</v>
      </c>
    </row>
    <row r="775" spans="1:7" x14ac:dyDescent="0.25">
      <c r="A775" s="15" t="s">
        <v>34</v>
      </c>
      <c r="B775" s="16">
        <v>41691</v>
      </c>
      <c r="C775" s="17">
        <v>0.93459999999999999</v>
      </c>
      <c r="D775" s="17">
        <v>0.90200000000000002</v>
      </c>
      <c r="E775" s="11">
        <f t="shared" si="36"/>
        <v>0.89900000000000002</v>
      </c>
      <c r="F775" s="11">
        <f t="shared" si="37"/>
        <v>1.0745603929323897</v>
      </c>
      <c r="G775" s="13">
        <f t="shared" si="38"/>
        <v>-0.13996039293238971</v>
      </c>
    </row>
    <row r="776" spans="1:7" x14ac:dyDescent="0.25">
      <c r="A776" s="15" t="s">
        <v>34</v>
      </c>
      <c r="B776" s="16">
        <v>41694</v>
      </c>
      <c r="C776" s="17">
        <v>-0.4662</v>
      </c>
      <c r="D776" s="17">
        <v>-0.48070000000000002</v>
      </c>
      <c r="E776" s="11">
        <f t="shared" si="36"/>
        <v>-0.48370000000000002</v>
      </c>
      <c r="F776" s="11">
        <f t="shared" si="37"/>
        <v>-0.4618809270710752</v>
      </c>
      <c r="G776" s="13">
        <f t="shared" si="38"/>
        <v>-4.3190729289248053E-3</v>
      </c>
    </row>
    <row r="777" spans="1:7" x14ac:dyDescent="0.25">
      <c r="A777" s="15" t="s">
        <v>34</v>
      </c>
      <c r="B777" s="16">
        <v>41695</v>
      </c>
      <c r="C777" s="17">
        <v>0.93020000000000003</v>
      </c>
      <c r="D777" s="17">
        <v>0.17519999999999999</v>
      </c>
      <c r="E777" s="11">
        <f t="shared" si="36"/>
        <v>0.17219999999999999</v>
      </c>
      <c r="F777" s="11">
        <f t="shared" si="37"/>
        <v>0.26694807545316912</v>
      </c>
      <c r="G777" s="13">
        <f t="shared" si="38"/>
        <v>0.66325192454683091</v>
      </c>
    </row>
    <row r="778" spans="1:7" x14ac:dyDescent="0.25">
      <c r="A778" s="15" t="s">
        <v>34</v>
      </c>
      <c r="B778" s="16">
        <v>41696</v>
      </c>
      <c r="C778" s="17">
        <v>-0.46400000000000002</v>
      </c>
      <c r="D778" s="17">
        <v>0.29389999999999999</v>
      </c>
      <c r="E778" s="11">
        <f t="shared" si="36"/>
        <v>0.29089999999999999</v>
      </c>
      <c r="F778" s="11">
        <f t="shared" si="37"/>
        <v>0.3988462346232069</v>
      </c>
      <c r="G778" s="13">
        <f t="shared" si="38"/>
        <v>-0.86284623462320686</v>
      </c>
    </row>
    <row r="779" spans="1:7" x14ac:dyDescent="0.25">
      <c r="A779" s="15" t="s">
        <v>34</v>
      </c>
      <c r="B779" s="16">
        <v>41697</v>
      </c>
      <c r="C779" s="17">
        <v>0.46400000000000002</v>
      </c>
      <c r="D779" s="17">
        <v>0.44919999999999999</v>
      </c>
      <c r="E779" s="11">
        <f t="shared" si="36"/>
        <v>0.44619999999999999</v>
      </c>
      <c r="F779" s="11">
        <f t="shared" si="37"/>
        <v>0.57141391886168102</v>
      </c>
      <c r="G779" s="13">
        <f t="shared" si="38"/>
        <v>-0.107413918861681</v>
      </c>
    </row>
    <row r="780" spans="1:7" x14ac:dyDescent="0.25">
      <c r="A780" s="15" t="s">
        <v>34</v>
      </c>
      <c r="B780" s="16">
        <v>41701</v>
      </c>
      <c r="C780" s="17">
        <v>0</v>
      </c>
      <c r="D780" s="17">
        <v>-0.43619999999999998</v>
      </c>
      <c r="E780" s="11">
        <f t="shared" si="36"/>
        <v>-0.43919999999999998</v>
      </c>
      <c r="F780" s="11">
        <f t="shared" si="37"/>
        <v>-0.41243300724742998</v>
      </c>
      <c r="G780" s="13">
        <f t="shared" si="38"/>
        <v>0.41243300724742998</v>
      </c>
    </row>
    <row r="781" spans="1:7" x14ac:dyDescent="0.25">
      <c r="A781" s="15" t="s">
        <v>34</v>
      </c>
      <c r="B781" s="16">
        <v>41702</v>
      </c>
      <c r="C781" s="17">
        <v>-0.46400000000000002</v>
      </c>
      <c r="D781" s="17">
        <v>-0.55300000000000005</v>
      </c>
      <c r="E781" s="11">
        <f t="shared" si="36"/>
        <v>-0.55600000000000005</v>
      </c>
      <c r="F781" s="11">
        <f t="shared" si="37"/>
        <v>-0.54221990691937971</v>
      </c>
      <c r="G781" s="13">
        <f t="shared" si="38"/>
        <v>7.8219906919379689E-2</v>
      </c>
    </row>
    <row r="782" spans="1:7" x14ac:dyDescent="0.25">
      <c r="A782" s="15" t="s">
        <v>34</v>
      </c>
      <c r="B782" s="16">
        <v>41703</v>
      </c>
      <c r="C782" s="17">
        <v>2.2989999999999999</v>
      </c>
      <c r="D782" s="17">
        <v>0.91220000000000001</v>
      </c>
      <c r="E782" s="11">
        <f t="shared" si="36"/>
        <v>0.90920000000000001</v>
      </c>
      <c r="F782" s="11">
        <f t="shared" si="37"/>
        <v>1.0858945228694949</v>
      </c>
      <c r="G782" s="13">
        <f t="shared" si="38"/>
        <v>1.213105477130505</v>
      </c>
    </row>
    <row r="783" spans="1:7" x14ac:dyDescent="0.25">
      <c r="A783" s="15" t="s">
        <v>34</v>
      </c>
      <c r="B783" s="16">
        <v>41704</v>
      </c>
      <c r="C783" s="17">
        <v>2.6907000000000001</v>
      </c>
      <c r="D783" s="17">
        <v>0.93230000000000002</v>
      </c>
      <c r="E783" s="11">
        <f t="shared" si="36"/>
        <v>0.92930000000000001</v>
      </c>
      <c r="F783" s="11">
        <f t="shared" si="37"/>
        <v>1.1082294259808492</v>
      </c>
      <c r="G783" s="13">
        <f t="shared" si="38"/>
        <v>1.5824705740191509</v>
      </c>
    </row>
    <row r="784" spans="1:7" x14ac:dyDescent="0.25">
      <c r="A784" s="15" t="s">
        <v>34</v>
      </c>
      <c r="B784" s="16">
        <v>41705</v>
      </c>
      <c r="C784" s="17">
        <v>1.3187</v>
      </c>
      <c r="D784" s="17">
        <v>2E-3</v>
      </c>
      <c r="E784" s="11">
        <f t="shared" si="36"/>
        <v>-1E-3</v>
      </c>
      <c r="F784" s="11">
        <f t="shared" si="37"/>
        <v>7.4490104364284965E-2</v>
      </c>
      <c r="G784" s="13">
        <f t="shared" si="38"/>
        <v>1.244209895635715</v>
      </c>
    </row>
    <row r="785" spans="1:7" x14ac:dyDescent="0.25">
      <c r="A785" s="15" t="s">
        <v>34</v>
      </c>
      <c r="B785" s="16">
        <v>41708</v>
      </c>
      <c r="C785" s="17">
        <v>-1.3187</v>
      </c>
      <c r="D785" s="17">
        <v>-0.56069999999999998</v>
      </c>
      <c r="E785" s="11">
        <f t="shared" si="36"/>
        <v>-0.56369999999999998</v>
      </c>
      <c r="F785" s="11">
        <f t="shared" si="37"/>
        <v>-0.55077606383268451</v>
      </c>
      <c r="G785" s="13">
        <f t="shared" si="38"/>
        <v>-0.76792393616731547</v>
      </c>
    </row>
    <row r="786" spans="1:7" x14ac:dyDescent="0.25">
      <c r="A786" s="15" t="s">
        <v>34</v>
      </c>
      <c r="B786" s="16">
        <v>41709</v>
      </c>
      <c r="C786" s="17">
        <v>0.88109999999999999</v>
      </c>
      <c r="D786" s="17">
        <v>0.42709999999999998</v>
      </c>
      <c r="E786" s="11">
        <f t="shared" si="36"/>
        <v>0.42409999999999998</v>
      </c>
      <c r="F786" s="11">
        <f t="shared" si="37"/>
        <v>0.54685663733128642</v>
      </c>
      <c r="G786" s="13">
        <f t="shared" si="38"/>
        <v>0.33424336266871357</v>
      </c>
    </row>
    <row r="787" spans="1:7" x14ac:dyDescent="0.25">
      <c r="A787" s="15" t="s">
        <v>34</v>
      </c>
      <c r="B787" s="16">
        <v>41710</v>
      </c>
      <c r="C787" s="17">
        <v>-0.88109999999999999</v>
      </c>
      <c r="D787" s="17">
        <v>-0.2024</v>
      </c>
      <c r="E787" s="11">
        <f t="shared" si="36"/>
        <v>-0.2054</v>
      </c>
      <c r="F787" s="11">
        <f t="shared" si="37"/>
        <v>-0.1526369700616268</v>
      </c>
      <c r="G787" s="13">
        <f t="shared" si="38"/>
        <v>-0.7284630299383732</v>
      </c>
    </row>
    <row r="788" spans="1:7" x14ac:dyDescent="0.25">
      <c r="A788" s="15" t="s">
        <v>34</v>
      </c>
      <c r="B788" s="16">
        <v>41711</v>
      </c>
      <c r="C788" s="17">
        <v>3.0503</v>
      </c>
      <c r="D788" s="17">
        <v>0.72350000000000003</v>
      </c>
      <c r="E788" s="11">
        <f t="shared" si="36"/>
        <v>0.72050000000000003</v>
      </c>
      <c r="F788" s="11">
        <f t="shared" si="37"/>
        <v>0.87621311903304888</v>
      </c>
      <c r="G788" s="13">
        <f t="shared" si="38"/>
        <v>2.1740868809669509</v>
      </c>
    </row>
    <row r="789" spans="1:7" x14ac:dyDescent="0.25">
      <c r="A789" s="15" t="s">
        <v>34</v>
      </c>
      <c r="B789" s="16">
        <v>41712</v>
      </c>
      <c r="C789" s="17">
        <v>-1.2959000000000001</v>
      </c>
      <c r="D789" s="17">
        <v>-0.69010000000000005</v>
      </c>
      <c r="E789" s="11">
        <f t="shared" si="36"/>
        <v>-0.69310000000000005</v>
      </c>
      <c r="F789" s="11">
        <f t="shared" si="37"/>
        <v>-0.69456394754458761</v>
      </c>
      <c r="G789" s="13">
        <f t="shared" si="38"/>
        <v>-0.60133605245541244</v>
      </c>
    </row>
    <row r="790" spans="1:7" x14ac:dyDescent="0.25">
      <c r="A790" s="15" t="s">
        <v>34</v>
      </c>
      <c r="B790" s="16">
        <v>41715</v>
      </c>
      <c r="C790" s="17">
        <v>-0.87339999999999995</v>
      </c>
      <c r="D790" s="17">
        <v>0.1434</v>
      </c>
      <c r="E790" s="11">
        <f t="shared" si="36"/>
        <v>0.1404</v>
      </c>
      <c r="F790" s="11">
        <f t="shared" si="37"/>
        <v>0.23161225859042944</v>
      </c>
      <c r="G790" s="13">
        <f t="shared" si="38"/>
        <v>-1.1050122585904294</v>
      </c>
    </row>
    <row r="791" spans="1:7" x14ac:dyDescent="0.25">
      <c r="A791" s="15" t="s">
        <v>34</v>
      </c>
      <c r="B791" s="16">
        <v>41716</v>
      </c>
      <c r="C791" s="17">
        <v>0.43759999999999999</v>
      </c>
      <c r="D791" s="17">
        <v>0.36530000000000001</v>
      </c>
      <c r="E791" s="11">
        <f t="shared" si="36"/>
        <v>0.36230000000000001</v>
      </c>
      <c r="F791" s="11">
        <f t="shared" si="37"/>
        <v>0.47818514418294322</v>
      </c>
      <c r="G791" s="13">
        <f t="shared" si="38"/>
        <v>-4.0585144182943234E-2</v>
      </c>
    </row>
    <row r="792" spans="1:7" x14ac:dyDescent="0.25">
      <c r="A792" s="15" t="s">
        <v>34</v>
      </c>
      <c r="B792" s="16">
        <v>41717</v>
      </c>
      <c r="C792" s="17">
        <v>0</v>
      </c>
      <c r="D792" s="17">
        <v>-0.48770000000000002</v>
      </c>
      <c r="E792" s="11">
        <f t="shared" si="36"/>
        <v>-0.49070000000000003</v>
      </c>
      <c r="F792" s="11">
        <f t="shared" si="37"/>
        <v>-0.46965925153771604</v>
      </c>
      <c r="G792" s="13">
        <f t="shared" si="38"/>
        <v>0.46965925153771604</v>
      </c>
    </row>
    <row r="793" spans="1:7" x14ac:dyDescent="0.25">
      <c r="A793" s="15" t="s">
        <v>34</v>
      </c>
      <c r="B793" s="16">
        <v>41718</v>
      </c>
      <c r="C793" s="17">
        <v>-2.2075999999999998</v>
      </c>
      <c r="D793" s="17">
        <v>-1.0659000000000001</v>
      </c>
      <c r="E793" s="11">
        <f t="shared" si="36"/>
        <v>-1.0689</v>
      </c>
      <c r="F793" s="11">
        <f t="shared" si="37"/>
        <v>-1.1121488524822472</v>
      </c>
      <c r="G793" s="13">
        <f t="shared" si="38"/>
        <v>-1.0954511475177526</v>
      </c>
    </row>
    <row r="794" spans="1:7" x14ac:dyDescent="0.25">
      <c r="A794" s="15" t="s">
        <v>34</v>
      </c>
      <c r="B794" s="16">
        <v>41719</v>
      </c>
      <c r="C794" s="17">
        <v>0.44540000000000002</v>
      </c>
      <c r="D794" s="17">
        <v>-0.23480000000000001</v>
      </c>
      <c r="E794" s="11">
        <f t="shared" si="36"/>
        <v>-0.23780000000000001</v>
      </c>
      <c r="F794" s="11">
        <f t="shared" si="37"/>
        <v>-0.1886395004500786</v>
      </c>
      <c r="G794" s="13">
        <f t="shared" si="38"/>
        <v>0.63403950045007862</v>
      </c>
    </row>
    <row r="795" spans="1:7" x14ac:dyDescent="0.25">
      <c r="A795" s="15" t="s">
        <v>34</v>
      </c>
      <c r="B795" s="16">
        <v>41722</v>
      </c>
      <c r="C795" s="17">
        <v>0</v>
      </c>
      <c r="D795" s="17">
        <v>0.32840000000000003</v>
      </c>
      <c r="E795" s="11">
        <f t="shared" si="36"/>
        <v>0.32540000000000002</v>
      </c>
      <c r="F795" s="11">
        <f t="shared" si="37"/>
        <v>0.43718226235165097</v>
      </c>
      <c r="G795" s="13">
        <f t="shared" si="38"/>
        <v>-0.43718226235165097</v>
      </c>
    </row>
    <row r="796" spans="1:7" x14ac:dyDescent="0.25">
      <c r="A796" s="15" t="s">
        <v>34</v>
      </c>
      <c r="B796" s="16">
        <v>41723</v>
      </c>
      <c r="C796" s="17">
        <v>0.88500000000000001</v>
      </c>
      <c r="D796" s="17">
        <v>0.97050000000000003</v>
      </c>
      <c r="E796" s="11">
        <f t="shared" si="36"/>
        <v>0.96750000000000003</v>
      </c>
      <c r="F796" s="11">
        <f t="shared" si="37"/>
        <v>1.1506768537845176</v>
      </c>
      <c r="G796" s="13">
        <f t="shared" si="38"/>
        <v>-0.26567685378451755</v>
      </c>
    </row>
    <row r="797" spans="1:7" x14ac:dyDescent="0.25">
      <c r="A797" s="15" t="s">
        <v>34</v>
      </c>
      <c r="B797" s="16">
        <v>41724</v>
      </c>
      <c r="C797" s="17">
        <v>1.7467999999999999</v>
      </c>
      <c r="D797" s="17">
        <v>0.55049999999999999</v>
      </c>
      <c r="E797" s="11">
        <f t="shared" si="36"/>
        <v>0.54749999999999999</v>
      </c>
      <c r="F797" s="11">
        <f t="shared" si="37"/>
        <v>0.68397738578606881</v>
      </c>
      <c r="G797" s="13">
        <f t="shared" si="38"/>
        <v>1.062822614213931</v>
      </c>
    </row>
    <row r="798" spans="1:7" x14ac:dyDescent="0.25">
      <c r="A798" s="15" t="s">
        <v>34</v>
      </c>
      <c r="B798" s="16">
        <v>41725</v>
      </c>
      <c r="C798" s="17">
        <v>0.432</v>
      </c>
      <c r="D798" s="17">
        <v>0.48299999999999998</v>
      </c>
      <c r="E798" s="11">
        <f t="shared" si="36"/>
        <v>0.48</v>
      </c>
      <c r="F798" s="11">
        <f t="shared" si="37"/>
        <v>0.60897211414346086</v>
      </c>
      <c r="G798" s="13">
        <f t="shared" si="38"/>
        <v>-0.17697211414346087</v>
      </c>
    </row>
    <row r="799" spans="1:7" x14ac:dyDescent="0.25">
      <c r="A799" s="15" t="s">
        <v>34</v>
      </c>
      <c r="B799" s="16">
        <v>41726</v>
      </c>
      <c r="C799" s="17">
        <v>1.2847999999999999</v>
      </c>
      <c r="D799" s="17">
        <v>-5.62E-2</v>
      </c>
      <c r="E799" s="11">
        <f t="shared" si="36"/>
        <v>-5.9200000000000003E-2</v>
      </c>
      <c r="F799" s="11">
        <f t="shared" si="37"/>
        <v>9.8188923702142022E-3</v>
      </c>
      <c r="G799" s="13">
        <f t="shared" si="38"/>
        <v>1.2749811076297857</v>
      </c>
    </row>
    <row r="800" spans="1:7" x14ac:dyDescent="0.25">
      <c r="A800" s="15" t="s">
        <v>34</v>
      </c>
      <c r="B800" s="16">
        <v>41729</v>
      </c>
      <c r="C800" s="17">
        <v>0.84750000000000003</v>
      </c>
      <c r="D800" s="17">
        <v>0.84699999999999998</v>
      </c>
      <c r="E800" s="11">
        <f t="shared" si="36"/>
        <v>0.84399999999999997</v>
      </c>
      <c r="F800" s="11">
        <f t="shared" si="37"/>
        <v>1.0134449864087833</v>
      </c>
      <c r="G800" s="13">
        <f t="shared" si="38"/>
        <v>-0.1659449864087833</v>
      </c>
    </row>
    <row r="801" spans="1:7" x14ac:dyDescent="0.25">
      <c r="A801" s="15" t="s">
        <v>34</v>
      </c>
      <c r="B801" s="16">
        <v>41730</v>
      </c>
      <c r="C801" s="17">
        <v>0.84030000000000005</v>
      </c>
      <c r="D801" s="17">
        <v>0.26939999999999997</v>
      </c>
      <c r="E801" s="11">
        <f t="shared" si="36"/>
        <v>0.26639999999999997</v>
      </c>
      <c r="F801" s="11">
        <f t="shared" si="37"/>
        <v>0.37162209898996401</v>
      </c>
      <c r="G801" s="13">
        <f t="shared" si="38"/>
        <v>0.46867790101003604</v>
      </c>
    </row>
    <row r="802" spans="1:7" x14ac:dyDescent="0.25">
      <c r="A802" s="15" t="s">
        <v>34</v>
      </c>
      <c r="B802" s="16">
        <v>41731</v>
      </c>
      <c r="C802" s="17">
        <v>0.41749999999999998</v>
      </c>
      <c r="D802" s="17">
        <v>0.3634</v>
      </c>
      <c r="E802" s="11">
        <f t="shared" si="36"/>
        <v>0.3604</v>
      </c>
      <c r="F802" s="11">
        <f t="shared" si="37"/>
        <v>0.47607388468485501</v>
      </c>
      <c r="G802" s="13">
        <f t="shared" si="38"/>
        <v>-5.8573884684855027E-2</v>
      </c>
    </row>
    <row r="803" spans="1:7" x14ac:dyDescent="0.25">
      <c r="A803" s="15" t="s">
        <v>34</v>
      </c>
      <c r="B803" s="16">
        <v>41732</v>
      </c>
      <c r="C803" s="17">
        <v>-1.2579</v>
      </c>
      <c r="D803" s="17">
        <v>-0.19009999999999999</v>
      </c>
      <c r="E803" s="11">
        <f t="shared" si="36"/>
        <v>-0.19309999999999999</v>
      </c>
      <c r="F803" s="11">
        <f t="shared" si="37"/>
        <v>-0.13896934278452938</v>
      </c>
      <c r="G803" s="13">
        <f t="shared" si="38"/>
        <v>-1.1189306572154707</v>
      </c>
    </row>
    <row r="804" spans="1:7" x14ac:dyDescent="0.25">
      <c r="A804" s="15" t="s">
        <v>34</v>
      </c>
      <c r="B804" s="16">
        <v>41736</v>
      </c>
      <c r="C804" s="17">
        <v>-0.84750000000000003</v>
      </c>
      <c r="D804" s="17">
        <v>-0.13619999999999999</v>
      </c>
      <c r="E804" s="11">
        <f t="shared" si="36"/>
        <v>-0.13919999999999999</v>
      </c>
      <c r="F804" s="11">
        <f t="shared" si="37"/>
        <v>-7.9076244391395087E-2</v>
      </c>
      <c r="G804" s="13">
        <f t="shared" si="38"/>
        <v>-0.76842375560860499</v>
      </c>
    </row>
    <row r="805" spans="1:7" x14ac:dyDescent="0.25">
      <c r="A805" s="15" t="s">
        <v>34</v>
      </c>
      <c r="B805" s="16">
        <v>41737</v>
      </c>
      <c r="C805" s="17">
        <v>1.2685</v>
      </c>
      <c r="D805" s="17">
        <v>0.13300000000000001</v>
      </c>
      <c r="E805" s="11">
        <f t="shared" si="36"/>
        <v>0.13</v>
      </c>
      <c r="F805" s="11">
        <f t="shared" si="37"/>
        <v>0.22005589081142024</v>
      </c>
      <c r="G805" s="13">
        <f t="shared" si="38"/>
        <v>1.0484441091885797</v>
      </c>
    </row>
    <row r="806" spans="1:7" x14ac:dyDescent="0.25">
      <c r="A806" s="15" t="s">
        <v>34</v>
      </c>
      <c r="B806" s="16">
        <v>41738</v>
      </c>
      <c r="C806" s="17">
        <v>0</v>
      </c>
      <c r="D806" s="17">
        <v>0.47499999999999998</v>
      </c>
      <c r="E806" s="11">
        <f t="shared" si="36"/>
        <v>0.47199999999999998</v>
      </c>
      <c r="F806" s="11">
        <f t="shared" si="37"/>
        <v>0.6000826004673</v>
      </c>
      <c r="G806" s="13">
        <f t="shared" si="38"/>
        <v>-0.6000826004673</v>
      </c>
    </row>
    <row r="807" spans="1:7" x14ac:dyDescent="0.25">
      <c r="A807" s="15" t="s">
        <v>34</v>
      </c>
      <c r="B807" s="16">
        <v>41739</v>
      </c>
      <c r="C807" s="17">
        <v>0.41930000000000001</v>
      </c>
      <c r="D807" s="17">
        <v>0.1961</v>
      </c>
      <c r="E807" s="11">
        <f t="shared" si="36"/>
        <v>0.19309999999999999</v>
      </c>
      <c r="F807" s="11">
        <f t="shared" si="37"/>
        <v>0.29017192993213953</v>
      </c>
      <c r="G807" s="13">
        <f t="shared" si="38"/>
        <v>0.12912807006786048</v>
      </c>
    </row>
    <row r="808" spans="1:7" x14ac:dyDescent="0.25">
      <c r="A808" s="15" t="s">
        <v>34</v>
      </c>
      <c r="B808" s="16">
        <v>41740</v>
      </c>
      <c r="C808" s="17">
        <v>0.41749999999999998</v>
      </c>
      <c r="D808" s="17">
        <v>-0.4486</v>
      </c>
      <c r="E808" s="11">
        <f t="shared" si="36"/>
        <v>-0.4516</v>
      </c>
      <c r="F808" s="11">
        <f t="shared" si="37"/>
        <v>-0.42621175344547946</v>
      </c>
      <c r="G808" s="13">
        <f t="shared" si="38"/>
        <v>0.84371175344547944</v>
      </c>
    </row>
    <row r="809" spans="1:7" x14ac:dyDescent="0.25">
      <c r="A809" s="15" t="s">
        <v>34</v>
      </c>
      <c r="B809" s="16">
        <v>41743</v>
      </c>
      <c r="C809" s="17">
        <v>0.4158</v>
      </c>
      <c r="D809" s="17">
        <v>-0.56999999999999995</v>
      </c>
      <c r="E809" s="11">
        <f t="shared" si="36"/>
        <v>-0.57299999999999995</v>
      </c>
      <c r="F809" s="11">
        <f t="shared" si="37"/>
        <v>-0.56111012348122158</v>
      </c>
      <c r="G809" s="13">
        <f t="shared" si="38"/>
        <v>0.97691012348122164</v>
      </c>
    </row>
    <row r="810" spans="1:7" x14ac:dyDescent="0.25">
      <c r="A810" s="15" t="s">
        <v>34</v>
      </c>
      <c r="B810" s="16">
        <v>41744</v>
      </c>
      <c r="C810" s="17">
        <v>1.6460999999999999</v>
      </c>
      <c r="D810" s="17">
        <v>0.66720000000000002</v>
      </c>
      <c r="E810" s="11">
        <f t="shared" si="36"/>
        <v>0.66420000000000001</v>
      </c>
      <c r="F810" s="11">
        <f t="shared" si="37"/>
        <v>0.81365316653706632</v>
      </c>
      <c r="G810" s="13">
        <f t="shared" si="38"/>
        <v>0.83244683346293358</v>
      </c>
    </row>
    <row r="811" spans="1:7" x14ac:dyDescent="0.25">
      <c r="A811" s="15" t="s">
        <v>34</v>
      </c>
      <c r="B811" s="16">
        <v>41745</v>
      </c>
      <c r="C811" s="17">
        <v>-1.232</v>
      </c>
      <c r="D811" s="17">
        <v>7.9699999999999993E-2</v>
      </c>
      <c r="E811" s="11">
        <f t="shared" si="36"/>
        <v>7.669999999999999E-2</v>
      </c>
      <c r="F811" s="11">
        <f t="shared" si="37"/>
        <v>0.160829505943998</v>
      </c>
      <c r="G811" s="13">
        <f t="shared" si="38"/>
        <v>-1.3928295059439979</v>
      </c>
    </row>
    <row r="812" spans="1:7" x14ac:dyDescent="0.25">
      <c r="A812" s="15" t="s">
        <v>34</v>
      </c>
      <c r="B812" s="16">
        <v>41746</v>
      </c>
      <c r="C812" s="17">
        <v>-0.82989999999999997</v>
      </c>
      <c r="D812" s="17">
        <v>0.22770000000000001</v>
      </c>
      <c r="E812" s="11">
        <f t="shared" si="36"/>
        <v>0.22470000000000001</v>
      </c>
      <c r="F812" s="11">
        <f t="shared" si="37"/>
        <v>0.32528550895297526</v>
      </c>
      <c r="G812" s="13">
        <f t="shared" si="38"/>
        <v>-1.1551855089529752</v>
      </c>
    </row>
    <row r="813" spans="1:7" x14ac:dyDescent="0.25">
      <c r="A813" s="15" t="s">
        <v>34</v>
      </c>
      <c r="B813" s="16">
        <v>41747</v>
      </c>
      <c r="C813" s="17">
        <v>2.4693000000000001</v>
      </c>
      <c r="D813" s="17">
        <v>0.25119999999999998</v>
      </c>
      <c r="E813" s="11">
        <f t="shared" si="36"/>
        <v>0.24819999999999998</v>
      </c>
      <c r="F813" s="11">
        <f t="shared" si="37"/>
        <v>0.35139845537669795</v>
      </c>
      <c r="G813" s="13">
        <f t="shared" si="38"/>
        <v>2.1179015446233023</v>
      </c>
    </row>
    <row r="814" spans="1:7" x14ac:dyDescent="0.25">
      <c r="A814" s="15" t="s">
        <v>34</v>
      </c>
      <c r="B814" s="16">
        <v>41750</v>
      </c>
      <c r="C814" s="17">
        <v>-1.2270000000000001</v>
      </c>
      <c r="D814" s="17">
        <v>-0.17269999999999999</v>
      </c>
      <c r="E814" s="11">
        <f t="shared" si="36"/>
        <v>-0.1757</v>
      </c>
      <c r="F814" s="11">
        <f t="shared" si="37"/>
        <v>-0.11963465053887935</v>
      </c>
      <c r="G814" s="13">
        <f t="shared" si="38"/>
        <v>-1.1073653494611206</v>
      </c>
    </row>
    <row r="815" spans="1:7" x14ac:dyDescent="0.25">
      <c r="A815" s="15" t="s">
        <v>34</v>
      </c>
      <c r="B815" s="16">
        <v>41751</v>
      </c>
      <c r="C815" s="17">
        <v>0</v>
      </c>
      <c r="D815" s="17">
        <v>0.26240000000000002</v>
      </c>
      <c r="E815" s="11">
        <f t="shared" si="36"/>
        <v>0.25940000000000002</v>
      </c>
      <c r="F815" s="11">
        <f t="shared" si="37"/>
        <v>0.36384377452332328</v>
      </c>
      <c r="G815" s="13">
        <f t="shared" si="38"/>
        <v>-0.36384377452332328</v>
      </c>
    </row>
    <row r="816" spans="1:7" x14ac:dyDescent="0.25">
      <c r="A816" s="15" t="s">
        <v>34</v>
      </c>
      <c r="B816" s="16">
        <v>41752</v>
      </c>
      <c r="C816" s="17">
        <v>-0.41239999999999999</v>
      </c>
      <c r="D816" s="17">
        <v>-0.19839999999999999</v>
      </c>
      <c r="E816" s="11">
        <f t="shared" si="36"/>
        <v>-0.2014</v>
      </c>
      <c r="F816" s="11">
        <f t="shared" si="37"/>
        <v>-0.14819221322354637</v>
      </c>
      <c r="G816" s="13">
        <f t="shared" si="38"/>
        <v>-0.26420778677645362</v>
      </c>
    </row>
    <row r="817" spans="1:7" x14ac:dyDescent="0.25">
      <c r="A817" s="15" t="s">
        <v>34</v>
      </c>
      <c r="B817" s="16">
        <v>41753</v>
      </c>
      <c r="C817" s="17">
        <v>0</v>
      </c>
      <c r="D817" s="17">
        <v>-0.12809999999999999</v>
      </c>
      <c r="E817" s="11">
        <f t="shared" si="36"/>
        <v>-0.13109999999999999</v>
      </c>
      <c r="F817" s="11">
        <f t="shared" si="37"/>
        <v>-7.0075611794282164E-2</v>
      </c>
      <c r="G817" s="13">
        <f t="shared" si="38"/>
        <v>7.0075611794282164E-2</v>
      </c>
    </row>
    <row r="818" spans="1:7" x14ac:dyDescent="0.25">
      <c r="A818" s="15" t="s">
        <v>34</v>
      </c>
      <c r="B818" s="16">
        <v>41754</v>
      </c>
      <c r="C818" s="17">
        <v>-2.0878000000000001</v>
      </c>
      <c r="D818" s="17">
        <v>-1.9339</v>
      </c>
      <c r="E818" s="11">
        <f t="shared" si="36"/>
        <v>-1.9368999999999998</v>
      </c>
      <c r="F818" s="11">
        <f t="shared" si="37"/>
        <v>-2.076661086345708</v>
      </c>
      <c r="G818" s="13">
        <f t="shared" si="38"/>
        <v>-1.1138913654292093E-2</v>
      </c>
    </row>
    <row r="819" spans="1:7" x14ac:dyDescent="0.25">
      <c r="A819" s="15" t="s">
        <v>34</v>
      </c>
      <c r="B819" s="16">
        <v>41757</v>
      </c>
      <c r="C819" s="17">
        <v>0.42109999999999997</v>
      </c>
      <c r="D819" s="17">
        <v>0.40479999999999999</v>
      </c>
      <c r="E819" s="11">
        <f t="shared" si="36"/>
        <v>0.40179999999999999</v>
      </c>
      <c r="F819" s="11">
        <f t="shared" si="37"/>
        <v>0.52207711795898781</v>
      </c>
      <c r="G819" s="13">
        <f t="shared" si="38"/>
        <v>-0.10097711795898784</v>
      </c>
    </row>
    <row r="820" spans="1:7" x14ac:dyDescent="0.25">
      <c r="A820" s="15" t="s">
        <v>34</v>
      </c>
      <c r="B820" s="16">
        <v>41758</v>
      </c>
      <c r="C820" s="17">
        <v>1.2525999999999999</v>
      </c>
      <c r="D820" s="17">
        <v>0.70579999999999998</v>
      </c>
      <c r="E820" s="11">
        <f t="shared" si="36"/>
        <v>0.70279999999999998</v>
      </c>
      <c r="F820" s="11">
        <f t="shared" si="37"/>
        <v>0.85654507002454283</v>
      </c>
      <c r="G820" s="13">
        <f t="shared" si="38"/>
        <v>0.3960549299754571</v>
      </c>
    </row>
    <row r="821" spans="1:7" x14ac:dyDescent="0.25">
      <c r="A821" s="15" t="s">
        <v>34</v>
      </c>
      <c r="B821" s="16">
        <v>41759</v>
      </c>
      <c r="C821" s="17">
        <v>-1.6737</v>
      </c>
      <c r="D821" s="17">
        <v>-0.91339999999999999</v>
      </c>
      <c r="E821" s="11">
        <f t="shared" si="36"/>
        <v>-0.91639999999999999</v>
      </c>
      <c r="F821" s="11">
        <f t="shared" si="37"/>
        <v>-0.94269249803042965</v>
      </c>
      <c r="G821" s="13">
        <f t="shared" si="38"/>
        <v>-0.73100750196957032</v>
      </c>
    </row>
    <row r="822" spans="1:7" x14ac:dyDescent="0.25">
      <c r="A822" s="15" t="s">
        <v>34</v>
      </c>
      <c r="B822" s="16">
        <v>41761</v>
      </c>
      <c r="C822" s="17">
        <v>-0.42280000000000001</v>
      </c>
      <c r="D822" s="17">
        <v>0.85940000000000005</v>
      </c>
      <c r="E822" s="11">
        <f t="shared" si="36"/>
        <v>0.85640000000000005</v>
      </c>
      <c r="F822" s="11">
        <f t="shared" si="37"/>
        <v>1.0272237326068328</v>
      </c>
      <c r="G822" s="13">
        <f t="shared" si="38"/>
        <v>-1.4500237326068328</v>
      </c>
    </row>
    <row r="823" spans="1:7" x14ac:dyDescent="0.25">
      <c r="A823" s="15" t="s">
        <v>34</v>
      </c>
      <c r="B823" s="16">
        <v>41764</v>
      </c>
      <c r="C823" s="17">
        <v>-0.85109999999999997</v>
      </c>
      <c r="D823" s="17">
        <v>3.5099999999999999E-2</v>
      </c>
      <c r="E823" s="11">
        <f t="shared" si="36"/>
        <v>3.2099999999999997E-2</v>
      </c>
      <c r="F823" s="11">
        <f t="shared" si="37"/>
        <v>0.11127046719940081</v>
      </c>
      <c r="G823" s="13">
        <f t="shared" si="38"/>
        <v>-0.96237046719940078</v>
      </c>
    </row>
    <row r="824" spans="1:7" x14ac:dyDescent="0.25">
      <c r="A824" s="15" t="s">
        <v>34</v>
      </c>
      <c r="B824" s="16">
        <v>41765</v>
      </c>
      <c r="C824" s="17">
        <v>0.85109999999999997</v>
      </c>
      <c r="D824" s="17">
        <v>0.47189999999999999</v>
      </c>
      <c r="E824" s="11">
        <f t="shared" si="36"/>
        <v>0.46889999999999998</v>
      </c>
      <c r="F824" s="11">
        <f t="shared" si="37"/>
        <v>0.59663791391778764</v>
      </c>
      <c r="G824" s="13">
        <f t="shared" si="38"/>
        <v>0.25446208608221232</v>
      </c>
    </row>
    <row r="825" spans="1:7" x14ac:dyDescent="0.25">
      <c r="A825" s="15" t="s">
        <v>34</v>
      </c>
      <c r="B825" s="16">
        <v>41766</v>
      </c>
      <c r="C825" s="17">
        <v>0.42280000000000001</v>
      </c>
      <c r="D825" s="17">
        <v>-0.21529999999999999</v>
      </c>
      <c r="E825" s="11">
        <f t="shared" si="36"/>
        <v>-0.21829999999999999</v>
      </c>
      <c r="F825" s="11">
        <f t="shared" si="37"/>
        <v>-0.16697131086443628</v>
      </c>
      <c r="G825" s="13">
        <f t="shared" si="38"/>
        <v>0.58977131086443624</v>
      </c>
    </row>
    <row r="826" spans="1:7" x14ac:dyDescent="0.25">
      <c r="A826" s="15" t="s">
        <v>34</v>
      </c>
      <c r="B826" s="16">
        <v>41767</v>
      </c>
      <c r="C826" s="17">
        <v>0.84030000000000005</v>
      </c>
      <c r="D826" s="17">
        <v>0.42280000000000001</v>
      </c>
      <c r="E826" s="11">
        <f t="shared" si="36"/>
        <v>0.41980000000000001</v>
      </c>
      <c r="F826" s="11">
        <f t="shared" si="37"/>
        <v>0.54207852373034993</v>
      </c>
      <c r="G826" s="13">
        <f t="shared" si="38"/>
        <v>0.29822147626965012</v>
      </c>
    </row>
    <row r="827" spans="1:7" x14ac:dyDescent="0.25">
      <c r="A827" s="15" t="s">
        <v>34</v>
      </c>
      <c r="B827" s="16">
        <v>41768</v>
      </c>
      <c r="C827" s="17">
        <v>0.41749999999999998</v>
      </c>
      <c r="D827" s="17">
        <v>-0.46250000000000002</v>
      </c>
      <c r="E827" s="11">
        <f t="shared" si="36"/>
        <v>-0.46550000000000002</v>
      </c>
      <c r="F827" s="11">
        <f t="shared" si="37"/>
        <v>-0.44165728345780908</v>
      </c>
      <c r="G827" s="13">
        <f t="shared" si="38"/>
        <v>0.85915728345780906</v>
      </c>
    </row>
    <row r="828" spans="1:7" x14ac:dyDescent="0.25">
      <c r="A828" s="15" t="s">
        <v>34</v>
      </c>
      <c r="B828" s="16">
        <v>41771</v>
      </c>
      <c r="C828" s="17">
        <v>-1.2579</v>
      </c>
      <c r="D828" s="17">
        <v>-0.9163</v>
      </c>
      <c r="E828" s="11">
        <f t="shared" si="36"/>
        <v>-0.91930000000000001</v>
      </c>
      <c r="F828" s="11">
        <f t="shared" si="37"/>
        <v>-0.94591494673803789</v>
      </c>
      <c r="G828" s="13">
        <f t="shared" si="38"/>
        <v>-0.31198505326196213</v>
      </c>
    </row>
    <row r="829" spans="1:7" x14ac:dyDescent="0.25">
      <c r="A829" s="15" t="s">
        <v>34</v>
      </c>
      <c r="B829" s="16">
        <v>41772</v>
      </c>
      <c r="C829" s="17">
        <v>1.6737</v>
      </c>
      <c r="D829" s="17">
        <v>0.10589999999999999</v>
      </c>
      <c r="E829" s="11">
        <f t="shared" si="36"/>
        <v>0.10289999999999999</v>
      </c>
      <c r="F829" s="11">
        <f t="shared" si="37"/>
        <v>0.18994266323342507</v>
      </c>
      <c r="G829" s="13">
        <f t="shared" si="38"/>
        <v>1.4837573367665748</v>
      </c>
    </row>
    <row r="830" spans="1:7" x14ac:dyDescent="0.25">
      <c r="A830" s="15" t="s">
        <v>34</v>
      </c>
      <c r="B830" s="16">
        <v>41773</v>
      </c>
      <c r="C830" s="17">
        <v>1.2371000000000001</v>
      </c>
      <c r="D830" s="17">
        <v>0.64680000000000004</v>
      </c>
      <c r="E830" s="11">
        <f t="shared" si="36"/>
        <v>0.64380000000000004</v>
      </c>
      <c r="F830" s="11">
        <f t="shared" si="37"/>
        <v>0.79098490666285604</v>
      </c>
      <c r="G830" s="13">
        <f t="shared" si="38"/>
        <v>0.44611509333714405</v>
      </c>
    </row>
    <row r="831" spans="1:7" x14ac:dyDescent="0.25">
      <c r="A831" s="15" t="s">
        <v>34</v>
      </c>
      <c r="B831" s="16">
        <v>41774</v>
      </c>
      <c r="C831" s="17">
        <v>0</v>
      </c>
      <c r="D831" s="17">
        <v>6.1800000000000001E-2</v>
      </c>
      <c r="E831" s="11">
        <f t="shared" si="36"/>
        <v>5.8799999999999998E-2</v>
      </c>
      <c r="F831" s="11">
        <f t="shared" si="37"/>
        <v>0.14093921909358792</v>
      </c>
      <c r="G831" s="13">
        <f t="shared" si="38"/>
        <v>-0.14093921909358792</v>
      </c>
    </row>
    <row r="832" spans="1:7" x14ac:dyDescent="0.25">
      <c r="A832" s="15" t="s">
        <v>34</v>
      </c>
      <c r="B832" s="16">
        <v>41775</v>
      </c>
      <c r="C832" s="17">
        <v>0</v>
      </c>
      <c r="D832" s="17">
        <v>8.7800000000000003E-2</v>
      </c>
      <c r="E832" s="11">
        <f t="shared" si="36"/>
        <v>8.48E-2</v>
      </c>
      <c r="F832" s="11">
        <f t="shared" si="37"/>
        <v>0.16983013854111095</v>
      </c>
      <c r="G832" s="13">
        <f t="shared" si="38"/>
        <v>-0.16983013854111095</v>
      </c>
    </row>
    <row r="833" spans="1:7" x14ac:dyDescent="0.25">
      <c r="A833" s="15" t="s">
        <v>34</v>
      </c>
      <c r="B833" s="16">
        <v>41778</v>
      </c>
      <c r="C833" s="17">
        <v>-0.82299999999999995</v>
      </c>
      <c r="D833" s="17">
        <v>0.12870000000000001</v>
      </c>
      <c r="E833" s="11">
        <f t="shared" si="36"/>
        <v>0.12570000000000001</v>
      </c>
      <c r="F833" s="11">
        <f t="shared" si="37"/>
        <v>0.21527777721048375</v>
      </c>
      <c r="G833" s="13">
        <f t="shared" si="38"/>
        <v>-1.0382777772104836</v>
      </c>
    </row>
    <row r="834" spans="1:7" x14ac:dyDescent="0.25">
      <c r="A834" s="15" t="s">
        <v>34</v>
      </c>
      <c r="B834" s="16">
        <v>41779</v>
      </c>
      <c r="C834" s="17">
        <v>0</v>
      </c>
      <c r="D834" s="17">
        <v>-0.13619999999999999</v>
      </c>
      <c r="E834" s="11">
        <f t="shared" si="36"/>
        <v>-0.13919999999999999</v>
      </c>
      <c r="F834" s="11">
        <f t="shared" si="37"/>
        <v>-7.9076244391395087E-2</v>
      </c>
      <c r="G834" s="13">
        <f t="shared" si="38"/>
        <v>7.9076244391395087E-2</v>
      </c>
    </row>
    <row r="835" spans="1:7" x14ac:dyDescent="0.25">
      <c r="A835" s="15" t="s">
        <v>34</v>
      </c>
      <c r="B835" s="16">
        <v>41780</v>
      </c>
      <c r="C835" s="17">
        <v>-0.41410000000000002</v>
      </c>
      <c r="D835" s="17">
        <v>-0.28589999999999999</v>
      </c>
      <c r="E835" s="11">
        <f t="shared" ref="E835:E898" si="39">D835-$K$1</f>
        <v>-0.28889999999999999</v>
      </c>
      <c r="F835" s="11">
        <f t="shared" ref="F835:F898" si="40">K$2+K$3*E835</f>
        <v>-0.24542126905655653</v>
      </c>
      <c r="G835" s="13">
        <f t="shared" ref="G835:G898" si="41">C835-F835</f>
        <v>-0.16867873094344349</v>
      </c>
    </row>
    <row r="836" spans="1:7" x14ac:dyDescent="0.25">
      <c r="A836" s="15" t="s">
        <v>34</v>
      </c>
      <c r="B836" s="16">
        <v>41781</v>
      </c>
      <c r="C836" s="17">
        <v>1.2371000000000001</v>
      </c>
      <c r="D836" s="17">
        <v>1.2024999999999999</v>
      </c>
      <c r="E836" s="11">
        <f t="shared" si="39"/>
        <v>1.1995</v>
      </c>
      <c r="F836" s="11">
        <f t="shared" si="40"/>
        <v>1.4084727503931846</v>
      </c>
      <c r="G836" s="13">
        <f t="shared" si="41"/>
        <v>-0.17137275039318456</v>
      </c>
    </row>
    <row r="837" spans="1:7" x14ac:dyDescent="0.25">
      <c r="A837" s="15" t="s">
        <v>34</v>
      </c>
      <c r="B837" s="16">
        <v>41782</v>
      </c>
      <c r="C837" s="17">
        <v>0</v>
      </c>
      <c r="D837" s="17">
        <v>0.42930000000000001</v>
      </c>
      <c r="E837" s="11">
        <f t="shared" si="39"/>
        <v>0.42630000000000001</v>
      </c>
      <c r="F837" s="11">
        <f t="shared" si="40"/>
        <v>0.5493012535922307</v>
      </c>
      <c r="G837" s="13">
        <f t="shared" si="41"/>
        <v>-0.5493012535922307</v>
      </c>
    </row>
    <row r="838" spans="1:7" x14ac:dyDescent="0.25">
      <c r="A838" s="15" t="s">
        <v>34</v>
      </c>
      <c r="B838" s="16">
        <v>41785</v>
      </c>
      <c r="C838" s="17">
        <v>0.81630000000000003</v>
      </c>
      <c r="D838" s="17">
        <v>0.30919999999999997</v>
      </c>
      <c r="E838" s="11">
        <f t="shared" si="39"/>
        <v>0.30619999999999997</v>
      </c>
      <c r="F838" s="11">
        <f t="shared" si="40"/>
        <v>0.41584742952886466</v>
      </c>
      <c r="G838" s="13">
        <f t="shared" si="41"/>
        <v>0.40045257047113536</v>
      </c>
    </row>
    <row r="839" spans="1:7" x14ac:dyDescent="0.25">
      <c r="A839" s="15" t="s">
        <v>34</v>
      </c>
      <c r="B839" s="16">
        <v>41786</v>
      </c>
      <c r="C839" s="17">
        <v>0.40570000000000001</v>
      </c>
      <c r="D839" s="17">
        <v>0.21190000000000001</v>
      </c>
      <c r="E839" s="11">
        <f t="shared" si="39"/>
        <v>0.2089</v>
      </c>
      <c r="F839" s="11">
        <f t="shared" si="40"/>
        <v>0.30772871944255742</v>
      </c>
      <c r="G839" s="13">
        <f t="shared" si="41"/>
        <v>9.7971280557442586E-2</v>
      </c>
    </row>
    <row r="840" spans="1:7" x14ac:dyDescent="0.25">
      <c r="A840" s="15" t="s">
        <v>34</v>
      </c>
      <c r="B840" s="16">
        <v>41787</v>
      </c>
      <c r="C840" s="17">
        <v>0.40400000000000003</v>
      </c>
      <c r="D840" s="17">
        <v>0.73080000000000001</v>
      </c>
      <c r="E840" s="11">
        <f t="shared" si="39"/>
        <v>0.7278</v>
      </c>
      <c r="F840" s="11">
        <f t="shared" si="40"/>
        <v>0.88432480026254578</v>
      </c>
      <c r="G840" s="13">
        <f t="shared" si="41"/>
        <v>-0.48032480026254576</v>
      </c>
    </row>
    <row r="841" spans="1:7" x14ac:dyDescent="0.25">
      <c r="A841" s="15" t="s">
        <v>34</v>
      </c>
      <c r="B841" s="16">
        <v>41788</v>
      </c>
      <c r="C841" s="17">
        <v>-1.6261000000000001</v>
      </c>
      <c r="D841" s="17">
        <v>-0.1394</v>
      </c>
      <c r="E841" s="11">
        <f t="shared" si="39"/>
        <v>-0.1424</v>
      </c>
      <c r="F841" s="11">
        <f t="shared" si="40"/>
        <v>-8.2632049861859472E-2</v>
      </c>
      <c r="G841" s="13">
        <f t="shared" si="41"/>
        <v>-1.5434679501381405</v>
      </c>
    </row>
    <row r="842" spans="1:7" x14ac:dyDescent="0.25">
      <c r="A842" s="15" t="s">
        <v>34</v>
      </c>
      <c r="B842" s="16">
        <v>41789</v>
      </c>
      <c r="C842" s="17">
        <v>-2.0705</v>
      </c>
      <c r="D842" s="17">
        <v>-0.3639</v>
      </c>
      <c r="E842" s="11">
        <f t="shared" si="39"/>
        <v>-0.3669</v>
      </c>
      <c r="F842" s="11">
        <f t="shared" si="40"/>
        <v>-0.33209402739912564</v>
      </c>
      <c r="G842" s="13">
        <f t="shared" si="41"/>
        <v>-1.7384059726008743</v>
      </c>
    </row>
    <row r="843" spans="1:7" x14ac:dyDescent="0.25">
      <c r="A843" s="15" t="s">
        <v>34</v>
      </c>
      <c r="B843" s="16">
        <v>41793</v>
      </c>
      <c r="C843" s="17">
        <v>2.4794999999999998</v>
      </c>
      <c r="D843" s="17">
        <v>0.52249999999999996</v>
      </c>
      <c r="E843" s="11">
        <f t="shared" si="39"/>
        <v>0.51949999999999996</v>
      </c>
      <c r="F843" s="11">
        <f t="shared" si="40"/>
        <v>0.65286408791950545</v>
      </c>
      <c r="G843" s="13">
        <f t="shared" si="41"/>
        <v>1.8266359120804943</v>
      </c>
    </row>
    <row r="844" spans="1:7" x14ac:dyDescent="0.25">
      <c r="A844" s="15" t="s">
        <v>34</v>
      </c>
      <c r="B844" s="16">
        <v>41794</v>
      </c>
      <c r="C844" s="17">
        <v>0.81299999999999994</v>
      </c>
      <c r="D844" s="17">
        <v>-3.8399999999999997E-2</v>
      </c>
      <c r="E844" s="11">
        <f t="shared" si="39"/>
        <v>-4.1399999999999999E-2</v>
      </c>
      <c r="F844" s="11">
        <f t="shared" si="40"/>
        <v>2.9598060299672269E-2</v>
      </c>
      <c r="G844" s="13">
        <f t="shared" si="41"/>
        <v>0.78340193970032768</v>
      </c>
    </row>
    <row r="845" spans="1:7" x14ac:dyDescent="0.25">
      <c r="A845" s="15" t="s">
        <v>34</v>
      </c>
      <c r="B845" s="16">
        <v>41795</v>
      </c>
      <c r="C845" s="17">
        <v>-0.40570000000000001</v>
      </c>
      <c r="D845" s="17">
        <v>0.22739999999999999</v>
      </c>
      <c r="E845" s="11">
        <f t="shared" si="39"/>
        <v>0.22439999999999999</v>
      </c>
      <c r="F845" s="11">
        <f t="shared" si="40"/>
        <v>0.32495215219011919</v>
      </c>
      <c r="G845" s="13">
        <f t="shared" si="41"/>
        <v>-0.73065215219011925</v>
      </c>
    </row>
    <row r="846" spans="1:7" x14ac:dyDescent="0.25">
      <c r="A846" s="15" t="s">
        <v>34</v>
      </c>
      <c r="B846" s="16">
        <v>41796</v>
      </c>
      <c r="C846" s="17">
        <v>-0.4073</v>
      </c>
      <c r="D846" s="17">
        <v>-6.8500000000000005E-2</v>
      </c>
      <c r="E846" s="11">
        <f t="shared" si="39"/>
        <v>-7.1500000000000008E-2</v>
      </c>
      <c r="F846" s="11">
        <f t="shared" si="40"/>
        <v>-3.8487349068832416E-3</v>
      </c>
      <c r="G846" s="13">
        <f t="shared" si="41"/>
        <v>-0.40345126509311674</v>
      </c>
    </row>
    <row r="847" spans="1:7" x14ac:dyDescent="0.25">
      <c r="A847" s="15" t="s">
        <v>34</v>
      </c>
      <c r="B847" s="16">
        <v>41799</v>
      </c>
      <c r="C847" s="17">
        <v>0.4073</v>
      </c>
      <c r="D847" s="17">
        <v>0.30909999999999999</v>
      </c>
      <c r="E847" s="11">
        <f t="shared" si="39"/>
        <v>0.30609999999999998</v>
      </c>
      <c r="F847" s="11">
        <f t="shared" si="40"/>
        <v>0.41573631060791266</v>
      </c>
      <c r="G847" s="13">
        <f t="shared" si="41"/>
        <v>-8.4363106079126671E-3</v>
      </c>
    </row>
    <row r="848" spans="1:7" x14ac:dyDescent="0.25">
      <c r="A848" s="15" t="s">
        <v>34</v>
      </c>
      <c r="B848" s="16">
        <v>41800</v>
      </c>
      <c r="C848" s="17">
        <v>1.2121</v>
      </c>
      <c r="D848" s="17">
        <v>0.64870000000000005</v>
      </c>
      <c r="E848" s="11">
        <f t="shared" si="39"/>
        <v>0.64570000000000005</v>
      </c>
      <c r="F848" s="11">
        <f t="shared" si="40"/>
        <v>0.79309616616094425</v>
      </c>
      <c r="G848" s="13">
        <f t="shared" si="41"/>
        <v>0.41900383383905571</v>
      </c>
    </row>
    <row r="849" spans="1:7" x14ac:dyDescent="0.25">
      <c r="A849" s="15" t="s">
        <v>34</v>
      </c>
      <c r="B849" s="16">
        <v>41801</v>
      </c>
      <c r="C849" s="17">
        <v>0.40079999999999999</v>
      </c>
      <c r="D849" s="17">
        <v>8.0500000000000002E-2</v>
      </c>
      <c r="E849" s="11">
        <f t="shared" si="39"/>
        <v>7.7499999999999999E-2</v>
      </c>
      <c r="F849" s="11">
        <f t="shared" si="40"/>
        <v>0.16171845731161411</v>
      </c>
      <c r="G849" s="13">
        <f t="shared" si="41"/>
        <v>0.23908154268838588</v>
      </c>
    </row>
    <row r="850" spans="1:7" x14ac:dyDescent="0.25">
      <c r="A850" s="15" t="s">
        <v>34</v>
      </c>
      <c r="B850" s="16">
        <v>41802</v>
      </c>
      <c r="C850" s="17">
        <v>-1.2073</v>
      </c>
      <c r="D850" s="17">
        <v>-0.27289999999999998</v>
      </c>
      <c r="E850" s="11">
        <f t="shared" si="39"/>
        <v>-0.27589999999999998</v>
      </c>
      <c r="F850" s="11">
        <f t="shared" si="40"/>
        <v>-0.23097580933279499</v>
      </c>
      <c r="G850" s="13">
        <f t="shared" si="41"/>
        <v>-0.97632419066720511</v>
      </c>
    </row>
    <row r="851" spans="1:7" x14ac:dyDescent="0.25">
      <c r="A851" s="15" t="s">
        <v>34</v>
      </c>
      <c r="B851" s="16">
        <v>41803</v>
      </c>
      <c r="C851" s="17">
        <v>-0.40570000000000001</v>
      </c>
      <c r="D851" s="17">
        <v>-8.9800000000000005E-2</v>
      </c>
      <c r="E851" s="11">
        <f t="shared" si="39"/>
        <v>-9.2800000000000007E-2</v>
      </c>
      <c r="F851" s="11">
        <f t="shared" si="40"/>
        <v>-2.7517065069661714E-2</v>
      </c>
      <c r="G851" s="13">
        <f t="shared" si="41"/>
        <v>-0.37818293493033828</v>
      </c>
    </row>
    <row r="852" spans="1:7" x14ac:dyDescent="0.25">
      <c r="A852" s="15" t="s">
        <v>34</v>
      </c>
      <c r="B852" s="16">
        <v>41806</v>
      </c>
      <c r="C852" s="17">
        <v>0.80969999999999998</v>
      </c>
      <c r="D852" s="17">
        <v>7.1099999999999997E-2</v>
      </c>
      <c r="E852" s="11">
        <f t="shared" si="39"/>
        <v>6.8099999999999994E-2</v>
      </c>
      <c r="F852" s="11">
        <f t="shared" si="40"/>
        <v>0.15127327874212498</v>
      </c>
      <c r="G852" s="13">
        <f t="shared" si="41"/>
        <v>0.65842672125787494</v>
      </c>
    </row>
    <row r="853" spans="1:7" x14ac:dyDescent="0.25">
      <c r="A853" s="15" t="s">
        <v>34</v>
      </c>
      <c r="B853" s="16">
        <v>41807</v>
      </c>
      <c r="C853" s="17">
        <v>0.80320000000000003</v>
      </c>
      <c r="D853" s="17">
        <v>0.40849999999999997</v>
      </c>
      <c r="E853" s="11">
        <f t="shared" si="39"/>
        <v>0.40549999999999997</v>
      </c>
      <c r="F853" s="11">
        <f t="shared" si="40"/>
        <v>0.52618851803421229</v>
      </c>
      <c r="G853" s="13">
        <f t="shared" si="41"/>
        <v>0.27701148196578773</v>
      </c>
    </row>
    <row r="854" spans="1:7" x14ac:dyDescent="0.25">
      <c r="A854" s="15" t="s">
        <v>34</v>
      </c>
      <c r="B854" s="16">
        <v>41808</v>
      </c>
      <c r="C854" s="17">
        <v>0.3992</v>
      </c>
      <c r="D854" s="17">
        <v>0.42470000000000002</v>
      </c>
      <c r="E854" s="11">
        <f t="shared" si="39"/>
        <v>0.42170000000000002</v>
      </c>
      <c r="F854" s="11">
        <f t="shared" si="40"/>
        <v>0.54418978322843814</v>
      </c>
      <c r="G854" s="13">
        <f t="shared" si="41"/>
        <v>-0.14498978322843814</v>
      </c>
    </row>
    <row r="855" spans="1:7" x14ac:dyDescent="0.25">
      <c r="A855" s="15" t="s">
        <v>34</v>
      </c>
      <c r="B855" s="16">
        <v>41809</v>
      </c>
      <c r="C855" s="17">
        <v>0.39760000000000001</v>
      </c>
      <c r="D855" s="17">
        <v>0.39660000000000001</v>
      </c>
      <c r="E855" s="11">
        <f t="shared" si="39"/>
        <v>0.39360000000000001</v>
      </c>
      <c r="F855" s="11">
        <f t="shared" si="40"/>
        <v>0.51296536644092294</v>
      </c>
      <c r="G855" s="13">
        <f t="shared" si="41"/>
        <v>-0.11536536644092293</v>
      </c>
    </row>
    <row r="856" spans="1:7" x14ac:dyDescent="0.25">
      <c r="A856" s="15" t="s">
        <v>34</v>
      </c>
      <c r="B856" s="16">
        <v>41810</v>
      </c>
      <c r="C856" s="17">
        <v>-1.1976</v>
      </c>
      <c r="D856" s="17">
        <v>-0.46279999999999999</v>
      </c>
      <c r="E856" s="11">
        <f t="shared" si="39"/>
        <v>-0.46579999999999999</v>
      </c>
      <c r="F856" s="11">
        <f t="shared" si="40"/>
        <v>-0.44199064022066514</v>
      </c>
      <c r="G856" s="13">
        <f t="shared" si="41"/>
        <v>-0.75560935977933485</v>
      </c>
    </row>
    <row r="857" spans="1:7" x14ac:dyDescent="0.25">
      <c r="A857" s="15" t="s">
        <v>34</v>
      </c>
      <c r="B857" s="16">
        <v>41813</v>
      </c>
      <c r="C857" s="17">
        <v>-1.2121</v>
      </c>
      <c r="D857" s="17">
        <v>-0.49120000000000003</v>
      </c>
      <c r="E857" s="11">
        <f t="shared" si="39"/>
        <v>-0.49420000000000003</v>
      </c>
      <c r="F857" s="11">
        <f t="shared" si="40"/>
        <v>-0.47354841377103651</v>
      </c>
      <c r="G857" s="13">
        <f t="shared" si="41"/>
        <v>-0.73855158622896344</v>
      </c>
    </row>
    <row r="858" spans="1:7" x14ac:dyDescent="0.25">
      <c r="A858" s="15" t="s">
        <v>34</v>
      </c>
      <c r="B858" s="16">
        <v>41814</v>
      </c>
      <c r="C858" s="17">
        <v>0</v>
      </c>
      <c r="D858" s="17">
        <v>0.19320000000000001</v>
      </c>
      <c r="E858" s="11">
        <f t="shared" si="39"/>
        <v>0.19020000000000001</v>
      </c>
      <c r="F858" s="11">
        <f t="shared" si="40"/>
        <v>0.28694948122453123</v>
      </c>
      <c r="G858" s="13">
        <f t="shared" si="41"/>
        <v>-0.28694948122453123</v>
      </c>
    </row>
    <row r="859" spans="1:7" x14ac:dyDescent="0.25">
      <c r="A859" s="15" t="s">
        <v>34</v>
      </c>
      <c r="B859" s="16">
        <v>41815</v>
      </c>
      <c r="C859" s="17">
        <v>0.40570000000000001</v>
      </c>
      <c r="D859" s="17">
        <v>-4.3700000000000003E-2</v>
      </c>
      <c r="E859" s="11">
        <f t="shared" si="39"/>
        <v>-4.6700000000000005E-2</v>
      </c>
      <c r="F859" s="11">
        <f t="shared" si="40"/>
        <v>2.3708757489215644E-2</v>
      </c>
      <c r="G859" s="13">
        <f t="shared" si="41"/>
        <v>0.38199124251078437</v>
      </c>
    </row>
    <row r="860" spans="1:7" x14ac:dyDescent="0.25">
      <c r="A860" s="15" t="s">
        <v>34</v>
      </c>
      <c r="B860" s="16">
        <v>41816</v>
      </c>
      <c r="C860" s="17">
        <v>0.80649999999999999</v>
      </c>
      <c r="D860" s="17">
        <v>0.8488</v>
      </c>
      <c r="E860" s="11">
        <f t="shared" si="39"/>
        <v>0.8458</v>
      </c>
      <c r="F860" s="11">
        <f t="shared" si="40"/>
        <v>1.0154451269859195</v>
      </c>
      <c r="G860" s="13">
        <f t="shared" si="41"/>
        <v>-0.20894512698591949</v>
      </c>
    </row>
    <row r="861" spans="1:7" x14ac:dyDescent="0.25">
      <c r="A861" s="15" t="s">
        <v>34</v>
      </c>
      <c r="B861" s="16">
        <v>41817</v>
      </c>
      <c r="C861" s="17">
        <v>0.8</v>
      </c>
      <c r="D861" s="17">
        <v>-0.1515</v>
      </c>
      <c r="E861" s="11">
        <f t="shared" si="39"/>
        <v>-0.1545</v>
      </c>
      <c r="F861" s="11">
        <f t="shared" si="40"/>
        <v>-9.6077439297052883E-2</v>
      </c>
      <c r="G861" s="13">
        <f t="shared" si="41"/>
        <v>0.89607743929705297</v>
      </c>
    </row>
    <row r="862" spans="1:7" x14ac:dyDescent="0.25">
      <c r="A862" s="15" t="s">
        <v>34</v>
      </c>
      <c r="B862" s="16">
        <v>41820</v>
      </c>
      <c r="C862" s="17">
        <v>0.79369999999999996</v>
      </c>
      <c r="D862" s="17">
        <v>0.9224</v>
      </c>
      <c r="E862" s="11">
        <f t="shared" si="39"/>
        <v>0.9194</v>
      </c>
      <c r="F862" s="11">
        <f t="shared" si="40"/>
        <v>1.0972286528066</v>
      </c>
      <c r="G862" s="13">
        <f t="shared" si="41"/>
        <v>-0.30352865280660002</v>
      </c>
    </row>
    <row r="863" spans="1:7" x14ac:dyDescent="0.25">
      <c r="A863" s="15" t="s">
        <v>34</v>
      </c>
      <c r="B863" s="16">
        <v>41821</v>
      </c>
      <c r="C863" s="17">
        <v>1.1788000000000001</v>
      </c>
      <c r="D863" s="17">
        <v>0.51870000000000005</v>
      </c>
      <c r="E863" s="11">
        <f t="shared" si="39"/>
        <v>0.51570000000000005</v>
      </c>
      <c r="F863" s="11">
        <f t="shared" si="40"/>
        <v>0.64864156892332914</v>
      </c>
      <c r="G863" s="13">
        <f t="shared" si="41"/>
        <v>0.53015843107667093</v>
      </c>
    </row>
    <row r="864" spans="1:7" x14ac:dyDescent="0.25">
      <c r="A864" s="15" t="s">
        <v>34</v>
      </c>
      <c r="B864" s="16">
        <v>41822</v>
      </c>
      <c r="C864" s="17">
        <v>3.4552</v>
      </c>
      <c r="D864" s="17">
        <v>0.45479999999999998</v>
      </c>
      <c r="E864" s="11">
        <f t="shared" si="39"/>
        <v>0.45179999999999998</v>
      </c>
      <c r="F864" s="11">
        <f t="shared" si="40"/>
        <v>0.57763657843499361</v>
      </c>
      <c r="G864" s="13">
        <f t="shared" si="41"/>
        <v>2.8775634215650063</v>
      </c>
    </row>
    <row r="865" spans="1:7" x14ac:dyDescent="0.25">
      <c r="A865" s="15" t="s">
        <v>34</v>
      </c>
      <c r="B865" s="16">
        <v>41823</v>
      </c>
      <c r="C865" s="17">
        <v>1.4982</v>
      </c>
      <c r="D865" s="17">
        <v>0.43419999999999997</v>
      </c>
      <c r="E865" s="11">
        <f t="shared" si="39"/>
        <v>0.43119999999999997</v>
      </c>
      <c r="F865" s="11">
        <f t="shared" si="40"/>
        <v>0.55474608071887921</v>
      </c>
      <c r="G865" s="13">
        <f t="shared" si="41"/>
        <v>0.94345391928112077</v>
      </c>
    </row>
    <row r="866" spans="1:7" x14ac:dyDescent="0.25">
      <c r="A866" s="15" t="s">
        <v>34</v>
      </c>
      <c r="B866" s="16">
        <v>41824</v>
      </c>
      <c r="C866" s="17">
        <v>0.37109999999999999</v>
      </c>
      <c r="D866" s="17">
        <v>-0.17</v>
      </c>
      <c r="E866" s="11">
        <f t="shared" si="39"/>
        <v>-0.17300000000000001</v>
      </c>
      <c r="F866" s="11">
        <f t="shared" si="40"/>
        <v>-0.11663443967317506</v>
      </c>
      <c r="G866" s="13">
        <f t="shared" si="41"/>
        <v>0.48773443967317504</v>
      </c>
    </row>
    <row r="867" spans="1:7" x14ac:dyDescent="0.25">
      <c r="A867" s="15" t="s">
        <v>34</v>
      </c>
      <c r="B867" s="16">
        <v>41827</v>
      </c>
      <c r="C867" s="17">
        <v>0.73799999999999999</v>
      </c>
      <c r="D867" s="17">
        <v>0.1067</v>
      </c>
      <c r="E867" s="11">
        <f t="shared" si="39"/>
        <v>0.1037</v>
      </c>
      <c r="F867" s="11">
        <f t="shared" si="40"/>
        <v>0.19083161460104114</v>
      </c>
      <c r="G867" s="13">
        <f t="shared" si="41"/>
        <v>0.54716838539895885</v>
      </c>
    </row>
    <row r="868" spans="1:7" x14ac:dyDescent="0.25">
      <c r="A868" s="15" t="s">
        <v>34</v>
      </c>
      <c r="B868" s="16">
        <v>41828</v>
      </c>
      <c r="C868" s="17">
        <v>-1.1091</v>
      </c>
      <c r="D868" s="17">
        <v>0.1132</v>
      </c>
      <c r="E868" s="11">
        <f t="shared" si="39"/>
        <v>0.11019999999999999</v>
      </c>
      <c r="F868" s="11">
        <f t="shared" si="40"/>
        <v>0.19805434446292192</v>
      </c>
      <c r="G868" s="13">
        <f t="shared" si="41"/>
        <v>-1.3071543444629219</v>
      </c>
    </row>
    <row r="869" spans="1:7" x14ac:dyDescent="0.25">
      <c r="A869" s="15" t="s">
        <v>34</v>
      </c>
      <c r="B869" s="16">
        <v>41829</v>
      </c>
      <c r="C869" s="17">
        <v>-0.37240000000000001</v>
      </c>
      <c r="D869" s="17">
        <v>-0.43109999999999998</v>
      </c>
      <c r="E869" s="11">
        <f t="shared" si="39"/>
        <v>-0.43409999999999999</v>
      </c>
      <c r="F869" s="11">
        <f t="shared" si="40"/>
        <v>-0.40676594227887741</v>
      </c>
      <c r="G869" s="13">
        <f t="shared" si="41"/>
        <v>3.4365942278877404E-2</v>
      </c>
    </row>
    <row r="870" spans="1:7" x14ac:dyDescent="0.25">
      <c r="A870" s="15" t="s">
        <v>34</v>
      </c>
      <c r="B870" s="16">
        <v>41830</v>
      </c>
      <c r="C870" s="17">
        <v>0.37240000000000001</v>
      </c>
      <c r="D870" s="17">
        <v>0.78869999999999996</v>
      </c>
      <c r="E870" s="11">
        <f t="shared" si="39"/>
        <v>0.78569999999999995</v>
      </c>
      <c r="F870" s="11">
        <f t="shared" si="40"/>
        <v>0.94866265549376039</v>
      </c>
      <c r="G870" s="13">
        <f t="shared" si="41"/>
        <v>-0.57626265549376043</v>
      </c>
    </row>
    <row r="871" spans="1:7" x14ac:dyDescent="0.25">
      <c r="A871" s="15" t="s">
        <v>34</v>
      </c>
      <c r="B871" s="16">
        <v>41831</v>
      </c>
      <c r="C871" s="17">
        <v>1.476</v>
      </c>
      <c r="D871" s="17">
        <v>-0.72689999999999999</v>
      </c>
      <c r="E871" s="11">
        <f t="shared" si="39"/>
        <v>-0.72989999999999999</v>
      </c>
      <c r="F871" s="11">
        <f t="shared" si="40"/>
        <v>-0.73545571045492786</v>
      </c>
      <c r="G871" s="13">
        <f t="shared" si="41"/>
        <v>2.2114557104549277</v>
      </c>
    </row>
    <row r="872" spans="1:7" x14ac:dyDescent="0.25">
      <c r="A872" s="15" t="s">
        <v>34</v>
      </c>
      <c r="B872" s="16">
        <v>41834</v>
      </c>
      <c r="C872" s="17">
        <v>-0.73540000000000005</v>
      </c>
      <c r="D872" s="17">
        <v>0.25729999999999997</v>
      </c>
      <c r="E872" s="11">
        <f t="shared" si="39"/>
        <v>0.25429999999999997</v>
      </c>
      <c r="F872" s="11">
        <f t="shared" si="40"/>
        <v>0.3581767095547706</v>
      </c>
      <c r="G872" s="13">
        <f t="shared" si="41"/>
        <v>-1.0935767095547706</v>
      </c>
    </row>
    <row r="873" spans="1:7" x14ac:dyDescent="0.25">
      <c r="A873" s="15" t="s">
        <v>34</v>
      </c>
      <c r="B873" s="16">
        <v>41835</v>
      </c>
      <c r="C873" s="17">
        <v>0.37659999999999999</v>
      </c>
      <c r="D873" s="17">
        <v>0.51200000000000001</v>
      </c>
      <c r="E873" s="11">
        <f t="shared" si="39"/>
        <v>0.50900000000000001</v>
      </c>
      <c r="F873" s="11">
        <f t="shared" si="40"/>
        <v>0.64119660121954425</v>
      </c>
      <c r="G873" s="13">
        <f t="shared" si="41"/>
        <v>-0.26459660121954426</v>
      </c>
    </row>
    <row r="874" spans="1:7" x14ac:dyDescent="0.25">
      <c r="A874" s="15" t="s">
        <v>34</v>
      </c>
      <c r="B874" s="16">
        <v>41836</v>
      </c>
      <c r="C874" s="17">
        <v>-1.8976</v>
      </c>
      <c r="D874" s="17">
        <v>-0.88629999999999998</v>
      </c>
      <c r="E874" s="11">
        <f t="shared" si="39"/>
        <v>-0.88929999999999998</v>
      </c>
      <c r="F874" s="11">
        <f t="shared" si="40"/>
        <v>-0.91257927045243437</v>
      </c>
      <c r="G874" s="13">
        <f t="shared" si="41"/>
        <v>-0.98502072954756559</v>
      </c>
    </row>
    <row r="875" spans="1:7" x14ac:dyDescent="0.25">
      <c r="A875" s="15" t="s">
        <v>34</v>
      </c>
      <c r="B875" s="16">
        <v>41837</v>
      </c>
      <c r="C875" s="17">
        <v>-4.7068000000000003</v>
      </c>
      <c r="D875" s="17">
        <v>-0.80969999999999998</v>
      </c>
      <c r="E875" s="11">
        <f t="shared" si="39"/>
        <v>-0.81269999999999998</v>
      </c>
      <c r="F875" s="11">
        <f t="shared" si="40"/>
        <v>-0.82746217700319347</v>
      </c>
      <c r="G875" s="13">
        <f t="shared" si="41"/>
        <v>-3.8793378229968067</v>
      </c>
    </row>
    <row r="876" spans="1:7" x14ac:dyDescent="0.25">
      <c r="A876" s="15" t="s">
        <v>34</v>
      </c>
      <c r="B876" s="16">
        <v>41838</v>
      </c>
      <c r="C876" s="17">
        <v>-0.80649999999999999</v>
      </c>
      <c r="D876" s="17">
        <v>-7.7299999999999994E-2</v>
      </c>
      <c r="E876" s="11">
        <f t="shared" si="39"/>
        <v>-8.0299999999999996E-2</v>
      </c>
      <c r="F876" s="11">
        <f t="shared" si="40"/>
        <v>-1.3627199950660251E-2</v>
      </c>
      <c r="G876" s="13">
        <f t="shared" si="41"/>
        <v>-0.79287280004933969</v>
      </c>
    </row>
    <row r="877" spans="1:7" x14ac:dyDescent="0.25">
      <c r="A877" s="15" t="s">
        <v>34</v>
      </c>
      <c r="B877" s="16">
        <v>41841</v>
      </c>
      <c r="C877" s="17">
        <v>0</v>
      </c>
      <c r="D877" s="17">
        <v>0.42459999999999998</v>
      </c>
      <c r="E877" s="11">
        <f t="shared" si="39"/>
        <v>0.42159999999999997</v>
      </c>
      <c r="F877" s="11">
        <f t="shared" si="40"/>
        <v>0.54407866430748608</v>
      </c>
      <c r="G877" s="13">
        <f t="shared" si="41"/>
        <v>-0.54407866430748608</v>
      </c>
    </row>
    <row r="878" spans="1:7" x14ac:dyDescent="0.25">
      <c r="A878" s="15" t="s">
        <v>34</v>
      </c>
      <c r="B878" s="16">
        <v>41842</v>
      </c>
      <c r="C878" s="17">
        <v>0.80649999999999999</v>
      </c>
      <c r="D878" s="17">
        <v>0.61660000000000004</v>
      </c>
      <c r="E878" s="11">
        <f t="shared" si="39"/>
        <v>0.61360000000000003</v>
      </c>
      <c r="F878" s="11">
        <f t="shared" si="40"/>
        <v>0.75742699253534851</v>
      </c>
      <c r="G878" s="13">
        <f t="shared" si="41"/>
        <v>4.9073007464651486E-2</v>
      </c>
    </row>
    <row r="879" spans="1:7" x14ac:dyDescent="0.25">
      <c r="A879" s="15" t="s">
        <v>34</v>
      </c>
      <c r="B879" s="16">
        <v>41844</v>
      </c>
      <c r="C879" s="17">
        <v>0.40079999999999999</v>
      </c>
      <c r="D879" s="17">
        <v>0.29620000000000002</v>
      </c>
      <c r="E879" s="11">
        <f t="shared" si="39"/>
        <v>0.29320000000000002</v>
      </c>
      <c r="F879" s="11">
        <f t="shared" si="40"/>
        <v>0.40140196980510323</v>
      </c>
      <c r="G879" s="13">
        <f t="shared" si="41"/>
        <v>-6.0196980510324183E-4</v>
      </c>
    </row>
    <row r="880" spans="1:7" x14ac:dyDescent="0.25">
      <c r="A880" s="15" t="s">
        <v>34</v>
      </c>
      <c r="B880" s="16">
        <v>41845</v>
      </c>
      <c r="C880" s="17">
        <v>-1.6129</v>
      </c>
      <c r="D880" s="17">
        <v>-0.93059999999999998</v>
      </c>
      <c r="E880" s="11">
        <f t="shared" si="39"/>
        <v>-0.93359999999999999</v>
      </c>
      <c r="F880" s="11">
        <f t="shared" si="40"/>
        <v>-0.96180495243417563</v>
      </c>
      <c r="G880" s="13">
        <f t="shared" si="41"/>
        <v>-0.65109504756582437</v>
      </c>
    </row>
    <row r="881" spans="1:7" x14ac:dyDescent="0.25">
      <c r="A881" s="15" t="s">
        <v>34</v>
      </c>
      <c r="B881" s="16">
        <v>41848</v>
      </c>
      <c r="C881" s="17">
        <v>-1.2270000000000001</v>
      </c>
      <c r="D881" s="17">
        <v>-0.20269999999999999</v>
      </c>
      <c r="E881" s="11">
        <f t="shared" si="39"/>
        <v>-0.20569999999999999</v>
      </c>
      <c r="F881" s="11">
        <f t="shared" si="40"/>
        <v>-0.15297032682448286</v>
      </c>
      <c r="G881" s="13">
        <f t="shared" si="41"/>
        <v>-1.0740296731755172</v>
      </c>
    </row>
    <row r="882" spans="1:7" x14ac:dyDescent="0.25">
      <c r="A882" s="15" t="s">
        <v>34</v>
      </c>
      <c r="B882" s="16">
        <v>41849</v>
      </c>
      <c r="C882" s="17">
        <v>2.0367000000000002</v>
      </c>
      <c r="D882" s="17">
        <v>-0.3009</v>
      </c>
      <c r="E882" s="11">
        <f t="shared" si="39"/>
        <v>-0.3039</v>
      </c>
      <c r="F882" s="11">
        <f t="shared" si="40"/>
        <v>-0.2620891071993583</v>
      </c>
      <c r="G882" s="13">
        <f t="shared" si="41"/>
        <v>2.2987891071993585</v>
      </c>
    </row>
    <row r="883" spans="1:7" x14ac:dyDescent="0.25">
      <c r="A883" s="15" t="s">
        <v>34</v>
      </c>
      <c r="B883" s="16">
        <v>41850</v>
      </c>
      <c r="C883" s="17">
        <v>0.40239999999999998</v>
      </c>
      <c r="D883" s="17">
        <v>0.58540000000000003</v>
      </c>
      <c r="E883" s="11">
        <f t="shared" si="39"/>
        <v>0.58240000000000003</v>
      </c>
      <c r="F883" s="11">
        <f t="shared" si="40"/>
        <v>0.72275788919832085</v>
      </c>
      <c r="G883" s="13">
        <f t="shared" si="41"/>
        <v>-0.32035788919832087</v>
      </c>
    </row>
    <row r="884" spans="1:7" x14ac:dyDescent="0.25">
      <c r="A884" s="15" t="s">
        <v>34</v>
      </c>
      <c r="B884" s="16">
        <v>41851</v>
      </c>
      <c r="C884" s="17">
        <v>-2.8515000000000001</v>
      </c>
      <c r="D884" s="17">
        <v>-1.3982000000000001</v>
      </c>
      <c r="E884" s="11">
        <f t="shared" si="39"/>
        <v>-1.4012</v>
      </c>
      <c r="F884" s="11">
        <f t="shared" si="40"/>
        <v>-1.4813970268057819</v>
      </c>
      <c r="G884" s="13">
        <f t="shared" si="41"/>
        <v>-1.3701029731942183</v>
      </c>
    </row>
    <row r="885" spans="1:7" x14ac:dyDescent="0.25">
      <c r="A885" s="15" t="s">
        <v>34</v>
      </c>
      <c r="B885" s="16">
        <v>41852</v>
      </c>
      <c r="C885" s="17">
        <v>-0.82989999999999997</v>
      </c>
      <c r="D885" s="17">
        <v>-0.53100000000000003</v>
      </c>
      <c r="E885" s="11">
        <f t="shared" si="39"/>
        <v>-0.53400000000000003</v>
      </c>
      <c r="F885" s="11">
        <f t="shared" si="40"/>
        <v>-0.51777374430993706</v>
      </c>
      <c r="G885" s="13">
        <f t="shared" si="41"/>
        <v>-0.31212625569006291</v>
      </c>
    </row>
    <row r="886" spans="1:7" x14ac:dyDescent="0.25">
      <c r="A886" s="15" t="s">
        <v>34</v>
      </c>
      <c r="B886" s="16">
        <v>41855</v>
      </c>
      <c r="C886" s="17">
        <v>2.8748999999999998</v>
      </c>
      <c r="D886" s="17">
        <v>0.68489999999999995</v>
      </c>
      <c r="E886" s="11">
        <f t="shared" si="39"/>
        <v>0.68189999999999995</v>
      </c>
      <c r="F886" s="11">
        <f t="shared" si="40"/>
        <v>0.83332121554557237</v>
      </c>
      <c r="G886" s="13">
        <f t="shared" si="41"/>
        <v>2.0415787844544275</v>
      </c>
    </row>
    <row r="887" spans="1:7" x14ac:dyDescent="0.25">
      <c r="A887" s="15" t="s">
        <v>34</v>
      </c>
      <c r="B887" s="16">
        <v>41856</v>
      </c>
      <c r="C887" s="17">
        <v>-3.2925</v>
      </c>
      <c r="D887" s="17">
        <v>-2.0436999999999999</v>
      </c>
      <c r="E887" s="11">
        <f t="shared" si="39"/>
        <v>-2.0467</v>
      </c>
      <c r="F887" s="11">
        <f t="shared" si="40"/>
        <v>-2.1986696615510168</v>
      </c>
      <c r="G887" s="13">
        <f t="shared" si="41"/>
        <v>-1.0938303384489831</v>
      </c>
    </row>
    <row r="888" spans="1:7" x14ac:dyDescent="0.25">
      <c r="A888" s="15" t="s">
        <v>34</v>
      </c>
      <c r="B888" s="16">
        <v>41857</v>
      </c>
      <c r="C888" s="17">
        <v>0.83330000000000004</v>
      </c>
      <c r="D888" s="17">
        <v>2.7699999999999999E-2</v>
      </c>
      <c r="E888" s="11">
        <f t="shared" si="39"/>
        <v>2.47E-2</v>
      </c>
      <c r="F888" s="11">
        <f t="shared" si="40"/>
        <v>0.10304766704895196</v>
      </c>
      <c r="G888" s="13">
        <f t="shared" si="41"/>
        <v>0.73025233295104808</v>
      </c>
    </row>
    <row r="889" spans="1:7" x14ac:dyDescent="0.25">
      <c r="A889" s="15" t="s">
        <v>34</v>
      </c>
      <c r="B889" s="16">
        <v>41858</v>
      </c>
      <c r="C889" s="17">
        <v>0.82650000000000001</v>
      </c>
      <c r="D889" s="17">
        <v>-0.1371</v>
      </c>
      <c r="E889" s="11">
        <f t="shared" si="39"/>
        <v>-0.1401</v>
      </c>
      <c r="F889" s="11">
        <f t="shared" si="40"/>
        <v>-8.007631467996322E-2</v>
      </c>
      <c r="G889" s="13">
        <f t="shared" si="41"/>
        <v>0.90657631467996325</v>
      </c>
    </row>
    <row r="890" spans="1:7" x14ac:dyDescent="0.25">
      <c r="A890" s="15" t="s">
        <v>34</v>
      </c>
      <c r="B890" s="16">
        <v>41859</v>
      </c>
      <c r="C890" s="17">
        <v>-0.82650000000000001</v>
      </c>
      <c r="D890" s="17">
        <v>-0.49930000000000002</v>
      </c>
      <c r="E890" s="11">
        <f t="shared" si="39"/>
        <v>-0.50229999999999997</v>
      </c>
      <c r="F890" s="11">
        <f t="shared" si="40"/>
        <v>-0.48254904636814933</v>
      </c>
      <c r="G890" s="13">
        <f t="shared" si="41"/>
        <v>-0.34395095363185069</v>
      </c>
    </row>
    <row r="891" spans="1:7" x14ac:dyDescent="0.25">
      <c r="A891" s="15" t="s">
        <v>34</v>
      </c>
      <c r="B891" s="16">
        <v>41862</v>
      </c>
      <c r="C891" s="17">
        <v>0</v>
      </c>
      <c r="D891" s="17">
        <v>0.95240000000000002</v>
      </c>
      <c r="E891" s="11">
        <f t="shared" si="39"/>
        <v>0.94940000000000002</v>
      </c>
      <c r="F891" s="11">
        <f t="shared" si="40"/>
        <v>1.1305643290922036</v>
      </c>
      <c r="G891" s="13">
        <f t="shared" si="41"/>
        <v>-1.1305643290922036</v>
      </c>
    </row>
    <row r="892" spans="1:7" x14ac:dyDescent="0.25">
      <c r="A892" s="15" t="s">
        <v>34</v>
      </c>
      <c r="B892" s="16">
        <v>41863</v>
      </c>
      <c r="C892" s="17">
        <v>0.82650000000000001</v>
      </c>
      <c r="D892" s="17">
        <v>-0.10680000000000001</v>
      </c>
      <c r="E892" s="11">
        <f t="shared" si="39"/>
        <v>-0.10980000000000001</v>
      </c>
      <c r="F892" s="11">
        <f t="shared" si="40"/>
        <v>-4.6407281631503691E-2</v>
      </c>
      <c r="G892" s="13">
        <f t="shared" si="41"/>
        <v>0.87290728163150366</v>
      </c>
    </row>
    <row r="893" spans="1:7" x14ac:dyDescent="0.25">
      <c r="A893" s="15" t="s">
        <v>34</v>
      </c>
      <c r="B893" s="16">
        <v>41864</v>
      </c>
      <c r="C893" s="17">
        <v>0.81969999999999998</v>
      </c>
      <c r="D893" s="17">
        <v>0.74139999999999995</v>
      </c>
      <c r="E893" s="11">
        <f t="shared" si="39"/>
        <v>0.73839999999999995</v>
      </c>
      <c r="F893" s="11">
        <f t="shared" si="40"/>
        <v>0.89610340588345894</v>
      </c>
      <c r="G893" s="13">
        <f t="shared" si="41"/>
        <v>-7.6403405883458952E-2</v>
      </c>
    </row>
    <row r="894" spans="1:7" x14ac:dyDescent="0.25">
      <c r="A894" s="15" t="s">
        <v>34</v>
      </c>
      <c r="B894" s="16">
        <v>41865</v>
      </c>
      <c r="C894" s="17">
        <v>1.2171000000000001</v>
      </c>
      <c r="D894" s="17">
        <v>-7.6E-3</v>
      </c>
      <c r="E894" s="11">
        <f t="shared" si="39"/>
        <v>-1.06E-2</v>
      </c>
      <c r="F894" s="11">
        <f t="shared" si="40"/>
        <v>6.3822687952891852E-2</v>
      </c>
      <c r="G894" s="13">
        <f t="shared" si="41"/>
        <v>1.1532773120471083</v>
      </c>
    </row>
    <row r="895" spans="1:7" x14ac:dyDescent="0.25">
      <c r="A895" s="15" t="s">
        <v>34</v>
      </c>
      <c r="B895" s="16">
        <v>41866</v>
      </c>
      <c r="C895" s="17">
        <v>0</v>
      </c>
      <c r="D895" s="17">
        <v>-0.25819999999999999</v>
      </c>
      <c r="E895" s="11">
        <f t="shared" si="39"/>
        <v>-0.26119999999999999</v>
      </c>
      <c r="F895" s="11">
        <f t="shared" si="40"/>
        <v>-0.21464132795284929</v>
      </c>
      <c r="G895" s="13">
        <f t="shared" si="41"/>
        <v>0.21464132795284929</v>
      </c>
    </row>
    <row r="896" spans="1:7" x14ac:dyDescent="0.25">
      <c r="A896" s="15" t="s">
        <v>34</v>
      </c>
      <c r="B896" s="16">
        <v>41869</v>
      </c>
      <c r="C896" s="17">
        <v>-0.80969999999999998</v>
      </c>
      <c r="D896" s="17">
        <v>-0.71399999999999997</v>
      </c>
      <c r="E896" s="11">
        <f t="shared" si="39"/>
        <v>-0.71699999999999997</v>
      </c>
      <c r="F896" s="11">
        <f t="shared" si="40"/>
        <v>-0.72112136965211837</v>
      </c>
      <c r="G896" s="13">
        <f t="shared" si="41"/>
        <v>-8.8578630347881604E-2</v>
      </c>
    </row>
    <row r="897" spans="1:7" x14ac:dyDescent="0.25">
      <c r="A897" s="15" t="s">
        <v>34</v>
      </c>
      <c r="B897" s="16">
        <v>41870</v>
      </c>
      <c r="C897" s="17">
        <v>0.80969999999999998</v>
      </c>
      <c r="D897" s="17">
        <v>1.1147</v>
      </c>
      <c r="E897" s="11">
        <f t="shared" si="39"/>
        <v>1.1117000000000001</v>
      </c>
      <c r="F897" s="11">
        <f t="shared" si="40"/>
        <v>1.3109103377973186</v>
      </c>
      <c r="G897" s="13">
        <f t="shared" si="41"/>
        <v>-0.50121033779731861</v>
      </c>
    </row>
    <row r="898" spans="1:7" x14ac:dyDescent="0.25">
      <c r="A898" s="15" t="s">
        <v>34</v>
      </c>
      <c r="B898" s="16">
        <v>41871</v>
      </c>
      <c r="C898" s="17">
        <v>1.2023999999999999</v>
      </c>
      <c r="D898" s="17">
        <v>0.4778</v>
      </c>
      <c r="E898" s="11">
        <f t="shared" si="39"/>
        <v>0.4748</v>
      </c>
      <c r="F898" s="11">
        <f t="shared" si="40"/>
        <v>0.60319393025395629</v>
      </c>
      <c r="G898" s="13">
        <f t="shared" si="41"/>
        <v>0.59920606974604362</v>
      </c>
    </row>
    <row r="899" spans="1:7" x14ac:dyDescent="0.25">
      <c r="A899" s="15" t="s">
        <v>34</v>
      </c>
      <c r="B899" s="16">
        <v>41872</v>
      </c>
      <c r="C899" s="17">
        <v>-0.8</v>
      </c>
      <c r="D899" s="17">
        <v>-0.374</v>
      </c>
      <c r="E899" s="11">
        <f t="shared" ref="E899:E962" si="42">D899-$K$1</f>
        <v>-0.377</v>
      </c>
      <c r="F899" s="11">
        <f t="shared" ref="F899:F962" si="43">K$2+K$3*E899</f>
        <v>-0.34331703841527877</v>
      </c>
      <c r="G899" s="13">
        <f t="shared" ref="G899:G962" si="44">C899-F899</f>
        <v>-0.45668296158472127</v>
      </c>
    </row>
    <row r="900" spans="1:7" x14ac:dyDescent="0.25">
      <c r="A900" s="15" t="s">
        <v>34</v>
      </c>
      <c r="B900" s="16">
        <v>41873</v>
      </c>
      <c r="C900" s="17">
        <v>0.8</v>
      </c>
      <c r="D900" s="17">
        <v>1.3602000000000001</v>
      </c>
      <c r="E900" s="11">
        <f t="shared" si="42"/>
        <v>1.3572000000000002</v>
      </c>
      <c r="F900" s="11">
        <f t="shared" si="43"/>
        <v>1.5837072887345072</v>
      </c>
      <c r="G900" s="13">
        <f t="shared" si="44"/>
        <v>-0.78370728873450712</v>
      </c>
    </row>
    <row r="901" spans="1:7" x14ac:dyDescent="0.25">
      <c r="A901" s="15" t="s">
        <v>34</v>
      </c>
      <c r="B901" s="16">
        <v>41876</v>
      </c>
      <c r="C901" s="17">
        <v>-0.3992</v>
      </c>
      <c r="D901" s="17">
        <v>0.11210000000000001</v>
      </c>
      <c r="E901" s="11">
        <f t="shared" si="42"/>
        <v>0.1091</v>
      </c>
      <c r="F901" s="11">
        <f t="shared" si="43"/>
        <v>0.19683203633244978</v>
      </c>
      <c r="G901" s="13">
        <f t="shared" si="44"/>
        <v>-0.59603203633244983</v>
      </c>
    </row>
    <row r="902" spans="1:7" x14ac:dyDescent="0.25">
      <c r="A902" s="15" t="s">
        <v>34</v>
      </c>
      <c r="B902" s="16">
        <v>41877</v>
      </c>
      <c r="C902" s="17">
        <v>-0.40079999999999999</v>
      </c>
      <c r="D902" s="17">
        <v>3.56E-2</v>
      </c>
      <c r="E902" s="11">
        <f t="shared" si="42"/>
        <v>3.2599999999999997E-2</v>
      </c>
      <c r="F902" s="11">
        <f t="shared" si="43"/>
        <v>0.11182606180416088</v>
      </c>
      <c r="G902" s="13">
        <f t="shared" si="44"/>
        <v>-0.51262606180416093</v>
      </c>
    </row>
    <row r="903" spans="1:7" x14ac:dyDescent="0.25">
      <c r="A903" s="15" t="s">
        <v>34</v>
      </c>
      <c r="B903" s="16">
        <v>41878</v>
      </c>
      <c r="C903" s="17">
        <v>0.8</v>
      </c>
      <c r="D903" s="17">
        <v>0.97070000000000001</v>
      </c>
      <c r="E903" s="11">
        <f t="shared" si="42"/>
        <v>0.9677</v>
      </c>
      <c r="F903" s="11">
        <f t="shared" si="43"/>
        <v>1.1508990916264217</v>
      </c>
      <c r="G903" s="13">
        <f t="shared" si="44"/>
        <v>-0.35089909162642163</v>
      </c>
    </row>
    <row r="904" spans="1:7" x14ac:dyDescent="0.25">
      <c r="A904" s="15" t="s">
        <v>34</v>
      </c>
      <c r="B904" s="16">
        <v>41879</v>
      </c>
      <c r="C904" s="17">
        <v>-0.3992</v>
      </c>
      <c r="D904" s="17">
        <v>-7.6100000000000001E-2</v>
      </c>
      <c r="E904" s="11">
        <f t="shared" si="42"/>
        <v>-7.9100000000000004E-2</v>
      </c>
      <c r="F904" s="11">
        <f t="shared" si="43"/>
        <v>-1.2293772899236124E-2</v>
      </c>
      <c r="G904" s="13">
        <f t="shared" si="44"/>
        <v>-0.38690622710076389</v>
      </c>
    </row>
    <row r="905" spans="1:7" x14ac:dyDescent="0.25">
      <c r="A905" s="15" t="s">
        <v>34</v>
      </c>
      <c r="B905" s="16">
        <v>41880</v>
      </c>
      <c r="C905" s="17">
        <v>-0.80320000000000003</v>
      </c>
      <c r="D905" s="17">
        <v>-0.44519999999999998</v>
      </c>
      <c r="E905" s="11">
        <f t="shared" si="42"/>
        <v>-0.44819999999999999</v>
      </c>
      <c r="F905" s="11">
        <f t="shared" si="43"/>
        <v>-0.42243371013311104</v>
      </c>
      <c r="G905" s="13">
        <f t="shared" si="44"/>
        <v>-0.38076628986688899</v>
      </c>
    </row>
    <row r="906" spans="1:7" x14ac:dyDescent="0.25">
      <c r="A906" s="15" t="s">
        <v>34</v>
      </c>
      <c r="B906" s="16">
        <v>41883</v>
      </c>
      <c r="C906" s="17">
        <v>3.5647000000000002</v>
      </c>
      <c r="D906" s="17">
        <v>0.8105</v>
      </c>
      <c r="E906" s="11">
        <f t="shared" si="42"/>
        <v>0.8075</v>
      </c>
      <c r="F906" s="11">
        <f t="shared" si="43"/>
        <v>0.97288658026129904</v>
      </c>
      <c r="G906" s="13">
        <f t="shared" si="44"/>
        <v>2.5918134197387013</v>
      </c>
    </row>
    <row r="907" spans="1:7" x14ac:dyDescent="0.25">
      <c r="A907" s="15" t="s">
        <v>34</v>
      </c>
      <c r="B907" s="16">
        <v>41884</v>
      </c>
      <c r="C907" s="17">
        <v>-1.9646999999999999</v>
      </c>
      <c r="D907" s="17">
        <v>-1.1986000000000001</v>
      </c>
      <c r="E907" s="11">
        <f t="shared" si="42"/>
        <v>-1.2016</v>
      </c>
      <c r="F907" s="11">
        <f t="shared" si="43"/>
        <v>-1.2596036605855667</v>
      </c>
      <c r="G907" s="13">
        <f t="shared" si="44"/>
        <v>-0.70509633941443317</v>
      </c>
    </row>
    <row r="908" spans="1:7" x14ac:dyDescent="0.25">
      <c r="A908" s="15" t="s">
        <v>34</v>
      </c>
      <c r="B908" s="16">
        <v>41885</v>
      </c>
      <c r="C908" s="17">
        <v>1.5748</v>
      </c>
      <c r="D908" s="17">
        <v>0.53720000000000001</v>
      </c>
      <c r="E908" s="11">
        <f t="shared" si="42"/>
        <v>0.53420000000000001</v>
      </c>
      <c r="F908" s="11">
        <f t="shared" si="43"/>
        <v>0.66919856929945121</v>
      </c>
      <c r="G908" s="13">
        <f t="shared" si="44"/>
        <v>0.90560143070054877</v>
      </c>
    </row>
    <row r="909" spans="1:7" x14ac:dyDescent="0.25">
      <c r="A909" s="15" t="s">
        <v>34</v>
      </c>
      <c r="B909" s="16">
        <v>41886</v>
      </c>
      <c r="C909" s="17">
        <v>-0.39140000000000003</v>
      </c>
      <c r="D909" s="17">
        <v>-0.2273</v>
      </c>
      <c r="E909" s="11">
        <f t="shared" si="42"/>
        <v>-0.2303</v>
      </c>
      <c r="F909" s="11">
        <f t="shared" si="43"/>
        <v>-0.18030558137867775</v>
      </c>
      <c r="G909" s="13">
        <f t="shared" si="44"/>
        <v>-0.21109441862132228</v>
      </c>
    </row>
    <row r="910" spans="1:7" x14ac:dyDescent="0.25">
      <c r="A910" s="15" t="s">
        <v>34</v>
      </c>
      <c r="B910" s="16">
        <v>41887</v>
      </c>
      <c r="C910" s="17">
        <v>-0.39290000000000003</v>
      </c>
      <c r="D910" s="17">
        <v>-0.22239999999999999</v>
      </c>
      <c r="E910" s="11">
        <f t="shared" si="42"/>
        <v>-0.22539999999999999</v>
      </c>
      <c r="F910" s="11">
        <f t="shared" si="43"/>
        <v>-0.17486075425202913</v>
      </c>
      <c r="G910" s="13">
        <f t="shared" si="44"/>
        <v>-0.2180392457479709</v>
      </c>
    </row>
    <row r="911" spans="1:7" x14ac:dyDescent="0.25">
      <c r="A911" s="15" t="s">
        <v>34</v>
      </c>
      <c r="B911" s="16">
        <v>41891</v>
      </c>
      <c r="C911" s="17">
        <v>0</v>
      </c>
      <c r="D911" s="17">
        <v>0.2848</v>
      </c>
      <c r="E911" s="11">
        <f t="shared" si="42"/>
        <v>0.28179999999999999</v>
      </c>
      <c r="F911" s="11">
        <f t="shared" si="43"/>
        <v>0.38873441281657384</v>
      </c>
      <c r="G911" s="13">
        <f t="shared" si="44"/>
        <v>-0.38873441281657384</v>
      </c>
    </row>
    <row r="912" spans="1:7" x14ac:dyDescent="0.25">
      <c r="A912" s="15" t="s">
        <v>34</v>
      </c>
      <c r="B912" s="16">
        <v>41892</v>
      </c>
      <c r="C912" s="17">
        <v>-1.5872999999999999</v>
      </c>
      <c r="D912" s="17">
        <v>-0.82120000000000004</v>
      </c>
      <c r="E912" s="11">
        <f t="shared" si="42"/>
        <v>-0.82420000000000004</v>
      </c>
      <c r="F912" s="11">
        <f t="shared" si="43"/>
        <v>-0.84024085291267492</v>
      </c>
      <c r="G912" s="13">
        <f t="shared" si="44"/>
        <v>-0.74705914708732502</v>
      </c>
    </row>
    <row r="913" spans="1:7" x14ac:dyDescent="0.25">
      <c r="A913" s="15" t="s">
        <v>34</v>
      </c>
      <c r="B913" s="16">
        <v>41893</v>
      </c>
      <c r="C913" s="17">
        <v>0</v>
      </c>
      <c r="D913" s="17">
        <v>-0.37109999999999999</v>
      </c>
      <c r="E913" s="11">
        <f t="shared" si="42"/>
        <v>-0.37409999999999999</v>
      </c>
      <c r="F913" s="11">
        <f t="shared" si="43"/>
        <v>-0.34009458970767042</v>
      </c>
      <c r="G913" s="13">
        <f t="shared" si="44"/>
        <v>0.34009458970767042</v>
      </c>
    </row>
    <row r="914" spans="1:7" x14ac:dyDescent="0.25">
      <c r="A914" s="15" t="s">
        <v>34</v>
      </c>
      <c r="B914" s="16">
        <v>41894</v>
      </c>
      <c r="C914" s="17">
        <v>-1.6129</v>
      </c>
      <c r="D914" s="17">
        <v>-1.0759000000000001</v>
      </c>
      <c r="E914" s="11">
        <f t="shared" si="42"/>
        <v>-1.0789</v>
      </c>
      <c r="F914" s="11">
        <f t="shared" si="43"/>
        <v>-1.1232607445774485</v>
      </c>
      <c r="G914" s="13">
        <f t="shared" si="44"/>
        <v>-0.48963925542255149</v>
      </c>
    </row>
    <row r="915" spans="1:7" x14ac:dyDescent="0.25">
      <c r="A915" s="15" t="s">
        <v>34</v>
      </c>
      <c r="B915" s="16">
        <v>41897</v>
      </c>
      <c r="C915" s="17">
        <v>0.40570000000000001</v>
      </c>
      <c r="D915" s="17">
        <v>-6.2E-2</v>
      </c>
      <c r="E915" s="11">
        <f t="shared" si="42"/>
        <v>-6.5000000000000002E-2</v>
      </c>
      <c r="F915" s="11">
        <f t="shared" si="43"/>
        <v>3.3739949549975168E-3</v>
      </c>
      <c r="G915" s="13">
        <f t="shared" si="44"/>
        <v>0.40232600504500249</v>
      </c>
    </row>
    <row r="916" spans="1:7" x14ac:dyDescent="0.25">
      <c r="A916" s="15" t="s">
        <v>34</v>
      </c>
      <c r="B916" s="16">
        <v>41898</v>
      </c>
      <c r="C916" s="17">
        <v>-0.81299999999999994</v>
      </c>
      <c r="D916" s="17">
        <v>-0.91610000000000003</v>
      </c>
      <c r="E916" s="11">
        <f t="shared" si="42"/>
        <v>-0.91910000000000003</v>
      </c>
      <c r="F916" s="11">
        <f t="shared" si="43"/>
        <v>-0.94569270889613399</v>
      </c>
      <c r="G916" s="13">
        <f t="shared" si="44"/>
        <v>0.13269270889613405</v>
      </c>
    </row>
    <row r="917" spans="1:7" x14ac:dyDescent="0.25">
      <c r="A917" s="15" t="s">
        <v>34</v>
      </c>
      <c r="B917" s="16">
        <v>41899</v>
      </c>
      <c r="C917" s="17">
        <v>1.6194999999999999</v>
      </c>
      <c r="D917" s="17">
        <v>0.67400000000000004</v>
      </c>
      <c r="E917" s="11">
        <f t="shared" si="42"/>
        <v>0.67100000000000004</v>
      </c>
      <c r="F917" s="11">
        <f t="shared" si="43"/>
        <v>0.82120925316180315</v>
      </c>
      <c r="G917" s="13">
        <f t="shared" si="44"/>
        <v>0.79829074683819679</v>
      </c>
    </row>
    <row r="918" spans="1:7" x14ac:dyDescent="0.25">
      <c r="A918" s="15" t="s">
        <v>34</v>
      </c>
      <c r="B918" s="16">
        <v>41900</v>
      </c>
      <c r="C918" s="17">
        <v>0.40079999999999999</v>
      </c>
      <c r="D918" s="17">
        <v>0.45419999999999999</v>
      </c>
      <c r="E918" s="11">
        <f t="shared" si="42"/>
        <v>0.45119999999999999</v>
      </c>
      <c r="F918" s="11">
        <f t="shared" si="43"/>
        <v>0.57696986490928159</v>
      </c>
      <c r="G918" s="13">
        <f t="shared" si="44"/>
        <v>-0.1761698649092816</v>
      </c>
    </row>
    <row r="919" spans="1:7" x14ac:dyDescent="0.25">
      <c r="A919" s="15" t="s">
        <v>34</v>
      </c>
      <c r="B919" s="16">
        <v>41901</v>
      </c>
      <c r="C919" s="17">
        <v>0</v>
      </c>
      <c r="D919" s="17">
        <v>3.6999999999999998E-2</v>
      </c>
      <c r="E919" s="11">
        <f t="shared" si="42"/>
        <v>3.3999999999999996E-2</v>
      </c>
      <c r="F919" s="11">
        <f t="shared" si="43"/>
        <v>0.11338172669748904</v>
      </c>
      <c r="G919" s="13">
        <f t="shared" si="44"/>
        <v>-0.11338172669748904</v>
      </c>
    </row>
    <row r="920" spans="1:7" x14ac:dyDescent="0.25">
      <c r="A920" s="15" t="s">
        <v>34</v>
      </c>
      <c r="B920" s="16">
        <v>41904</v>
      </c>
      <c r="C920" s="17">
        <v>-2.4293</v>
      </c>
      <c r="D920" s="17">
        <v>-1.1516</v>
      </c>
      <c r="E920" s="11">
        <f t="shared" si="42"/>
        <v>-1.1545999999999998</v>
      </c>
      <c r="F920" s="11">
        <f t="shared" si="43"/>
        <v>-1.207377767738121</v>
      </c>
      <c r="G920" s="13">
        <f t="shared" si="44"/>
        <v>-1.221922232261879</v>
      </c>
    </row>
    <row r="921" spans="1:7" x14ac:dyDescent="0.25">
      <c r="A921" s="15" t="s">
        <v>34</v>
      </c>
      <c r="B921" s="16">
        <v>41905</v>
      </c>
      <c r="C921" s="17">
        <v>0.40899999999999997</v>
      </c>
      <c r="D921" s="17">
        <v>-0.54610000000000003</v>
      </c>
      <c r="E921" s="11">
        <f t="shared" si="42"/>
        <v>-0.54910000000000003</v>
      </c>
      <c r="F921" s="11">
        <f t="shared" si="43"/>
        <v>-0.53455270137369082</v>
      </c>
      <c r="G921" s="13">
        <f t="shared" si="44"/>
        <v>0.94355270137369085</v>
      </c>
    </row>
    <row r="922" spans="1:7" x14ac:dyDescent="0.25">
      <c r="A922" s="15" t="s">
        <v>34</v>
      </c>
      <c r="B922" s="16">
        <v>41906</v>
      </c>
      <c r="C922" s="17">
        <v>0.4073</v>
      </c>
      <c r="D922" s="17">
        <v>0.14949999999999999</v>
      </c>
      <c r="E922" s="11">
        <f t="shared" si="42"/>
        <v>0.14649999999999999</v>
      </c>
      <c r="F922" s="11">
        <f t="shared" si="43"/>
        <v>0.23839051276850215</v>
      </c>
      <c r="G922" s="13">
        <f t="shared" si="44"/>
        <v>0.16890948723149785</v>
      </c>
    </row>
    <row r="923" spans="1:7" x14ac:dyDescent="0.25">
      <c r="A923" s="15" t="s">
        <v>34</v>
      </c>
      <c r="B923" s="16">
        <v>41907</v>
      </c>
      <c r="C923" s="17">
        <v>-0.81630000000000003</v>
      </c>
      <c r="D923" s="17">
        <v>-0.9597</v>
      </c>
      <c r="E923" s="11">
        <f t="shared" si="42"/>
        <v>-0.9627</v>
      </c>
      <c r="F923" s="11">
        <f t="shared" si="43"/>
        <v>-0.99414055843121085</v>
      </c>
      <c r="G923" s="13">
        <f t="shared" si="44"/>
        <v>0.17784055843121083</v>
      </c>
    </row>
    <row r="924" spans="1:7" x14ac:dyDescent="0.25">
      <c r="A924" s="15" t="s">
        <v>34</v>
      </c>
      <c r="B924" s="16">
        <v>41908</v>
      </c>
      <c r="C924" s="17">
        <v>-0.82299999999999995</v>
      </c>
      <c r="D924" s="17">
        <v>-0.2419</v>
      </c>
      <c r="E924" s="11">
        <f t="shared" si="42"/>
        <v>-0.24490000000000001</v>
      </c>
      <c r="F924" s="11">
        <f t="shared" si="43"/>
        <v>-0.19652894383767144</v>
      </c>
      <c r="G924" s="13">
        <f t="shared" si="44"/>
        <v>-0.62647105616232857</v>
      </c>
    </row>
    <row r="925" spans="1:7" x14ac:dyDescent="0.25">
      <c r="A925" s="15" t="s">
        <v>34</v>
      </c>
      <c r="B925" s="16">
        <v>41911</v>
      </c>
      <c r="C925" s="17">
        <v>-0.41410000000000002</v>
      </c>
      <c r="D925" s="17">
        <v>-0.32379999999999998</v>
      </c>
      <c r="E925" s="11">
        <f t="shared" si="42"/>
        <v>-0.32679999999999998</v>
      </c>
      <c r="F925" s="11">
        <f t="shared" si="43"/>
        <v>-0.28753534009736892</v>
      </c>
      <c r="G925" s="13">
        <f t="shared" si="44"/>
        <v>-0.1265646599026311</v>
      </c>
    </row>
    <row r="926" spans="1:7" x14ac:dyDescent="0.25">
      <c r="A926" s="15" t="s">
        <v>34</v>
      </c>
      <c r="B926" s="16">
        <v>41912</v>
      </c>
      <c r="C926" s="17">
        <v>-0.4158</v>
      </c>
      <c r="D926" s="17">
        <v>6.8699999999999997E-2</v>
      </c>
      <c r="E926" s="11">
        <f t="shared" si="42"/>
        <v>6.5699999999999995E-2</v>
      </c>
      <c r="F926" s="11">
        <f t="shared" si="43"/>
        <v>0.14860642463927673</v>
      </c>
      <c r="G926" s="13">
        <f t="shared" si="44"/>
        <v>-0.5644064246392767</v>
      </c>
    </row>
    <row r="927" spans="1:7" x14ac:dyDescent="0.25">
      <c r="A927" s="15" t="s">
        <v>34</v>
      </c>
      <c r="B927" s="16">
        <v>41913</v>
      </c>
      <c r="C927" s="17">
        <v>1.2423</v>
      </c>
      <c r="D927" s="17">
        <v>0.26</v>
      </c>
      <c r="E927" s="11">
        <f t="shared" si="42"/>
        <v>0.25700000000000001</v>
      </c>
      <c r="F927" s="11">
        <f t="shared" si="43"/>
        <v>0.361176920420475</v>
      </c>
      <c r="G927" s="13">
        <f t="shared" si="44"/>
        <v>0.88112307957952496</v>
      </c>
    </row>
    <row r="928" spans="1:7" x14ac:dyDescent="0.25">
      <c r="A928" s="15" t="s">
        <v>34</v>
      </c>
      <c r="B928" s="16">
        <v>41914</v>
      </c>
      <c r="C928" s="17">
        <v>-0.41239999999999999</v>
      </c>
      <c r="D928" s="17">
        <v>-0.1678</v>
      </c>
      <c r="E928" s="11">
        <f t="shared" si="42"/>
        <v>-0.17080000000000001</v>
      </c>
      <c r="F928" s="11">
        <f t="shared" si="43"/>
        <v>-0.11418982341223079</v>
      </c>
      <c r="G928" s="13">
        <f t="shared" si="44"/>
        <v>-0.29821017658776922</v>
      </c>
    </row>
    <row r="929" spans="1:7" x14ac:dyDescent="0.25">
      <c r="A929" s="15" t="s">
        <v>34</v>
      </c>
      <c r="B929" s="16">
        <v>41915</v>
      </c>
      <c r="C929" s="17">
        <v>2.8515000000000001</v>
      </c>
      <c r="D929" s="17">
        <v>1.45</v>
      </c>
      <c r="E929" s="11">
        <f t="shared" si="42"/>
        <v>1.4470000000000001</v>
      </c>
      <c r="F929" s="11">
        <f t="shared" si="43"/>
        <v>1.6834920797494135</v>
      </c>
      <c r="G929" s="13">
        <f t="shared" si="44"/>
        <v>1.1680079202505866</v>
      </c>
    </row>
    <row r="930" spans="1:7" x14ac:dyDescent="0.25">
      <c r="A930" s="15" t="s">
        <v>34</v>
      </c>
      <c r="B930" s="16">
        <v>41918</v>
      </c>
      <c r="C930" s="17">
        <v>1.1976</v>
      </c>
      <c r="D930" s="17">
        <v>-0.12239999999999999</v>
      </c>
      <c r="E930" s="11">
        <f t="shared" si="42"/>
        <v>-0.12539999999999998</v>
      </c>
      <c r="F930" s="11">
        <f t="shared" si="43"/>
        <v>-6.3741833300017495E-2</v>
      </c>
      <c r="G930" s="13">
        <f t="shared" si="44"/>
        <v>1.2613418333000175</v>
      </c>
    </row>
    <row r="931" spans="1:7" x14ac:dyDescent="0.25">
      <c r="A931" s="15" t="s">
        <v>34</v>
      </c>
      <c r="B931" s="16">
        <v>41919</v>
      </c>
      <c r="C931" s="17">
        <v>-0.79679999999999995</v>
      </c>
      <c r="D931" s="17">
        <v>-0.59909999999999997</v>
      </c>
      <c r="E931" s="11">
        <f t="shared" si="42"/>
        <v>-0.60209999999999997</v>
      </c>
      <c r="F931" s="11">
        <f t="shared" si="43"/>
        <v>-0.59344572947825691</v>
      </c>
      <c r="G931" s="13">
        <f t="shared" si="44"/>
        <v>-0.20335427052174304</v>
      </c>
    </row>
    <row r="932" spans="1:7" x14ac:dyDescent="0.25">
      <c r="A932" s="15" t="s">
        <v>34</v>
      </c>
      <c r="B932" s="16">
        <v>41920</v>
      </c>
      <c r="C932" s="17">
        <v>-2.0203000000000002</v>
      </c>
      <c r="D932" s="17">
        <v>-0.95169999999999999</v>
      </c>
      <c r="E932" s="11">
        <f t="shared" si="42"/>
        <v>-0.95469999999999999</v>
      </c>
      <c r="F932" s="11">
        <f t="shared" si="43"/>
        <v>-0.98525104475504999</v>
      </c>
      <c r="G932" s="13">
        <f t="shared" si="44"/>
        <v>-1.0350489552449502</v>
      </c>
    </row>
    <row r="933" spans="1:7" x14ac:dyDescent="0.25">
      <c r="A933" s="15" t="s">
        <v>34</v>
      </c>
      <c r="B933" s="16">
        <v>41921</v>
      </c>
      <c r="C933" s="17">
        <v>2.0203000000000002</v>
      </c>
      <c r="D933" s="17">
        <v>0.12570000000000001</v>
      </c>
      <c r="E933" s="11">
        <f t="shared" si="42"/>
        <v>0.1227</v>
      </c>
      <c r="F933" s="11">
        <f t="shared" si="43"/>
        <v>0.21194420958192339</v>
      </c>
      <c r="G933" s="13">
        <f t="shared" si="44"/>
        <v>1.8083557904180769</v>
      </c>
    </row>
    <row r="934" spans="1:7" x14ac:dyDescent="0.25">
      <c r="A934" s="15" t="s">
        <v>34</v>
      </c>
      <c r="B934" s="16">
        <v>41925</v>
      </c>
      <c r="C934" s="17">
        <v>-3.6663999999999999</v>
      </c>
      <c r="D934" s="17">
        <v>-2.8856999999999999</v>
      </c>
      <c r="E934" s="11">
        <f t="shared" si="42"/>
        <v>-2.8887</v>
      </c>
      <c r="F934" s="11">
        <f t="shared" si="43"/>
        <v>-3.1342909759669553</v>
      </c>
      <c r="G934" s="13">
        <f t="shared" si="44"/>
        <v>-0.53210902403304461</v>
      </c>
    </row>
    <row r="935" spans="1:7" x14ac:dyDescent="0.25">
      <c r="A935" s="15" t="s">
        <v>34</v>
      </c>
      <c r="B935" s="16">
        <v>41926</v>
      </c>
      <c r="C935" s="17">
        <v>0.41410000000000002</v>
      </c>
      <c r="D935" s="17">
        <v>0.6522</v>
      </c>
      <c r="E935" s="11">
        <f t="shared" si="42"/>
        <v>0.6492</v>
      </c>
      <c r="F935" s="11">
        <f t="shared" si="43"/>
        <v>0.79698532839426461</v>
      </c>
      <c r="G935" s="13">
        <f t="shared" si="44"/>
        <v>-0.38288532839426459</v>
      </c>
    </row>
    <row r="936" spans="1:7" x14ac:dyDescent="0.25">
      <c r="A936" s="15" t="s">
        <v>34</v>
      </c>
      <c r="B936" s="16">
        <v>41927</v>
      </c>
      <c r="C936" s="17">
        <v>0.41239999999999999</v>
      </c>
      <c r="D936" s="17">
        <v>-1.2957000000000001</v>
      </c>
      <c r="E936" s="11">
        <f t="shared" si="42"/>
        <v>-1.2987</v>
      </c>
      <c r="F936" s="11">
        <f t="shared" si="43"/>
        <v>-1.3675001328299701</v>
      </c>
      <c r="G936" s="13">
        <f t="shared" si="44"/>
        <v>1.7799001328299702</v>
      </c>
    </row>
    <row r="937" spans="1:7" x14ac:dyDescent="0.25">
      <c r="A937" s="15" t="s">
        <v>34</v>
      </c>
      <c r="B937" s="16">
        <v>41928</v>
      </c>
      <c r="C937" s="17">
        <v>0</v>
      </c>
      <c r="D937" s="17">
        <v>-0.25240000000000001</v>
      </c>
      <c r="E937" s="11">
        <f t="shared" si="42"/>
        <v>-0.25540000000000002</v>
      </c>
      <c r="F937" s="11">
        <f t="shared" si="43"/>
        <v>-0.20819643053763265</v>
      </c>
      <c r="G937" s="13">
        <f t="shared" si="44"/>
        <v>0.20819643053763265</v>
      </c>
    </row>
    <row r="938" spans="1:7" x14ac:dyDescent="0.25">
      <c r="A938" s="15" t="s">
        <v>34</v>
      </c>
      <c r="B938" s="16">
        <v>41929</v>
      </c>
      <c r="C938" s="17">
        <v>1.6327</v>
      </c>
      <c r="D938" s="17">
        <v>-1.4092</v>
      </c>
      <c r="E938" s="11">
        <f t="shared" si="42"/>
        <v>-1.4121999999999999</v>
      </c>
      <c r="F938" s="11">
        <f t="shared" si="43"/>
        <v>-1.4936201081105032</v>
      </c>
      <c r="G938" s="13">
        <f t="shared" si="44"/>
        <v>3.1263201081105034</v>
      </c>
    </row>
    <row r="939" spans="1:7" x14ac:dyDescent="0.25">
      <c r="A939" s="15" t="s">
        <v>34</v>
      </c>
      <c r="B939" s="16">
        <v>41932</v>
      </c>
      <c r="C939" s="17">
        <v>2.0041000000000002</v>
      </c>
      <c r="D939" s="17">
        <v>1.7497</v>
      </c>
      <c r="E939" s="11">
        <f t="shared" si="42"/>
        <v>1.7467000000000001</v>
      </c>
      <c r="F939" s="11">
        <f t="shared" si="43"/>
        <v>2.0165154858425924</v>
      </c>
      <c r="G939" s="13">
        <f t="shared" si="44"/>
        <v>-1.2415485842592222E-2</v>
      </c>
    </row>
    <row r="940" spans="1:7" x14ac:dyDescent="0.25">
      <c r="A940" s="15" t="s">
        <v>34</v>
      </c>
      <c r="B940" s="16">
        <v>41933</v>
      </c>
      <c r="C940" s="17">
        <v>-0.79679999999999995</v>
      </c>
      <c r="D940" s="17">
        <v>-9.8199999999999996E-2</v>
      </c>
      <c r="E940" s="11">
        <f t="shared" si="42"/>
        <v>-0.1012</v>
      </c>
      <c r="F940" s="11">
        <f t="shared" si="43"/>
        <v>-3.6851054429630686E-2</v>
      </c>
      <c r="G940" s="13">
        <f t="shared" si="44"/>
        <v>-0.75994894557036929</v>
      </c>
    </row>
    <row r="941" spans="1:7" x14ac:dyDescent="0.25">
      <c r="A941" s="15" t="s">
        <v>34</v>
      </c>
      <c r="B941" s="16">
        <v>41934</v>
      </c>
      <c r="C941" s="17">
        <v>3.1499000000000001</v>
      </c>
      <c r="D941" s="17">
        <v>1.0824</v>
      </c>
      <c r="E941" s="11">
        <f t="shared" si="42"/>
        <v>1.0794000000000001</v>
      </c>
      <c r="F941" s="11">
        <f t="shared" si="43"/>
        <v>1.2750189263298188</v>
      </c>
      <c r="G941" s="13">
        <f t="shared" si="44"/>
        <v>1.8748810736701813</v>
      </c>
    </row>
    <row r="942" spans="1:7" x14ac:dyDescent="0.25">
      <c r="A942" s="15" t="s">
        <v>34</v>
      </c>
      <c r="B942" s="16">
        <v>41935</v>
      </c>
      <c r="C942" s="17">
        <v>-1.1696</v>
      </c>
      <c r="D942" s="17">
        <v>-0.20319999999999999</v>
      </c>
      <c r="E942" s="11">
        <f t="shared" si="42"/>
        <v>-0.20619999999999999</v>
      </c>
      <c r="F942" s="11">
        <f t="shared" si="43"/>
        <v>-0.15352592142924287</v>
      </c>
      <c r="G942" s="13">
        <f t="shared" si="44"/>
        <v>-1.0160740785707572</v>
      </c>
    </row>
    <row r="943" spans="1:7" x14ac:dyDescent="0.25">
      <c r="A943" s="15" t="s">
        <v>34</v>
      </c>
      <c r="B943" s="16">
        <v>41936</v>
      </c>
      <c r="C943" s="17">
        <v>-1.5810999999999999</v>
      </c>
      <c r="D943" s="17">
        <v>-0.97899999999999998</v>
      </c>
      <c r="E943" s="11">
        <f t="shared" si="42"/>
        <v>-0.98199999999999998</v>
      </c>
      <c r="F943" s="11">
        <f t="shared" si="43"/>
        <v>-1.0155865101749493</v>
      </c>
      <c r="G943" s="13">
        <f t="shared" si="44"/>
        <v>-0.56551348982505067</v>
      </c>
    </row>
    <row r="944" spans="1:7" x14ac:dyDescent="0.25">
      <c r="A944" s="15" t="s">
        <v>34</v>
      </c>
      <c r="B944" s="16">
        <v>41939</v>
      </c>
      <c r="C944" s="17">
        <v>1.9724999999999999</v>
      </c>
      <c r="D944" s="17">
        <v>-0.21110000000000001</v>
      </c>
      <c r="E944" s="11">
        <f t="shared" si="42"/>
        <v>-0.21410000000000001</v>
      </c>
      <c r="F944" s="11">
        <f t="shared" si="43"/>
        <v>-0.16230431618445185</v>
      </c>
      <c r="G944" s="13">
        <f t="shared" si="44"/>
        <v>2.1348043161844519</v>
      </c>
    </row>
    <row r="945" spans="1:7" x14ac:dyDescent="0.25">
      <c r="A945" s="15" t="s">
        <v>34</v>
      </c>
      <c r="B945" s="16">
        <v>41940</v>
      </c>
      <c r="C945" s="17">
        <v>0</v>
      </c>
      <c r="D945" s="17">
        <v>1.6754</v>
      </c>
      <c r="E945" s="11">
        <f t="shared" si="42"/>
        <v>1.6724000000000001</v>
      </c>
      <c r="F945" s="11">
        <f t="shared" si="43"/>
        <v>1.9339541275752479</v>
      </c>
      <c r="G945" s="13">
        <f t="shared" si="44"/>
        <v>-1.9339541275752479</v>
      </c>
    </row>
    <row r="946" spans="1:7" x14ac:dyDescent="0.25">
      <c r="A946" s="15" t="s">
        <v>34</v>
      </c>
      <c r="B946" s="16">
        <v>41941</v>
      </c>
      <c r="C946" s="17">
        <v>0.7782</v>
      </c>
      <c r="D946" s="17">
        <v>1.4722999999999999</v>
      </c>
      <c r="E946" s="11">
        <f t="shared" si="42"/>
        <v>1.4693000000000001</v>
      </c>
      <c r="F946" s="11">
        <f t="shared" si="43"/>
        <v>1.7082715991217121</v>
      </c>
      <c r="G946" s="13">
        <f t="shared" si="44"/>
        <v>-0.93007159912171211</v>
      </c>
    </row>
    <row r="947" spans="1:7" x14ac:dyDescent="0.25">
      <c r="A947" s="15" t="s">
        <v>34</v>
      </c>
      <c r="B947" s="16">
        <v>41942</v>
      </c>
      <c r="C947" s="17">
        <v>-0.38840000000000002</v>
      </c>
      <c r="D947" s="17">
        <v>-0.17549999999999999</v>
      </c>
      <c r="E947" s="11">
        <f t="shared" si="42"/>
        <v>-0.17849999999999999</v>
      </c>
      <c r="F947" s="11">
        <f t="shared" si="43"/>
        <v>-0.12274598032553567</v>
      </c>
      <c r="G947" s="13">
        <f t="shared" si="44"/>
        <v>-0.26565401967446434</v>
      </c>
    </row>
    <row r="948" spans="1:7" x14ac:dyDescent="0.25">
      <c r="A948" s="15" t="s">
        <v>34</v>
      </c>
      <c r="B948" s="16">
        <v>41943</v>
      </c>
      <c r="C948" s="17">
        <v>1.5444</v>
      </c>
      <c r="D948" s="17">
        <v>0.97060000000000002</v>
      </c>
      <c r="E948" s="11">
        <f t="shared" si="42"/>
        <v>0.96760000000000002</v>
      </c>
      <c r="F948" s="11">
        <f t="shared" si="43"/>
        <v>1.1507879727054697</v>
      </c>
      <c r="G948" s="13">
        <f t="shared" si="44"/>
        <v>0.39361202729453026</v>
      </c>
    </row>
    <row r="949" spans="1:7" x14ac:dyDescent="0.25">
      <c r="A949" s="15" t="s">
        <v>34</v>
      </c>
      <c r="B949" s="16">
        <v>41946</v>
      </c>
      <c r="C949" s="17">
        <v>0.38240000000000002</v>
      </c>
      <c r="D949" s="17">
        <v>0.33479999999999999</v>
      </c>
      <c r="E949" s="11">
        <f t="shared" si="42"/>
        <v>0.33179999999999998</v>
      </c>
      <c r="F949" s="11">
        <f t="shared" si="43"/>
        <v>0.44429387329257963</v>
      </c>
      <c r="G949" s="13">
        <f t="shared" si="44"/>
        <v>-6.1893873292579615E-2</v>
      </c>
    </row>
    <row r="950" spans="1:7" x14ac:dyDescent="0.25">
      <c r="A950" s="15" t="s">
        <v>34</v>
      </c>
      <c r="B950" s="16">
        <v>41947</v>
      </c>
      <c r="C950" s="17">
        <v>0.76049999999999995</v>
      </c>
      <c r="D950" s="17">
        <v>-0.17430000000000001</v>
      </c>
      <c r="E950" s="11">
        <f t="shared" si="42"/>
        <v>-0.17730000000000001</v>
      </c>
      <c r="F950" s="11">
        <f t="shared" si="43"/>
        <v>-0.12141255327411156</v>
      </c>
      <c r="G950" s="13">
        <f t="shared" si="44"/>
        <v>0.88191255327411155</v>
      </c>
    </row>
    <row r="951" spans="1:7" x14ac:dyDescent="0.25">
      <c r="A951" s="15" t="s">
        <v>34</v>
      </c>
      <c r="B951" s="16">
        <v>41948</v>
      </c>
      <c r="C951" s="17">
        <v>0</v>
      </c>
      <c r="D951" s="17">
        <v>-0.29609999999999997</v>
      </c>
      <c r="E951" s="11">
        <f t="shared" si="42"/>
        <v>-0.29909999999999998</v>
      </c>
      <c r="F951" s="11">
        <f t="shared" si="43"/>
        <v>-0.25675539899366168</v>
      </c>
      <c r="G951" s="13">
        <f t="shared" si="44"/>
        <v>0.25675539899366168</v>
      </c>
    </row>
    <row r="952" spans="1:7" x14ac:dyDescent="0.25">
      <c r="A952" s="15" t="s">
        <v>34</v>
      </c>
      <c r="B952" s="16">
        <v>41949</v>
      </c>
      <c r="C952" s="17">
        <v>0</v>
      </c>
      <c r="D952" s="17">
        <v>-0.80189999999999995</v>
      </c>
      <c r="E952" s="11">
        <f t="shared" si="42"/>
        <v>-0.80489999999999995</v>
      </c>
      <c r="F952" s="11">
        <f t="shared" si="43"/>
        <v>-0.8187949011689365</v>
      </c>
      <c r="G952" s="13">
        <f t="shared" si="44"/>
        <v>0.8187949011689365</v>
      </c>
    </row>
    <row r="953" spans="1:7" x14ac:dyDescent="0.25">
      <c r="A953" s="15" t="s">
        <v>34</v>
      </c>
      <c r="B953" s="16">
        <v>41950</v>
      </c>
      <c r="C953" s="17">
        <v>-0.76049999999999995</v>
      </c>
      <c r="D953" s="17">
        <v>0.24260000000000001</v>
      </c>
      <c r="E953" s="11">
        <f t="shared" si="42"/>
        <v>0.23960000000000001</v>
      </c>
      <c r="F953" s="11">
        <f t="shared" si="43"/>
        <v>0.34184222817482496</v>
      </c>
      <c r="G953" s="13">
        <f t="shared" si="44"/>
        <v>-1.102342228174825</v>
      </c>
    </row>
    <row r="954" spans="1:7" x14ac:dyDescent="0.25">
      <c r="A954" s="15" t="s">
        <v>34</v>
      </c>
      <c r="B954" s="16">
        <v>41953</v>
      </c>
      <c r="C954" s="17">
        <v>2.6366999999999998</v>
      </c>
      <c r="D954" s="17">
        <v>1.5294000000000001</v>
      </c>
      <c r="E954" s="11">
        <f t="shared" si="42"/>
        <v>1.5264000000000002</v>
      </c>
      <c r="F954" s="11">
        <f t="shared" si="43"/>
        <v>1.7717205029853109</v>
      </c>
      <c r="G954" s="13">
        <f t="shared" si="44"/>
        <v>0.8649794970146889</v>
      </c>
    </row>
    <row r="955" spans="1:7" x14ac:dyDescent="0.25">
      <c r="A955" s="15" t="s">
        <v>34</v>
      </c>
      <c r="B955" s="16">
        <v>41954</v>
      </c>
      <c r="C955" s="17">
        <v>-0.37240000000000001</v>
      </c>
      <c r="D955" s="17">
        <v>-0.17519999999999999</v>
      </c>
      <c r="E955" s="11">
        <f t="shared" si="42"/>
        <v>-0.1782</v>
      </c>
      <c r="F955" s="11">
        <f t="shared" si="43"/>
        <v>-0.12241262356267964</v>
      </c>
      <c r="G955" s="13">
        <f t="shared" si="44"/>
        <v>-0.24998737643732039</v>
      </c>
    </row>
    <row r="956" spans="1:7" x14ac:dyDescent="0.25">
      <c r="A956" s="15" t="s">
        <v>34</v>
      </c>
      <c r="B956" s="16">
        <v>41955</v>
      </c>
      <c r="C956" s="17">
        <v>-1.5038</v>
      </c>
      <c r="D956" s="17">
        <v>-1.2833000000000001</v>
      </c>
      <c r="E956" s="11">
        <f t="shared" si="42"/>
        <v>-1.2863</v>
      </c>
      <c r="F956" s="11">
        <f t="shared" si="43"/>
        <v>-1.3537213866319207</v>
      </c>
      <c r="G956" s="13">
        <f t="shared" si="44"/>
        <v>-0.15007861336807937</v>
      </c>
    </row>
    <row r="957" spans="1:7" x14ac:dyDescent="0.25">
      <c r="A957" s="15" t="s">
        <v>34</v>
      </c>
      <c r="B957" s="16">
        <v>41956</v>
      </c>
      <c r="C957" s="17">
        <v>1.5038</v>
      </c>
      <c r="D957" s="17">
        <v>0.68959999999999999</v>
      </c>
      <c r="E957" s="11">
        <f t="shared" si="42"/>
        <v>0.68659999999999999</v>
      </c>
      <c r="F957" s="11">
        <f t="shared" si="43"/>
        <v>0.83854380483031699</v>
      </c>
      <c r="G957" s="13">
        <f t="shared" si="44"/>
        <v>0.66525619516968304</v>
      </c>
    </row>
    <row r="958" spans="1:7" x14ac:dyDescent="0.25">
      <c r="A958" s="15" t="s">
        <v>34</v>
      </c>
      <c r="B958" s="16">
        <v>41957</v>
      </c>
      <c r="C958" s="17">
        <v>0.74350000000000005</v>
      </c>
      <c r="D958" s="17">
        <v>2.46E-2</v>
      </c>
      <c r="E958" s="11">
        <f t="shared" si="42"/>
        <v>2.1600000000000001E-2</v>
      </c>
      <c r="F958" s="11">
        <f t="shared" si="43"/>
        <v>9.9602980499439608E-2</v>
      </c>
      <c r="G958" s="13">
        <f t="shared" si="44"/>
        <v>0.64389701950056044</v>
      </c>
    </row>
    <row r="959" spans="1:7" x14ac:dyDescent="0.25">
      <c r="A959" s="15" t="s">
        <v>34</v>
      </c>
      <c r="B959" s="16">
        <v>41960</v>
      </c>
      <c r="C959" s="17">
        <v>-1.4925999999999999</v>
      </c>
      <c r="D959" s="17">
        <v>-1.1025</v>
      </c>
      <c r="E959" s="11">
        <f t="shared" si="42"/>
        <v>-1.1054999999999999</v>
      </c>
      <c r="F959" s="11">
        <f t="shared" si="43"/>
        <v>-1.1528183775506835</v>
      </c>
      <c r="G959" s="13">
        <f t="shared" si="44"/>
        <v>-0.33978162244931642</v>
      </c>
    </row>
    <row r="960" spans="1:7" x14ac:dyDescent="0.25">
      <c r="A960" s="15" t="s">
        <v>34</v>
      </c>
      <c r="B960" s="16">
        <v>41961</v>
      </c>
      <c r="C960" s="17">
        <v>-1.1342000000000001</v>
      </c>
      <c r="D960" s="17">
        <v>-0.28539999999999999</v>
      </c>
      <c r="E960" s="11">
        <f t="shared" si="42"/>
        <v>-0.28839999999999999</v>
      </c>
      <c r="F960" s="11">
        <f t="shared" si="43"/>
        <v>-0.24486567445179647</v>
      </c>
      <c r="G960" s="13">
        <f t="shared" si="44"/>
        <v>-0.88933432554820357</v>
      </c>
    </row>
    <row r="961" spans="1:7" x14ac:dyDescent="0.25">
      <c r="A961" s="15" t="s">
        <v>34</v>
      </c>
      <c r="B961" s="16">
        <v>41962</v>
      </c>
      <c r="C961" s="17">
        <v>3.3647999999999998</v>
      </c>
      <c r="D961" s="17">
        <v>1.169</v>
      </c>
      <c r="E961" s="11">
        <f t="shared" si="42"/>
        <v>1.1660000000000001</v>
      </c>
      <c r="F961" s="11">
        <f t="shared" si="43"/>
        <v>1.3712479118742609</v>
      </c>
      <c r="G961" s="13">
        <f t="shared" si="44"/>
        <v>1.9935520881257389</v>
      </c>
    </row>
    <row r="962" spans="1:7" x14ac:dyDescent="0.25">
      <c r="A962" s="15" t="s">
        <v>34</v>
      </c>
      <c r="B962" s="16">
        <v>41963</v>
      </c>
      <c r="C962" s="17">
        <v>2.1819000000000002</v>
      </c>
      <c r="D962" s="17">
        <v>1.2818000000000001</v>
      </c>
      <c r="E962" s="11">
        <f t="shared" si="42"/>
        <v>1.2788000000000002</v>
      </c>
      <c r="F962" s="11">
        <f t="shared" si="43"/>
        <v>1.4965900547081301</v>
      </c>
      <c r="G962" s="13">
        <f t="shared" si="44"/>
        <v>0.68530994529187006</v>
      </c>
    </row>
    <row r="963" spans="1:7" x14ac:dyDescent="0.25">
      <c r="A963" s="15" t="s">
        <v>34</v>
      </c>
      <c r="B963" s="16">
        <v>41964</v>
      </c>
      <c r="C963" s="17">
        <v>-0.3604</v>
      </c>
      <c r="D963" s="17">
        <v>0.13930000000000001</v>
      </c>
      <c r="E963" s="11">
        <f t="shared" ref="E963:E1026" si="45">D963-$K$1</f>
        <v>0.1363</v>
      </c>
      <c r="F963" s="11">
        <f t="shared" ref="F963:F1026" si="46">K$2+K$3*E963</f>
        <v>0.22705638283139695</v>
      </c>
      <c r="G963" s="13">
        <f t="shared" ref="G963:G1026" si="47">C963-F963</f>
        <v>-0.58745638283139701</v>
      </c>
    </row>
    <row r="964" spans="1:7" x14ac:dyDescent="0.25">
      <c r="A964" s="15" t="s">
        <v>34</v>
      </c>
      <c r="B964" s="16">
        <v>41967</v>
      </c>
      <c r="C964" s="17">
        <v>0</v>
      </c>
      <c r="D964" s="17">
        <v>0.3382</v>
      </c>
      <c r="E964" s="11">
        <f t="shared" si="45"/>
        <v>0.3352</v>
      </c>
      <c r="F964" s="11">
        <f t="shared" si="46"/>
        <v>0.44807191660494805</v>
      </c>
      <c r="G964" s="13">
        <f t="shared" si="47"/>
        <v>-0.44807191660494805</v>
      </c>
    </row>
    <row r="965" spans="1:7" x14ac:dyDescent="0.25">
      <c r="A965" s="15" t="s">
        <v>34</v>
      </c>
      <c r="B965" s="16">
        <v>41968</v>
      </c>
      <c r="C965" s="17">
        <v>0.3604</v>
      </c>
      <c r="D965" s="17">
        <v>-6.6799999999999998E-2</v>
      </c>
      <c r="E965" s="11">
        <f t="shared" si="45"/>
        <v>-6.9800000000000001E-2</v>
      </c>
      <c r="F965" s="11">
        <f t="shared" si="46"/>
        <v>-1.9597132506990328E-3</v>
      </c>
      <c r="G965" s="13">
        <f t="shared" si="47"/>
        <v>0.36235971325069904</v>
      </c>
    </row>
    <row r="966" spans="1:7" x14ac:dyDescent="0.25">
      <c r="A966" s="15" t="s">
        <v>34</v>
      </c>
      <c r="B966" s="16">
        <v>41969</v>
      </c>
      <c r="C966" s="17">
        <v>0</v>
      </c>
      <c r="D966" s="17">
        <v>6.7400000000000002E-2</v>
      </c>
      <c r="E966" s="11">
        <f t="shared" si="45"/>
        <v>6.4399999999999999E-2</v>
      </c>
      <c r="F966" s="11">
        <f t="shared" si="46"/>
        <v>0.14716187866690056</v>
      </c>
      <c r="G966" s="13">
        <f t="shared" si="47"/>
        <v>-0.14716187866690056</v>
      </c>
    </row>
    <row r="967" spans="1:7" x14ac:dyDescent="0.25">
      <c r="A967" s="15" t="s">
        <v>34</v>
      </c>
      <c r="B967" s="16">
        <v>41970</v>
      </c>
      <c r="C967" s="17">
        <v>0.71679999999999999</v>
      </c>
      <c r="D967" s="17">
        <v>0.46939999999999998</v>
      </c>
      <c r="E967" s="11">
        <f t="shared" si="45"/>
        <v>0.46639999999999998</v>
      </c>
      <c r="F967" s="11">
        <f t="shared" si="46"/>
        <v>0.5938599408939873</v>
      </c>
      <c r="G967" s="13">
        <f t="shared" si="47"/>
        <v>0.12294005910601269</v>
      </c>
    </row>
    <row r="968" spans="1:7" x14ac:dyDescent="0.25">
      <c r="A968" s="15" t="s">
        <v>34</v>
      </c>
      <c r="B968" s="16">
        <v>41971</v>
      </c>
      <c r="C968" s="17">
        <v>1.0657000000000001</v>
      </c>
      <c r="D968" s="17">
        <v>0.23799999999999999</v>
      </c>
      <c r="E968" s="11">
        <f t="shared" si="45"/>
        <v>0.23499999999999999</v>
      </c>
      <c r="F968" s="11">
        <f t="shared" si="46"/>
        <v>0.3367307578110324</v>
      </c>
      <c r="G968" s="13">
        <f t="shared" si="47"/>
        <v>0.72896924218896775</v>
      </c>
    </row>
    <row r="969" spans="1:7" x14ac:dyDescent="0.25">
      <c r="A969" s="15" t="s">
        <v>34</v>
      </c>
      <c r="B969" s="16">
        <v>41974</v>
      </c>
      <c r="C969" s="17">
        <v>-1.0657000000000001</v>
      </c>
      <c r="D969" s="17">
        <v>-0.75870000000000004</v>
      </c>
      <c r="E969" s="11">
        <f t="shared" si="45"/>
        <v>-0.76170000000000004</v>
      </c>
      <c r="F969" s="11">
        <f t="shared" si="46"/>
        <v>-0.77079152731766765</v>
      </c>
      <c r="G969" s="13">
        <f t="shared" si="47"/>
        <v>-0.29490847268233245</v>
      </c>
    </row>
    <row r="970" spans="1:7" x14ac:dyDescent="0.25">
      <c r="A970" s="15" t="s">
        <v>34</v>
      </c>
      <c r="B970" s="16">
        <v>41975</v>
      </c>
      <c r="C970" s="17">
        <v>-1.8019000000000001</v>
      </c>
      <c r="D970" s="17">
        <v>-0.91359999999999997</v>
      </c>
      <c r="E970" s="11">
        <f t="shared" si="45"/>
        <v>-0.91659999999999997</v>
      </c>
      <c r="F970" s="11">
        <f t="shared" si="46"/>
        <v>-0.94291473587233354</v>
      </c>
      <c r="G970" s="13">
        <f t="shared" si="47"/>
        <v>-0.85898526412766651</v>
      </c>
    </row>
    <row r="971" spans="1:7" x14ac:dyDescent="0.25">
      <c r="A971" s="15" t="s">
        <v>34</v>
      </c>
      <c r="B971" s="16">
        <v>41976</v>
      </c>
      <c r="C971" s="17">
        <v>0.36299999999999999</v>
      </c>
      <c r="D971" s="17">
        <v>1.5427999999999999</v>
      </c>
      <c r="E971" s="11">
        <f t="shared" si="45"/>
        <v>1.5398000000000001</v>
      </c>
      <c r="F971" s="11">
        <f t="shared" si="46"/>
        <v>1.7866104383928803</v>
      </c>
      <c r="G971" s="13">
        <f t="shared" si="47"/>
        <v>-1.4236104383928803</v>
      </c>
    </row>
    <row r="972" spans="1:7" x14ac:dyDescent="0.25">
      <c r="A972" s="15" t="s">
        <v>34</v>
      </c>
      <c r="B972" s="16">
        <v>41977</v>
      </c>
      <c r="C972" s="17">
        <v>0.72199999999999998</v>
      </c>
      <c r="D972" s="17">
        <v>0.54179999999999995</v>
      </c>
      <c r="E972" s="11">
        <f t="shared" si="45"/>
        <v>0.53879999999999995</v>
      </c>
      <c r="F972" s="11">
        <f t="shared" si="46"/>
        <v>0.67431003966324365</v>
      </c>
      <c r="G972" s="13">
        <f t="shared" si="47"/>
        <v>4.7689960336756321E-2</v>
      </c>
    </row>
    <row r="973" spans="1:7" x14ac:dyDescent="0.25">
      <c r="A973" s="15" t="s">
        <v>34</v>
      </c>
      <c r="B973" s="16">
        <v>41978</v>
      </c>
      <c r="C973" s="17">
        <v>-1.085</v>
      </c>
      <c r="D973" s="17">
        <v>-0.20119999999999999</v>
      </c>
      <c r="E973" s="11">
        <f t="shared" si="45"/>
        <v>-0.20419999999999999</v>
      </c>
      <c r="F973" s="11">
        <f t="shared" si="46"/>
        <v>-0.15130354301020266</v>
      </c>
      <c r="G973" s="13">
        <f t="shared" si="47"/>
        <v>-0.93369645698979731</v>
      </c>
    </row>
    <row r="974" spans="1:7" x14ac:dyDescent="0.25">
      <c r="A974" s="15" t="s">
        <v>34</v>
      </c>
      <c r="B974" s="16">
        <v>41981</v>
      </c>
      <c r="C974" s="17">
        <v>0.36299999999999999</v>
      </c>
      <c r="D974" s="17">
        <v>-0.20960000000000001</v>
      </c>
      <c r="E974" s="11">
        <f t="shared" si="45"/>
        <v>-0.21260000000000001</v>
      </c>
      <c r="F974" s="11">
        <f t="shared" si="46"/>
        <v>-0.16063753237017164</v>
      </c>
      <c r="G974" s="13">
        <f t="shared" si="47"/>
        <v>0.52363753237017163</v>
      </c>
    </row>
    <row r="975" spans="1:7" x14ac:dyDescent="0.25">
      <c r="A975" s="15" t="s">
        <v>34</v>
      </c>
      <c r="B975" s="16">
        <v>41982</v>
      </c>
      <c r="C975" s="17">
        <v>0</v>
      </c>
      <c r="D975" s="17">
        <v>-0.63759999999999994</v>
      </c>
      <c r="E975" s="11">
        <f t="shared" si="45"/>
        <v>-0.64059999999999995</v>
      </c>
      <c r="F975" s="11">
        <f t="shared" si="46"/>
        <v>-0.63622651404478137</v>
      </c>
      <c r="G975" s="13">
        <f t="shared" si="47"/>
        <v>0.63622651404478137</v>
      </c>
    </row>
    <row r="976" spans="1:7" x14ac:dyDescent="0.25">
      <c r="A976" s="15" t="s">
        <v>34</v>
      </c>
      <c r="B976" s="16">
        <v>41983</v>
      </c>
      <c r="C976" s="17">
        <v>-1.4599</v>
      </c>
      <c r="D976" s="17">
        <v>-1.0653999999999999</v>
      </c>
      <c r="E976" s="11">
        <f t="shared" si="45"/>
        <v>-1.0683999999999998</v>
      </c>
      <c r="F976" s="11">
        <f t="shared" si="46"/>
        <v>-1.111593257877487</v>
      </c>
      <c r="G976" s="13">
        <f t="shared" si="47"/>
        <v>-0.348306742122513</v>
      </c>
    </row>
    <row r="977" spans="1:7" x14ac:dyDescent="0.25">
      <c r="A977" s="15" t="s">
        <v>34</v>
      </c>
      <c r="B977" s="16">
        <v>41984</v>
      </c>
      <c r="C977" s="17">
        <v>-1.1091</v>
      </c>
      <c r="D977" s="17">
        <v>-0.21160000000000001</v>
      </c>
      <c r="E977" s="11">
        <f t="shared" si="45"/>
        <v>-0.21460000000000001</v>
      </c>
      <c r="F977" s="11">
        <f t="shared" si="46"/>
        <v>-0.16285991078921191</v>
      </c>
      <c r="G977" s="13">
        <f t="shared" si="47"/>
        <v>-0.94624008921078806</v>
      </c>
    </row>
    <row r="978" spans="1:7" x14ac:dyDescent="0.25">
      <c r="A978" s="15" t="s">
        <v>34</v>
      </c>
      <c r="B978" s="16">
        <v>41985</v>
      </c>
      <c r="C978" s="17">
        <v>0.37109999999999999</v>
      </c>
      <c r="D978" s="17">
        <v>0.15809999999999999</v>
      </c>
      <c r="E978" s="11">
        <f t="shared" si="45"/>
        <v>0.15509999999999999</v>
      </c>
      <c r="F978" s="11">
        <f t="shared" si="46"/>
        <v>0.24794673997037514</v>
      </c>
      <c r="G978" s="13">
        <f t="shared" si="47"/>
        <v>0.12315326002962484</v>
      </c>
    </row>
    <row r="979" spans="1:7" x14ac:dyDescent="0.25">
      <c r="A979" s="15" t="s">
        <v>34</v>
      </c>
      <c r="B979" s="16">
        <v>41988</v>
      </c>
      <c r="C979" s="17">
        <v>0.73799999999999999</v>
      </c>
      <c r="D979" s="17">
        <v>-0.46300000000000002</v>
      </c>
      <c r="E979" s="11">
        <f t="shared" si="45"/>
        <v>-0.46600000000000003</v>
      </c>
      <c r="F979" s="11">
        <f t="shared" si="46"/>
        <v>-0.44221287806256915</v>
      </c>
      <c r="G979" s="13">
        <f t="shared" si="47"/>
        <v>1.1802128780625691</v>
      </c>
    </row>
    <row r="980" spans="1:7" x14ac:dyDescent="0.25">
      <c r="A980" s="15" t="s">
        <v>34</v>
      </c>
      <c r="B980" s="16">
        <v>41989</v>
      </c>
      <c r="C980" s="17">
        <v>-2.2305999999999999</v>
      </c>
      <c r="D980" s="17">
        <v>-0.3871</v>
      </c>
      <c r="E980" s="11">
        <f t="shared" si="45"/>
        <v>-0.3901</v>
      </c>
      <c r="F980" s="11">
        <f t="shared" si="46"/>
        <v>-0.35787361705999232</v>
      </c>
      <c r="G980" s="13">
        <f t="shared" si="47"/>
        <v>-1.8727263829400076</v>
      </c>
    </row>
    <row r="981" spans="1:7" x14ac:dyDescent="0.25">
      <c r="A981" s="15" t="s">
        <v>34</v>
      </c>
      <c r="B981" s="16">
        <v>41990</v>
      </c>
      <c r="C981" s="17">
        <v>-1.8976</v>
      </c>
      <c r="D981" s="17">
        <v>-1.3786</v>
      </c>
      <c r="E981" s="11">
        <f t="shared" si="45"/>
        <v>-1.3815999999999999</v>
      </c>
      <c r="F981" s="11">
        <f t="shared" si="46"/>
        <v>-1.4596177182991876</v>
      </c>
      <c r="G981" s="13">
        <f t="shared" si="47"/>
        <v>-0.43798228170081233</v>
      </c>
    </row>
    <row r="982" spans="1:7" x14ac:dyDescent="0.25">
      <c r="A982" s="15" t="s">
        <v>34</v>
      </c>
      <c r="B982" s="16">
        <v>41991</v>
      </c>
      <c r="C982" s="17">
        <v>0.76339999999999997</v>
      </c>
      <c r="D982" s="17">
        <v>0.56779999999999997</v>
      </c>
      <c r="E982" s="11">
        <f t="shared" si="45"/>
        <v>0.56479999999999997</v>
      </c>
      <c r="F982" s="11">
        <f t="shared" si="46"/>
        <v>0.70320095911076674</v>
      </c>
      <c r="G982" s="13">
        <f t="shared" si="47"/>
        <v>6.0199040889233224E-2</v>
      </c>
    </row>
    <row r="983" spans="1:7" x14ac:dyDescent="0.25">
      <c r="A983" s="15" t="s">
        <v>34</v>
      </c>
      <c r="B983" s="16">
        <v>41992</v>
      </c>
      <c r="C983" s="17">
        <v>4.8247</v>
      </c>
      <c r="D983" s="17">
        <v>1.3524</v>
      </c>
      <c r="E983" s="11">
        <f t="shared" si="45"/>
        <v>1.3494000000000002</v>
      </c>
      <c r="F983" s="11">
        <f t="shared" si="46"/>
        <v>1.5750400129002502</v>
      </c>
      <c r="G983" s="13">
        <f t="shared" si="47"/>
        <v>3.2496599870997498</v>
      </c>
    </row>
    <row r="984" spans="1:7" x14ac:dyDescent="0.25">
      <c r="A984" s="15" t="s">
        <v>34</v>
      </c>
      <c r="B984" s="16">
        <v>41995</v>
      </c>
      <c r="C984" s="17">
        <v>0.36170000000000002</v>
      </c>
      <c r="D984" s="17">
        <v>1.0553999999999999</v>
      </c>
      <c r="E984" s="11">
        <f t="shared" si="45"/>
        <v>1.0524</v>
      </c>
      <c r="F984" s="11">
        <f t="shared" si="46"/>
        <v>1.2450168176727756</v>
      </c>
      <c r="G984" s="13">
        <f t="shared" si="47"/>
        <v>-0.88331681767277559</v>
      </c>
    </row>
    <row r="985" spans="1:7" x14ac:dyDescent="0.25">
      <c r="A985" s="15" t="s">
        <v>34</v>
      </c>
      <c r="B985" s="16">
        <v>41996</v>
      </c>
      <c r="C985" s="17">
        <v>-0.72460000000000002</v>
      </c>
      <c r="D985" s="17">
        <v>2.98E-2</v>
      </c>
      <c r="E985" s="11">
        <f t="shared" si="45"/>
        <v>2.6800000000000001E-2</v>
      </c>
      <c r="F985" s="11">
        <f t="shared" si="46"/>
        <v>0.10538116438894421</v>
      </c>
      <c r="G985" s="13">
        <f t="shared" si="47"/>
        <v>-0.8299811643889442</v>
      </c>
    </row>
    <row r="986" spans="1:7" x14ac:dyDescent="0.25">
      <c r="A986" s="15" t="s">
        <v>34</v>
      </c>
      <c r="B986" s="16">
        <v>41997</v>
      </c>
      <c r="C986" s="17">
        <v>0.36299999999999999</v>
      </c>
      <c r="D986" s="17">
        <v>0.9677</v>
      </c>
      <c r="E986" s="11">
        <f t="shared" si="45"/>
        <v>0.9647</v>
      </c>
      <c r="F986" s="11">
        <f t="shared" si="46"/>
        <v>1.1475655239978613</v>
      </c>
      <c r="G986" s="13">
        <f t="shared" si="47"/>
        <v>-0.78456552399786128</v>
      </c>
    </row>
    <row r="987" spans="1:7" x14ac:dyDescent="0.25">
      <c r="A987" s="15" t="s">
        <v>34</v>
      </c>
      <c r="B987" s="16">
        <v>41998</v>
      </c>
      <c r="C987" s="17">
        <v>-0.36299999999999999</v>
      </c>
      <c r="D987" s="17">
        <v>-0.29959999999999998</v>
      </c>
      <c r="E987" s="11">
        <f t="shared" si="45"/>
        <v>-0.30259999999999998</v>
      </c>
      <c r="F987" s="11">
        <f t="shared" si="46"/>
        <v>-0.2606445612269821</v>
      </c>
      <c r="G987" s="13">
        <f t="shared" si="47"/>
        <v>-0.10235543877301789</v>
      </c>
    </row>
    <row r="988" spans="1:7" x14ac:dyDescent="0.25">
      <c r="A988" s="15" t="s">
        <v>34</v>
      </c>
      <c r="B988" s="16">
        <v>41999</v>
      </c>
      <c r="C988" s="17">
        <v>1.085</v>
      </c>
      <c r="D988" s="17">
        <v>0.60270000000000001</v>
      </c>
      <c r="E988" s="11">
        <f t="shared" si="45"/>
        <v>0.59970000000000001</v>
      </c>
      <c r="F988" s="11">
        <f t="shared" si="46"/>
        <v>0.74198146252301889</v>
      </c>
      <c r="G988" s="13">
        <f t="shared" si="47"/>
        <v>0.34301853747698108</v>
      </c>
    </row>
    <row r="989" spans="1:7" x14ac:dyDescent="0.25">
      <c r="A989" s="15" t="s">
        <v>34</v>
      </c>
      <c r="B989" s="16">
        <v>42000</v>
      </c>
      <c r="C989" s="17">
        <v>-0.3604</v>
      </c>
      <c r="D989" s="17">
        <v>4.8099999999999997E-2</v>
      </c>
      <c r="E989" s="11">
        <f t="shared" si="45"/>
        <v>4.5099999999999994E-2</v>
      </c>
      <c r="F989" s="11">
        <f t="shared" si="46"/>
        <v>0.12571592692316233</v>
      </c>
      <c r="G989" s="13">
        <f t="shared" si="47"/>
        <v>-0.4861159269231623</v>
      </c>
    </row>
    <row r="990" spans="1:7" x14ac:dyDescent="0.25">
      <c r="A990" s="15" t="s">
        <v>34</v>
      </c>
      <c r="B990" s="16">
        <v>42002</v>
      </c>
      <c r="C990" s="17">
        <v>1.7889999999999999</v>
      </c>
      <c r="D990" s="17">
        <v>0.73260000000000003</v>
      </c>
      <c r="E990" s="11">
        <f t="shared" si="45"/>
        <v>0.72960000000000003</v>
      </c>
      <c r="F990" s="11">
        <f t="shared" si="46"/>
        <v>0.88632494083968194</v>
      </c>
      <c r="G990" s="13">
        <f t="shared" si="47"/>
        <v>0.90267505916031798</v>
      </c>
    </row>
    <row r="991" spans="1:7" x14ac:dyDescent="0.25">
      <c r="A991" s="15" t="s">
        <v>34</v>
      </c>
      <c r="B991" s="16">
        <v>42003</v>
      </c>
      <c r="C991" s="17">
        <v>-0.7117</v>
      </c>
      <c r="D991" s="17">
        <v>-0.19239999999999999</v>
      </c>
      <c r="E991" s="11">
        <f t="shared" si="45"/>
        <v>-0.19539999999999999</v>
      </c>
      <c r="F991" s="11">
        <f t="shared" si="46"/>
        <v>-0.14152507796642566</v>
      </c>
      <c r="G991" s="13">
        <f t="shared" si="47"/>
        <v>-0.57017492203357434</v>
      </c>
    </row>
    <row r="992" spans="1:7" x14ac:dyDescent="0.25">
      <c r="A992" s="15" t="s">
        <v>34</v>
      </c>
      <c r="B992" s="16">
        <v>42004</v>
      </c>
      <c r="C992" s="17">
        <v>0.7117</v>
      </c>
      <c r="D992" s="17">
        <v>0.41810000000000003</v>
      </c>
      <c r="E992" s="11">
        <f t="shared" si="45"/>
        <v>0.41510000000000002</v>
      </c>
      <c r="F992" s="11">
        <f t="shared" si="46"/>
        <v>0.53685593444560542</v>
      </c>
      <c r="G992" s="13">
        <f t="shared" si="47"/>
        <v>0.17484406555439458</v>
      </c>
    </row>
    <row r="993" spans="1:7" x14ac:dyDescent="0.25">
      <c r="A993" s="15" t="s">
        <v>34</v>
      </c>
      <c r="B993" s="16">
        <v>42009</v>
      </c>
      <c r="C993" s="17">
        <v>-1.0694999999999999</v>
      </c>
      <c r="D993" s="17">
        <v>-0.35680000000000001</v>
      </c>
      <c r="E993" s="11">
        <f t="shared" si="45"/>
        <v>-0.35980000000000001</v>
      </c>
      <c r="F993" s="11">
        <f t="shared" si="46"/>
        <v>-0.32420458401153279</v>
      </c>
      <c r="G993" s="13">
        <f t="shared" si="47"/>
        <v>-0.74529541598846705</v>
      </c>
    </row>
    <row r="994" spans="1:7" x14ac:dyDescent="0.25">
      <c r="A994" s="15" t="s">
        <v>34</v>
      </c>
      <c r="B994" s="16">
        <v>42010</v>
      </c>
      <c r="C994" s="17">
        <v>-4.3963000000000001</v>
      </c>
      <c r="D994" s="17">
        <v>-2.4645000000000001</v>
      </c>
      <c r="E994" s="11">
        <f t="shared" si="45"/>
        <v>-2.4675000000000002</v>
      </c>
      <c r="F994" s="11">
        <f t="shared" si="46"/>
        <v>-2.6662580809170824</v>
      </c>
      <c r="G994" s="13">
        <f t="shared" si="47"/>
        <v>-1.7300419190829177</v>
      </c>
    </row>
    <row r="995" spans="1:7" x14ac:dyDescent="0.25">
      <c r="A995" s="15" t="s">
        <v>34</v>
      </c>
      <c r="B995" s="16">
        <v>42011</v>
      </c>
      <c r="C995" s="17">
        <v>0.37380000000000002</v>
      </c>
      <c r="D995" s="17">
        <v>0.3503</v>
      </c>
      <c r="E995" s="11">
        <f t="shared" si="45"/>
        <v>0.3473</v>
      </c>
      <c r="F995" s="11">
        <f t="shared" si="46"/>
        <v>0.46151730604014146</v>
      </c>
      <c r="G995" s="13">
        <f t="shared" si="47"/>
        <v>-8.7717306040141441E-2</v>
      </c>
    </row>
    <row r="996" spans="1:7" x14ac:dyDescent="0.25">
      <c r="A996" s="15" t="s">
        <v>34</v>
      </c>
      <c r="B996" s="16">
        <v>42012</v>
      </c>
      <c r="C996" s="17">
        <v>2.9413999999999998</v>
      </c>
      <c r="D996" s="17">
        <v>1.7244999999999999</v>
      </c>
      <c r="E996" s="11">
        <f t="shared" si="45"/>
        <v>1.7215</v>
      </c>
      <c r="F996" s="11">
        <f t="shared" si="46"/>
        <v>1.9885135177626854</v>
      </c>
      <c r="G996" s="13">
        <f t="shared" si="47"/>
        <v>0.95288648223731442</v>
      </c>
    </row>
    <row r="997" spans="1:7" x14ac:dyDescent="0.25">
      <c r="A997" s="15" t="s">
        <v>34</v>
      </c>
      <c r="B997" s="16">
        <v>42013</v>
      </c>
      <c r="C997" s="17">
        <v>-2.9413999999999998</v>
      </c>
      <c r="D997" s="17">
        <v>-0.24329999999999999</v>
      </c>
      <c r="E997" s="11">
        <f t="shared" si="45"/>
        <v>-0.24629999999999999</v>
      </c>
      <c r="F997" s="11">
        <f t="shared" si="46"/>
        <v>-0.19808460873099959</v>
      </c>
      <c r="G997" s="13">
        <f t="shared" si="47"/>
        <v>-2.7433153912690003</v>
      </c>
    </row>
    <row r="998" spans="1:7" x14ac:dyDescent="0.25">
      <c r="A998" s="15" t="s">
        <v>34</v>
      </c>
      <c r="B998" s="16">
        <v>42016</v>
      </c>
      <c r="C998" s="17">
        <v>-1.5038</v>
      </c>
      <c r="D998" s="17">
        <v>-0.40539999999999998</v>
      </c>
      <c r="E998" s="11">
        <f t="shared" si="45"/>
        <v>-0.40839999999999999</v>
      </c>
      <c r="F998" s="11">
        <f t="shared" si="46"/>
        <v>-0.37820837959421044</v>
      </c>
      <c r="G998" s="13">
        <f t="shared" si="47"/>
        <v>-1.1255916204057896</v>
      </c>
    </row>
    <row r="999" spans="1:7" x14ac:dyDescent="0.25">
      <c r="A999" s="15" t="s">
        <v>34</v>
      </c>
      <c r="B999" s="16">
        <v>42017</v>
      </c>
      <c r="C999" s="17">
        <v>0.37809999999999999</v>
      </c>
      <c r="D999" s="17">
        <v>0.58120000000000005</v>
      </c>
      <c r="E999" s="11">
        <f t="shared" si="45"/>
        <v>0.57820000000000005</v>
      </c>
      <c r="F999" s="11">
        <f t="shared" si="46"/>
        <v>0.71809089451833641</v>
      </c>
      <c r="G999" s="13">
        <f t="shared" si="47"/>
        <v>-0.33999089451833642</v>
      </c>
    </row>
    <row r="1000" spans="1:7" x14ac:dyDescent="0.25">
      <c r="A1000" s="15" t="s">
        <v>34</v>
      </c>
      <c r="B1000" s="16">
        <v>42018</v>
      </c>
      <c r="C1000" s="17">
        <v>-1.9048</v>
      </c>
      <c r="D1000" s="17">
        <v>-0.56020000000000003</v>
      </c>
      <c r="E1000" s="11">
        <f t="shared" si="45"/>
        <v>-0.56320000000000003</v>
      </c>
      <c r="F1000" s="11">
        <f t="shared" si="46"/>
        <v>-0.55022046922792445</v>
      </c>
      <c r="G1000" s="13">
        <f t="shared" si="47"/>
        <v>-1.3545795307720756</v>
      </c>
    </row>
    <row r="1001" spans="1:7" x14ac:dyDescent="0.25">
      <c r="A1001" s="15" t="s">
        <v>34</v>
      </c>
      <c r="B1001" s="16">
        <v>42019</v>
      </c>
      <c r="C1001" s="17">
        <v>1.1472</v>
      </c>
      <c r="D1001" s="17">
        <v>-0.1651</v>
      </c>
      <c r="E1001" s="11">
        <f t="shared" si="45"/>
        <v>-0.1681</v>
      </c>
      <c r="F1001" s="11">
        <f t="shared" si="46"/>
        <v>-0.11118961254652647</v>
      </c>
      <c r="G1001" s="13">
        <f t="shared" si="47"/>
        <v>1.2583896125465264</v>
      </c>
    </row>
    <row r="1002" spans="1:7" x14ac:dyDescent="0.25">
      <c r="A1002" s="15" t="s">
        <v>34</v>
      </c>
      <c r="B1002" s="16">
        <v>42020</v>
      </c>
      <c r="C1002" s="17">
        <v>4.0974000000000004</v>
      </c>
      <c r="D1002" s="17">
        <v>-0.2928</v>
      </c>
      <c r="E1002" s="11">
        <f t="shared" si="45"/>
        <v>-0.29580000000000001</v>
      </c>
      <c r="F1002" s="11">
        <f t="shared" si="46"/>
        <v>-0.25308847460224537</v>
      </c>
      <c r="G1002" s="13">
        <f t="shared" si="47"/>
        <v>4.3504884746022459</v>
      </c>
    </row>
    <row r="1003" spans="1:7" x14ac:dyDescent="0.25">
      <c r="A1003" s="15" t="s">
        <v>34</v>
      </c>
      <c r="B1003" s="16">
        <v>42023</v>
      </c>
      <c r="C1003" s="17">
        <v>1.4493</v>
      </c>
      <c r="D1003" s="17">
        <v>0.39069999999999999</v>
      </c>
      <c r="E1003" s="11">
        <f t="shared" si="45"/>
        <v>0.38769999999999999</v>
      </c>
      <c r="F1003" s="11">
        <f t="shared" si="46"/>
        <v>0.50640935010475419</v>
      </c>
      <c r="G1003" s="13">
        <f t="shared" si="47"/>
        <v>0.94289064989524585</v>
      </c>
    </row>
    <row r="1004" spans="1:7" x14ac:dyDescent="0.25">
      <c r="A1004" s="15" t="s">
        <v>34</v>
      </c>
      <c r="B1004" s="16">
        <v>42024</v>
      </c>
      <c r="C1004" s="17">
        <v>-0.72199999999999998</v>
      </c>
      <c r="D1004" s="17">
        <v>0.84260000000000002</v>
      </c>
      <c r="E1004" s="11">
        <f t="shared" si="45"/>
        <v>0.83960000000000001</v>
      </c>
      <c r="F1004" s="11">
        <f t="shared" si="46"/>
        <v>1.0085557538868948</v>
      </c>
      <c r="G1004" s="13">
        <f t="shared" si="47"/>
        <v>-1.7305557538868948</v>
      </c>
    </row>
    <row r="1005" spans="1:7" x14ac:dyDescent="0.25">
      <c r="A1005" s="15" t="s">
        <v>34</v>
      </c>
      <c r="B1005" s="16">
        <v>42025</v>
      </c>
      <c r="C1005" s="17">
        <v>2.1505999999999998</v>
      </c>
      <c r="D1005" s="17">
        <v>0.73250000000000004</v>
      </c>
      <c r="E1005" s="11">
        <f t="shared" si="45"/>
        <v>0.72950000000000004</v>
      </c>
      <c r="F1005" s="11">
        <f t="shared" si="46"/>
        <v>0.88621382191872999</v>
      </c>
      <c r="G1005" s="13">
        <f t="shared" si="47"/>
        <v>1.2643861780812697</v>
      </c>
    </row>
    <row r="1006" spans="1:7" x14ac:dyDescent="0.25">
      <c r="A1006" s="15" t="s">
        <v>34</v>
      </c>
      <c r="B1006" s="16">
        <v>42026</v>
      </c>
      <c r="C1006" s="17">
        <v>-0.7117</v>
      </c>
      <c r="D1006" s="17">
        <v>0.53290000000000004</v>
      </c>
      <c r="E1006" s="11">
        <f t="shared" si="45"/>
        <v>0.52990000000000004</v>
      </c>
      <c r="F1006" s="11">
        <f t="shared" si="46"/>
        <v>0.66442045569851482</v>
      </c>
      <c r="G1006" s="13">
        <f t="shared" si="47"/>
        <v>-1.3761204556985147</v>
      </c>
    </row>
    <row r="1007" spans="1:7" x14ac:dyDescent="0.25">
      <c r="A1007" s="15" t="s">
        <v>34</v>
      </c>
      <c r="B1007" s="16">
        <v>42027</v>
      </c>
      <c r="C1007" s="17">
        <v>3.5091000000000001</v>
      </c>
      <c r="D1007" s="17">
        <v>1.0767</v>
      </c>
      <c r="E1007" s="11">
        <f t="shared" si="45"/>
        <v>1.0737000000000001</v>
      </c>
      <c r="F1007" s="11">
        <f t="shared" si="46"/>
        <v>1.2686851478355541</v>
      </c>
      <c r="G1007" s="13">
        <f t="shared" si="47"/>
        <v>2.240414852164446</v>
      </c>
    </row>
    <row r="1008" spans="1:7" x14ac:dyDescent="0.25">
      <c r="A1008" s="15" t="s">
        <v>34</v>
      </c>
      <c r="B1008" s="16">
        <v>42030</v>
      </c>
      <c r="C1008" s="17">
        <v>0</v>
      </c>
      <c r="D1008" s="17">
        <v>7.0999999999999994E-2</v>
      </c>
      <c r="E1008" s="11">
        <f t="shared" si="45"/>
        <v>6.7999999999999991E-2</v>
      </c>
      <c r="F1008" s="11">
        <f t="shared" si="46"/>
        <v>0.15116215982117298</v>
      </c>
      <c r="G1008" s="13">
        <f t="shared" si="47"/>
        <v>-0.15116215982117298</v>
      </c>
    </row>
    <row r="1009" spans="1:7" x14ac:dyDescent="0.25">
      <c r="A1009" s="15" t="s">
        <v>34</v>
      </c>
      <c r="B1009" s="16">
        <v>42031</v>
      </c>
      <c r="C1009" s="17">
        <v>1.3698999999999999</v>
      </c>
      <c r="D1009" s="17">
        <v>0.46229999999999999</v>
      </c>
      <c r="E1009" s="11">
        <f t="shared" si="45"/>
        <v>0.45929999999999999</v>
      </c>
      <c r="F1009" s="11">
        <f t="shared" si="46"/>
        <v>0.58597049750639452</v>
      </c>
      <c r="G1009" s="13">
        <f t="shared" si="47"/>
        <v>0.78392950249360538</v>
      </c>
    </row>
    <row r="1010" spans="1:7" x14ac:dyDescent="0.25">
      <c r="A1010" s="15" t="s">
        <v>34</v>
      </c>
      <c r="B1010" s="16">
        <v>42032</v>
      </c>
      <c r="C1010" s="17">
        <v>-0.3407</v>
      </c>
      <c r="D1010" s="17">
        <v>-0.11210000000000001</v>
      </c>
      <c r="E1010" s="11">
        <f t="shared" si="45"/>
        <v>-0.11510000000000001</v>
      </c>
      <c r="F1010" s="11">
        <f t="shared" si="46"/>
        <v>-5.2296584441960323E-2</v>
      </c>
      <c r="G1010" s="13">
        <f t="shared" si="47"/>
        <v>-0.28840341555803967</v>
      </c>
    </row>
    <row r="1011" spans="1:7" x14ac:dyDescent="0.25">
      <c r="A1011" s="15" t="s">
        <v>34</v>
      </c>
      <c r="B1011" s="16">
        <v>42033</v>
      </c>
      <c r="C1011" s="17">
        <v>-2.069</v>
      </c>
      <c r="D1011" s="17">
        <v>-0.88729999999999998</v>
      </c>
      <c r="E1011" s="11">
        <f t="shared" si="45"/>
        <v>-0.89029999999999998</v>
      </c>
      <c r="F1011" s="11">
        <f t="shared" si="46"/>
        <v>-0.9136904596619545</v>
      </c>
      <c r="G1011" s="13">
        <f t="shared" si="47"/>
        <v>-1.1553095403380453</v>
      </c>
    </row>
    <row r="1012" spans="1:7" x14ac:dyDescent="0.25">
      <c r="A1012" s="15" t="s">
        <v>34</v>
      </c>
      <c r="B1012" s="16">
        <v>42034</v>
      </c>
      <c r="C1012" s="17">
        <v>-1.7575000000000001</v>
      </c>
      <c r="D1012" s="17">
        <v>-0.69179999999999997</v>
      </c>
      <c r="E1012" s="11">
        <f t="shared" si="45"/>
        <v>-0.69479999999999997</v>
      </c>
      <c r="F1012" s="11">
        <f t="shared" si="46"/>
        <v>-0.69645296920077171</v>
      </c>
      <c r="G1012" s="13">
        <f t="shared" si="47"/>
        <v>-1.0610470307992284</v>
      </c>
    </row>
    <row r="1013" spans="1:7" x14ac:dyDescent="0.25">
      <c r="A1013" s="15" t="s">
        <v>34</v>
      </c>
      <c r="B1013" s="16">
        <v>42037</v>
      </c>
      <c r="C1013" s="17">
        <v>1.0582</v>
      </c>
      <c r="D1013" s="17">
        <v>0.26750000000000002</v>
      </c>
      <c r="E1013" s="11">
        <f t="shared" si="45"/>
        <v>0.26450000000000001</v>
      </c>
      <c r="F1013" s="11">
        <f t="shared" si="46"/>
        <v>0.36951083949187585</v>
      </c>
      <c r="G1013" s="13">
        <f t="shared" si="47"/>
        <v>0.68868916050812423</v>
      </c>
    </row>
    <row r="1014" spans="1:7" x14ac:dyDescent="0.25">
      <c r="A1014" s="15" t="s">
        <v>34</v>
      </c>
      <c r="B1014" s="16">
        <v>42038</v>
      </c>
      <c r="C1014" s="17">
        <v>1.3937999999999999</v>
      </c>
      <c r="D1014" s="17">
        <v>0.65559999999999996</v>
      </c>
      <c r="E1014" s="11">
        <f t="shared" si="45"/>
        <v>0.65259999999999996</v>
      </c>
      <c r="F1014" s="11">
        <f t="shared" si="46"/>
        <v>0.80076337170663292</v>
      </c>
      <c r="G1014" s="13">
        <f t="shared" si="47"/>
        <v>0.59303662829336701</v>
      </c>
    </row>
    <row r="1015" spans="1:7" x14ac:dyDescent="0.25">
      <c r="A1015" s="15" t="s">
        <v>34</v>
      </c>
      <c r="B1015" s="16">
        <v>42039</v>
      </c>
      <c r="C1015" s="17">
        <v>1.0327</v>
      </c>
      <c r="D1015" s="17">
        <v>0.68759999999999999</v>
      </c>
      <c r="E1015" s="11">
        <f t="shared" si="45"/>
        <v>0.68459999999999999</v>
      </c>
      <c r="F1015" s="11">
        <f t="shared" si="46"/>
        <v>0.83632142641127671</v>
      </c>
      <c r="G1015" s="13">
        <f t="shared" si="47"/>
        <v>0.19637857358872324</v>
      </c>
    </row>
    <row r="1016" spans="1:7" x14ac:dyDescent="0.25">
      <c r="A1016" s="15" t="s">
        <v>34</v>
      </c>
      <c r="B1016" s="16">
        <v>42040</v>
      </c>
      <c r="C1016" s="17">
        <v>-0.34310000000000002</v>
      </c>
      <c r="D1016" s="17">
        <v>-1.9699999999999999E-2</v>
      </c>
      <c r="E1016" s="11">
        <f t="shared" si="45"/>
        <v>-2.2699999999999998E-2</v>
      </c>
      <c r="F1016" s="11">
        <f t="shared" si="46"/>
        <v>5.0377298517698448E-2</v>
      </c>
      <c r="G1016" s="13">
        <f t="shared" si="47"/>
        <v>-0.39347729851769847</v>
      </c>
    </row>
    <row r="1017" spans="1:7" x14ac:dyDescent="0.25">
      <c r="A1017" s="15" t="s">
        <v>34</v>
      </c>
      <c r="B1017" s="16">
        <v>42041</v>
      </c>
      <c r="C1017" s="17">
        <v>-1.7331000000000001</v>
      </c>
      <c r="D1017" s="17">
        <v>-0.58909999999999996</v>
      </c>
      <c r="E1017" s="11">
        <f t="shared" si="45"/>
        <v>-0.59209999999999996</v>
      </c>
      <c r="F1017" s="11">
        <f t="shared" si="46"/>
        <v>-0.58233383738305577</v>
      </c>
      <c r="G1017" s="13">
        <f t="shared" si="47"/>
        <v>-1.1507661626169443</v>
      </c>
    </row>
    <row r="1018" spans="1:7" x14ac:dyDescent="0.25">
      <c r="A1018" s="15" t="s">
        <v>34</v>
      </c>
      <c r="B1018" s="16">
        <v>42044</v>
      </c>
      <c r="C1018" s="17">
        <v>-0.70179999999999998</v>
      </c>
      <c r="D1018" s="17">
        <v>-0.3674</v>
      </c>
      <c r="E1018" s="11">
        <f t="shared" si="45"/>
        <v>-0.37040000000000001</v>
      </c>
      <c r="F1018" s="11">
        <f t="shared" si="46"/>
        <v>-0.33598318963244606</v>
      </c>
      <c r="G1018" s="13">
        <f t="shared" si="47"/>
        <v>-0.36581681036755392</v>
      </c>
    </row>
    <row r="1019" spans="1:7" x14ac:dyDescent="0.25">
      <c r="A1019" s="15" t="s">
        <v>34</v>
      </c>
      <c r="B1019" s="16">
        <v>42045</v>
      </c>
      <c r="C1019" s="17">
        <v>0.35149999999999998</v>
      </c>
      <c r="D1019" s="17">
        <v>-0.29549999999999998</v>
      </c>
      <c r="E1019" s="11">
        <f t="shared" si="45"/>
        <v>-0.29849999999999999</v>
      </c>
      <c r="F1019" s="11">
        <f t="shared" si="46"/>
        <v>-0.25608868546794966</v>
      </c>
      <c r="G1019" s="13">
        <f t="shared" si="47"/>
        <v>0.60758868546794964</v>
      </c>
    </row>
    <row r="1020" spans="1:7" x14ac:dyDescent="0.25">
      <c r="A1020" s="15" t="s">
        <v>34</v>
      </c>
      <c r="B1020" s="16">
        <v>42046</v>
      </c>
      <c r="C1020" s="17">
        <v>3.7869999999999999</v>
      </c>
      <c r="D1020" s="17">
        <v>0.7268</v>
      </c>
      <c r="E1020" s="11">
        <f t="shared" si="45"/>
        <v>0.7238</v>
      </c>
      <c r="F1020" s="11">
        <f t="shared" si="46"/>
        <v>0.87988004342446524</v>
      </c>
      <c r="G1020" s="13">
        <f t="shared" si="47"/>
        <v>2.9071199565755346</v>
      </c>
    </row>
    <row r="1021" spans="1:7" x14ac:dyDescent="0.25">
      <c r="A1021" s="15" t="s">
        <v>34</v>
      </c>
      <c r="B1021" s="16">
        <v>42047</v>
      </c>
      <c r="C1021" s="17">
        <v>0.33729999999999999</v>
      </c>
      <c r="D1021" s="17">
        <v>0.35959999999999998</v>
      </c>
      <c r="E1021" s="11">
        <f t="shared" si="45"/>
        <v>0.35659999999999997</v>
      </c>
      <c r="F1021" s="11">
        <f t="shared" si="46"/>
        <v>0.47185136568867853</v>
      </c>
      <c r="G1021" s="13">
        <f t="shared" si="47"/>
        <v>-0.13455136568867854</v>
      </c>
    </row>
    <row r="1022" spans="1:7" x14ac:dyDescent="0.25">
      <c r="A1022" s="15" t="s">
        <v>34</v>
      </c>
      <c r="B1022" s="16">
        <v>42048</v>
      </c>
      <c r="C1022" s="17">
        <v>0</v>
      </c>
      <c r="D1022" s="17">
        <v>0.34899999999999998</v>
      </c>
      <c r="E1022" s="11">
        <f t="shared" si="45"/>
        <v>0.34599999999999997</v>
      </c>
      <c r="F1022" s="11">
        <f t="shared" si="46"/>
        <v>0.46007276006776532</v>
      </c>
      <c r="G1022" s="13">
        <f t="shared" si="47"/>
        <v>-0.46007276006776532</v>
      </c>
    </row>
    <row r="1023" spans="1:7" x14ac:dyDescent="0.25">
      <c r="A1023" s="15" t="s">
        <v>34</v>
      </c>
      <c r="B1023" s="16">
        <v>42059</v>
      </c>
      <c r="C1023" s="17">
        <v>1.6695</v>
      </c>
      <c r="D1023" s="17">
        <v>1.0425</v>
      </c>
      <c r="E1023" s="11">
        <f t="shared" si="45"/>
        <v>1.0395000000000001</v>
      </c>
      <c r="F1023" s="11">
        <f t="shared" si="46"/>
        <v>1.230682476869966</v>
      </c>
      <c r="G1023" s="13">
        <f t="shared" si="47"/>
        <v>0.43881752313003397</v>
      </c>
    </row>
    <row r="1024" spans="1:7" x14ac:dyDescent="0.25">
      <c r="A1024" s="15" t="s">
        <v>34</v>
      </c>
      <c r="B1024" s="16">
        <v>42060</v>
      </c>
      <c r="C1024" s="17">
        <v>2.2913999999999999</v>
      </c>
      <c r="D1024" s="17">
        <v>0.72609999999999997</v>
      </c>
      <c r="E1024" s="11">
        <f t="shared" si="45"/>
        <v>0.72309999999999997</v>
      </c>
      <c r="F1024" s="11">
        <f t="shared" si="46"/>
        <v>0.87910221097780117</v>
      </c>
      <c r="G1024" s="13">
        <f t="shared" si="47"/>
        <v>1.4122977890221988</v>
      </c>
    </row>
    <row r="1025" spans="1:7" x14ac:dyDescent="0.25">
      <c r="A1025" s="15" t="s">
        <v>34</v>
      </c>
      <c r="B1025" s="16">
        <v>42061</v>
      </c>
      <c r="C1025" s="17">
        <v>-2.6231</v>
      </c>
      <c r="D1025" s="17">
        <v>-0.80159999999999998</v>
      </c>
      <c r="E1025" s="11">
        <f t="shared" si="45"/>
        <v>-0.80459999999999998</v>
      </c>
      <c r="F1025" s="11">
        <f t="shared" si="46"/>
        <v>-0.81846154440608054</v>
      </c>
      <c r="G1025" s="13">
        <f t="shared" si="47"/>
        <v>-1.8046384555939194</v>
      </c>
    </row>
    <row r="1026" spans="1:7" x14ac:dyDescent="0.25">
      <c r="A1026" s="15" t="s">
        <v>34</v>
      </c>
      <c r="B1026" s="16">
        <v>42065</v>
      </c>
      <c r="C1026" s="17">
        <v>-1.0017</v>
      </c>
      <c r="D1026" s="17">
        <v>-0.21579999999999999</v>
      </c>
      <c r="E1026" s="11">
        <f t="shared" si="45"/>
        <v>-0.21879999999999999</v>
      </c>
      <c r="F1026" s="11">
        <f t="shared" si="46"/>
        <v>-0.16752690546919635</v>
      </c>
      <c r="G1026" s="13">
        <f t="shared" si="47"/>
        <v>-0.83417309453080368</v>
      </c>
    </row>
    <row r="1027" spans="1:7" x14ac:dyDescent="0.25">
      <c r="A1027" s="15" t="s">
        <v>34</v>
      </c>
      <c r="B1027" s="16">
        <v>42066</v>
      </c>
      <c r="C1027" s="17">
        <v>1.0017</v>
      </c>
      <c r="D1027" s="17">
        <v>4.5900000000000003E-2</v>
      </c>
      <c r="E1027" s="11">
        <f t="shared" ref="E1027:E1090" si="48">D1027-$K$1</f>
        <v>4.2900000000000001E-2</v>
      </c>
      <c r="F1027" s="11">
        <f t="shared" ref="F1027:F1090" si="49">K$2+K$3*E1027</f>
        <v>0.12327131066221808</v>
      </c>
      <c r="G1027" s="13">
        <f t="shared" ref="G1027:G1090" si="50">C1027-F1027</f>
        <v>0.87842868933778195</v>
      </c>
    </row>
    <row r="1028" spans="1:7" x14ac:dyDescent="0.25">
      <c r="A1028" s="15" t="s">
        <v>34</v>
      </c>
      <c r="B1028" s="16">
        <v>42067</v>
      </c>
      <c r="C1028" s="17">
        <v>0</v>
      </c>
      <c r="D1028" s="17">
        <v>0.16600000000000001</v>
      </c>
      <c r="E1028" s="11">
        <f t="shared" si="48"/>
        <v>0.16300000000000001</v>
      </c>
      <c r="F1028" s="11">
        <f t="shared" si="49"/>
        <v>0.25672513472558406</v>
      </c>
      <c r="G1028" s="13">
        <f t="shared" si="50"/>
        <v>-0.25672513472558406</v>
      </c>
    </row>
    <row r="1029" spans="1:7" x14ac:dyDescent="0.25">
      <c r="A1029" s="15" t="s">
        <v>34</v>
      </c>
      <c r="B1029" s="16">
        <v>42068</v>
      </c>
      <c r="C1029" s="17">
        <v>-0.33279999999999998</v>
      </c>
      <c r="D1029" s="17">
        <v>-0.27729999999999999</v>
      </c>
      <c r="E1029" s="11">
        <f t="shared" si="48"/>
        <v>-0.28029999999999999</v>
      </c>
      <c r="F1029" s="11">
        <f t="shared" si="49"/>
        <v>-0.23586504185468354</v>
      </c>
      <c r="G1029" s="13">
        <f t="shared" si="50"/>
        <v>-9.6934958145316441E-2</v>
      </c>
    </row>
    <row r="1030" spans="1:7" x14ac:dyDescent="0.25">
      <c r="A1030" s="15" t="s">
        <v>34</v>
      </c>
      <c r="B1030" s="16">
        <v>42069</v>
      </c>
      <c r="C1030" s="17">
        <v>-0.66890000000000005</v>
      </c>
      <c r="D1030" s="17">
        <v>0.52680000000000005</v>
      </c>
      <c r="E1030" s="11">
        <f t="shared" si="48"/>
        <v>0.52380000000000004</v>
      </c>
      <c r="F1030" s="11">
        <f t="shared" si="49"/>
        <v>0.65764220152044206</v>
      </c>
      <c r="G1030" s="13">
        <f t="shared" si="50"/>
        <v>-1.326542201520442</v>
      </c>
    </row>
    <row r="1031" spans="1:7" x14ac:dyDescent="0.25">
      <c r="A1031" s="15" t="s">
        <v>34</v>
      </c>
      <c r="B1031" s="16">
        <v>42072</v>
      </c>
      <c r="C1031" s="17">
        <v>-2.3769999999999998</v>
      </c>
      <c r="D1031" s="17">
        <v>-0.86199999999999999</v>
      </c>
      <c r="E1031" s="11">
        <f t="shared" si="48"/>
        <v>-0.86499999999999999</v>
      </c>
      <c r="F1031" s="11">
        <f t="shared" si="49"/>
        <v>-0.8855773726610956</v>
      </c>
      <c r="G1031" s="13">
        <f t="shared" si="50"/>
        <v>-1.4914226273389042</v>
      </c>
    </row>
    <row r="1032" spans="1:7" x14ac:dyDescent="0.25">
      <c r="A1032" s="15" t="s">
        <v>34</v>
      </c>
      <c r="B1032" s="16">
        <v>42073</v>
      </c>
      <c r="C1032" s="17">
        <v>-1.0363</v>
      </c>
      <c r="D1032" s="17">
        <v>-0.27700000000000002</v>
      </c>
      <c r="E1032" s="11">
        <f t="shared" si="48"/>
        <v>-0.28000000000000003</v>
      </c>
      <c r="F1032" s="11">
        <f t="shared" si="49"/>
        <v>-0.23553168509182754</v>
      </c>
      <c r="G1032" s="13">
        <f t="shared" si="50"/>
        <v>-0.80076831490817246</v>
      </c>
    </row>
    <row r="1033" spans="1:7" x14ac:dyDescent="0.25">
      <c r="A1033" s="15" t="s">
        <v>34</v>
      </c>
      <c r="B1033" s="16">
        <v>42074</v>
      </c>
      <c r="C1033" s="17">
        <v>1.3793</v>
      </c>
      <c r="D1033" s="17">
        <v>-0.1401</v>
      </c>
      <c r="E1033" s="11">
        <f t="shared" si="48"/>
        <v>-0.1431</v>
      </c>
      <c r="F1033" s="11">
        <f t="shared" si="49"/>
        <v>-8.3409882308523572E-2</v>
      </c>
      <c r="G1033" s="13">
        <f t="shared" si="50"/>
        <v>1.4627098823085236</v>
      </c>
    </row>
    <row r="1034" spans="1:7" x14ac:dyDescent="0.25">
      <c r="A1034" s="15" t="s">
        <v>34</v>
      </c>
      <c r="B1034" s="16">
        <v>42075</v>
      </c>
      <c r="C1034" s="17">
        <v>1.3606</v>
      </c>
      <c r="D1034" s="17">
        <v>0.76180000000000003</v>
      </c>
      <c r="E1034" s="11">
        <f t="shared" si="48"/>
        <v>0.75880000000000003</v>
      </c>
      <c r="F1034" s="11">
        <f t="shared" si="49"/>
        <v>0.91877166575766944</v>
      </c>
      <c r="G1034" s="13">
        <f t="shared" si="50"/>
        <v>0.44182833424233059</v>
      </c>
    </row>
    <row r="1035" spans="1:7" x14ac:dyDescent="0.25">
      <c r="A1035" s="15" t="s">
        <v>34</v>
      </c>
      <c r="B1035" s="16">
        <v>42076</v>
      </c>
      <c r="C1035" s="17">
        <v>0.6734</v>
      </c>
      <c r="D1035" s="17">
        <v>-0.17369999999999999</v>
      </c>
      <c r="E1035" s="11">
        <f t="shared" si="48"/>
        <v>-0.1767</v>
      </c>
      <c r="F1035" s="11">
        <f t="shared" si="49"/>
        <v>-0.12074583974839946</v>
      </c>
      <c r="G1035" s="13">
        <f t="shared" si="50"/>
        <v>0.79414583974839947</v>
      </c>
    </row>
    <row r="1036" spans="1:7" x14ac:dyDescent="0.25">
      <c r="A1036" s="15" t="s">
        <v>34</v>
      </c>
      <c r="B1036" s="16">
        <v>42079</v>
      </c>
      <c r="C1036" s="17">
        <v>-2.0339999999999998</v>
      </c>
      <c r="D1036" s="17">
        <v>-0.69599999999999995</v>
      </c>
      <c r="E1036" s="11">
        <f t="shared" si="48"/>
        <v>-0.69899999999999995</v>
      </c>
      <c r="F1036" s="11">
        <f t="shared" si="49"/>
        <v>-0.70111996388075626</v>
      </c>
      <c r="G1036" s="13">
        <f t="shared" si="50"/>
        <v>-1.3328800361192434</v>
      </c>
    </row>
    <row r="1037" spans="1:7" x14ac:dyDescent="0.25">
      <c r="A1037" s="15" t="s">
        <v>34</v>
      </c>
      <c r="B1037" s="16">
        <v>42080</v>
      </c>
      <c r="C1037" s="17">
        <v>2.0339999999999998</v>
      </c>
      <c r="D1037" s="17">
        <v>0.27850000000000003</v>
      </c>
      <c r="E1037" s="11">
        <f t="shared" si="48"/>
        <v>0.27550000000000002</v>
      </c>
      <c r="F1037" s="11">
        <f t="shared" si="49"/>
        <v>0.38173392079659713</v>
      </c>
      <c r="G1037" s="13">
        <f t="shared" si="50"/>
        <v>1.6522660792034027</v>
      </c>
    </row>
    <row r="1038" spans="1:7" x14ac:dyDescent="0.25">
      <c r="A1038" s="15" t="s">
        <v>34</v>
      </c>
      <c r="B1038" s="16">
        <v>42081</v>
      </c>
      <c r="C1038" s="17">
        <v>2.9754</v>
      </c>
      <c r="D1038" s="17">
        <v>1.1879</v>
      </c>
      <c r="E1038" s="11">
        <f t="shared" si="48"/>
        <v>1.1849000000000001</v>
      </c>
      <c r="F1038" s="11">
        <f t="shared" si="49"/>
        <v>1.3922493879341911</v>
      </c>
      <c r="G1038" s="13">
        <f t="shared" si="50"/>
        <v>1.583150612065809</v>
      </c>
    </row>
    <row r="1039" spans="1:7" x14ac:dyDescent="0.25">
      <c r="A1039" s="15" t="s">
        <v>34</v>
      </c>
      <c r="B1039" s="16">
        <v>42082</v>
      </c>
      <c r="C1039" s="17">
        <v>0.32519999999999999</v>
      </c>
      <c r="D1039" s="17">
        <v>0.85919999999999996</v>
      </c>
      <c r="E1039" s="11">
        <f t="shared" si="48"/>
        <v>0.85619999999999996</v>
      </c>
      <c r="F1039" s="11">
        <f t="shared" si="49"/>
        <v>1.0270014947649286</v>
      </c>
      <c r="G1039" s="13">
        <f t="shared" si="50"/>
        <v>-0.7018014947649287</v>
      </c>
    </row>
    <row r="1040" spans="1:7" x14ac:dyDescent="0.25">
      <c r="A1040" s="15" t="s">
        <v>34</v>
      </c>
      <c r="B1040" s="16">
        <v>42083</v>
      </c>
      <c r="C1040" s="17">
        <v>0</v>
      </c>
      <c r="D1040" s="17">
        <v>0.13300000000000001</v>
      </c>
      <c r="E1040" s="11">
        <f t="shared" si="48"/>
        <v>0.13</v>
      </c>
      <c r="F1040" s="11">
        <f t="shared" si="49"/>
        <v>0.22005589081142024</v>
      </c>
      <c r="G1040" s="13">
        <f t="shared" si="50"/>
        <v>-0.22005589081142024</v>
      </c>
    </row>
    <row r="1041" spans="1:7" x14ac:dyDescent="0.25">
      <c r="A1041" s="15" t="s">
        <v>34</v>
      </c>
      <c r="B1041" s="16">
        <v>42086</v>
      </c>
      <c r="C1041" s="17">
        <v>-0.32519999999999999</v>
      </c>
      <c r="D1041" s="17">
        <v>8.6099999999999996E-2</v>
      </c>
      <c r="E1041" s="11">
        <f t="shared" si="48"/>
        <v>8.3099999999999993E-2</v>
      </c>
      <c r="F1041" s="11">
        <f t="shared" si="49"/>
        <v>0.16794111688492674</v>
      </c>
      <c r="G1041" s="13">
        <f t="shared" si="50"/>
        <v>-0.49314111688492673</v>
      </c>
    </row>
    <row r="1042" spans="1:7" x14ac:dyDescent="0.25">
      <c r="A1042" s="15" t="s">
        <v>34</v>
      </c>
      <c r="B1042" s="16">
        <v>42087</v>
      </c>
      <c r="C1042" s="17">
        <v>-1.3115000000000001</v>
      </c>
      <c r="D1042" s="17">
        <v>-0.2712</v>
      </c>
      <c r="E1042" s="11">
        <f t="shared" si="48"/>
        <v>-0.2742</v>
      </c>
      <c r="F1042" s="11">
        <f t="shared" si="49"/>
        <v>-0.22908678767661084</v>
      </c>
      <c r="G1042" s="13">
        <f t="shared" si="50"/>
        <v>-1.0824132123233894</v>
      </c>
    </row>
    <row r="1043" spans="1:7" x14ac:dyDescent="0.25">
      <c r="A1043" s="15" t="s">
        <v>34</v>
      </c>
      <c r="B1043" s="16">
        <v>42088</v>
      </c>
      <c r="C1043" s="17">
        <v>-0.3306</v>
      </c>
      <c r="D1043" s="17">
        <v>-0.65810000000000002</v>
      </c>
      <c r="E1043" s="11">
        <f t="shared" si="48"/>
        <v>-0.66110000000000002</v>
      </c>
      <c r="F1043" s="11">
        <f t="shared" si="49"/>
        <v>-0.65900589283994382</v>
      </c>
      <c r="G1043" s="13">
        <f t="shared" si="50"/>
        <v>0.32840589283994381</v>
      </c>
    </row>
    <row r="1044" spans="1:7" x14ac:dyDescent="0.25">
      <c r="A1044" s="15" t="s">
        <v>34</v>
      </c>
      <c r="B1044" s="16">
        <v>42089</v>
      </c>
      <c r="C1044" s="17">
        <v>-3.7103999999999999</v>
      </c>
      <c r="D1044" s="17">
        <v>-0.50509999999999999</v>
      </c>
      <c r="E1044" s="11">
        <f t="shared" si="48"/>
        <v>-0.5081</v>
      </c>
      <c r="F1044" s="11">
        <f t="shared" si="49"/>
        <v>-0.48899394378336603</v>
      </c>
      <c r="G1044" s="13">
        <f t="shared" si="50"/>
        <v>-3.221406056216634</v>
      </c>
    </row>
    <row r="1045" spans="1:7" x14ac:dyDescent="0.25">
      <c r="A1045" s="15" t="s">
        <v>34</v>
      </c>
      <c r="B1045" s="16">
        <v>42090</v>
      </c>
      <c r="C1045" s="17">
        <v>-2.0834000000000001</v>
      </c>
      <c r="D1045" s="17">
        <v>-1.2069000000000001</v>
      </c>
      <c r="E1045" s="11">
        <f t="shared" si="48"/>
        <v>-1.2099</v>
      </c>
      <c r="F1045" s="11">
        <f t="shared" si="49"/>
        <v>-1.2688265310245836</v>
      </c>
      <c r="G1045" s="13">
        <f t="shared" si="50"/>
        <v>-0.81457346897541649</v>
      </c>
    </row>
    <row r="1046" spans="1:7" x14ac:dyDescent="0.25">
      <c r="A1046" s="15" t="s">
        <v>34</v>
      </c>
      <c r="B1046" s="16">
        <v>42093</v>
      </c>
      <c r="C1046" s="17">
        <v>0</v>
      </c>
      <c r="D1046" s="17">
        <v>0.1908</v>
      </c>
      <c r="E1046" s="11">
        <f t="shared" si="48"/>
        <v>0.18779999999999999</v>
      </c>
      <c r="F1046" s="11">
        <f t="shared" si="49"/>
        <v>0.28428262712168295</v>
      </c>
      <c r="G1046" s="13">
        <f t="shared" si="50"/>
        <v>-0.28428262712168295</v>
      </c>
    </row>
    <row r="1047" spans="1:7" x14ac:dyDescent="0.25">
      <c r="A1047" s="15" t="s">
        <v>34</v>
      </c>
      <c r="B1047" s="16">
        <v>42094</v>
      </c>
      <c r="C1047" s="17">
        <v>2.0834000000000001</v>
      </c>
      <c r="D1047" s="17">
        <v>0.67579999999999996</v>
      </c>
      <c r="E1047" s="11">
        <f t="shared" si="48"/>
        <v>0.67279999999999995</v>
      </c>
      <c r="F1047" s="11">
        <f t="shared" si="49"/>
        <v>0.82320939373893931</v>
      </c>
      <c r="G1047" s="13">
        <f t="shared" si="50"/>
        <v>1.2601906062610608</v>
      </c>
    </row>
    <row r="1048" spans="1:7" x14ac:dyDescent="0.25">
      <c r="A1048" s="15" t="s">
        <v>34</v>
      </c>
      <c r="B1048" s="16">
        <v>42095</v>
      </c>
      <c r="C1048" s="17">
        <v>-1.0363</v>
      </c>
      <c r="D1048" s="17">
        <v>-0.82520000000000004</v>
      </c>
      <c r="E1048" s="11">
        <f t="shared" si="48"/>
        <v>-0.82820000000000005</v>
      </c>
      <c r="F1048" s="11">
        <f t="shared" si="49"/>
        <v>-0.84468560975075535</v>
      </c>
      <c r="G1048" s="13">
        <f t="shared" si="50"/>
        <v>-0.19161439024924465</v>
      </c>
    </row>
    <row r="1049" spans="1:7" x14ac:dyDescent="0.25">
      <c r="A1049" s="15" t="s">
        <v>34</v>
      </c>
      <c r="B1049" s="16">
        <v>42096</v>
      </c>
      <c r="C1049" s="17">
        <v>2.0619000000000001</v>
      </c>
      <c r="D1049" s="17">
        <v>0.96989999999999998</v>
      </c>
      <c r="E1049" s="11">
        <f t="shared" si="48"/>
        <v>0.96689999999999998</v>
      </c>
      <c r="F1049" s="11">
        <f t="shared" si="49"/>
        <v>1.1500101402588057</v>
      </c>
      <c r="G1049" s="13">
        <f t="shared" si="50"/>
        <v>0.91188985974119441</v>
      </c>
    </row>
    <row r="1050" spans="1:7" x14ac:dyDescent="0.25">
      <c r="A1050" s="15" t="s">
        <v>34</v>
      </c>
      <c r="B1050" s="16">
        <v>42101</v>
      </c>
      <c r="C1050" s="17">
        <v>-0.68259999999999998</v>
      </c>
      <c r="D1050" s="17">
        <v>0.43219999999999997</v>
      </c>
      <c r="E1050" s="11">
        <f t="shared" si="48"/>
        <v>0.42919999999999997</v>
      </c>
      <c r="F1050" s="11">
        <f t="shared" si="49"/>
        <v>0.55252370229983905</v>
      </c>
      <c r="G1050" s="13">
        <f t="shared" si="50"/>
        <v>-1.2351237022998389</v>
      </c>
    </row>
    <row r="1051" spans="1:7" x14ac:dyDescent="0.25">
      <c r="A1051" s="15" t="s">
        <v>34</v>
      </c>
      <c r="B1051" s="16">
        <v>42102</v>
      </c>
      <c r="C1051" s="17">
        <v>-2.0762</v>
      </c>
      <c r="D1051" s="17">
        <v>-0.72789999999999999</v>
      </c>
      <c r="E1051" s="11">
        <f t="shared" si="48"/>
        <v>-0.73089999999999999</v>
      </c>
      <c r="F1051" s="11">
        <f t="shared" si="49"/>
        <v>-0.73656689966444799</v>
      </c>
      <c r="G1051" s="13">
        <f t="shared" si="50"/>
        <v>-1.3396331003355519</v>
      </c>
    </row>
    <row r="1052" spans="1:7" x14ac:dyDescent="0.25">
      <c r="A1052" s="15" t="s">
        <v>34</v>
      </c>
      <c r="B1052" s="16">
        <v>42103</v>
      </c>
      <c r="C1052" s="17">
        <v>0</v>
      </c>
      <c r="D1052" s="17">
        <v>-4.1099999999999998E-2</v>
      </c>
      <c r="E1052" s="11">
        <f t="shared" si="48"/>
        <v>-4.41E-2</v>
      </c>
      <c r="F1052" s="11">
        <f t="shared" si="49"/>
        <v>2.6597849433967959E-2</v>
      </c>
      <c r="G1052" s="13">
        <f t="shared" si="50"/>
        <v>-2.6597849433967959E-2</v>
      </c>
    </row>
    <row r="1053" spans="1:7" x14ac:dyDescent="0.25">
      <c r="A1053" s="15" t="s">
        <v>34</v>
      </c>
      <c r="B1053" s="16">
        <v>42104</v>
      </c>
      <c r="C1053" s="17">
        <v>2.7587999999999999</v>
      </c>
      <c r="D1053" s="17">
        <v>0.51770000000000005</v>
      </c>
      <c r="E1053" s="11">
        <f t="shared" si="48"/>
        <v>0.51470000000000005</v>
      </c>
      <c r="F1053" s="11">
        <f t="shared" si="49"/>
        <v>0.647530379713809</v>
      </c>
      <c r="G1053" s="13">
        <f t="shared" si="50"/>
        <v>2.1112696202861909</v>
      </c>
    </row>
    <row r="1054" spans="1:7" x14ac:dyDescent="0.25">
      <c r="A1054" s="15" t="s">
        <v>34</v>
      </c>
      <c r="B1054" s="16">
        <v>42107</v>
      </c>
      <c r="C1054" s="17">
        <v>0</v>
      </c>
      <c r="D1054" s="17">
        <v>0.50629999999999997</v>
      </c>
      <c r="E1054" s="11">
        <f t="shared" si="48"/>
        <v>0.50329999999999997</v>
      </c>
      <c r="F1054" s="11">
        <f t="shared" si="49"/>
        <v>0.63486282272527961</v>
      </c>
      <c r="G1054" s="13">
        <f t="shared" si="50"/>
        <v>-0.63486282272527961</v>
      </c>
    </row>
    <row r="1055" spans="1:7" x14ac:dyDescent="0.25">
      <c r="A1055" s="15" t="s">
        <v>34</v>
      </c>
      <c r="B1055" s="16">
        <v>42108</v>
      </c>
      <c r="C1055" s="17">
        <v>-2.0619000000000001</v>
      </c>
      <c r="D1055" s="17">
        <v>-0.25169999999999998</v>
      </c>
      <c r="E1055" s="11">
        <f t="shared" si="48"/>
        <v>-0.25469999999999998</v>
      </c>
      <c r="F1055" s="11">
        <f t="shared" si="49"/>
        <v>-0.20741859809096852</v>
      </c>
      <c r="G1055" s="13">
        <f t="shared" si="50"/>
        <v>-1.8544814019090317</v>
      </c>
    </row>
    <row r="1056" spans="1:7" x14ac:dyDescent="0.25">
      <c r="A1056" s="15" t="s">
        <v>34</v>
      </c>
      <c r="B1056" s="16">
        <v>42109</v>
      </c>
      <c r="C1056" s="17">
        <v>-0.69689999999999996</v>
      </c>
      <c r="D1056" s="17">
        <v>-1.0651999999999999</v>
      </c>
      <c r="E1056" s="11">
        <f t="shared" si="48"/>
        <v>-1.0681999999999998</v>
      </c>
      <c r="F1056" s="11">
        <f t="shared" si="49"/>
        <v>-1.1113710200355831</v>
      </c>
      <c r="G1056" s="13">
        <f t="shared" si="50"/>
        <v>0.41447102003558312</v>
      </c>
    </row>
    <row r="1057" spans="1:7" x14ac:dyDescent="0.25">
      <c r="A1057" s="15" t="s">
        <v>34</v>
      </c>
      <c r="B1057" s="16">
        <v>42110</v>
      </c>
      <c r="C1057" s="17">
        <v>2.7587999999999999</v>
      </c>
      <c r="D1057" s="17">
        <v>1.2170000000000001</v>
      </c>
      <c r="E1057" s="11">
        <f t="shared" si="48"/>
        <v>1.2140000000000002</v>
      </c>
      <c r="F1057" s="11">
        <f t="shared" si="49"/>
        <v>1.4245849939312265</v>
      </c>
      <c r="G1057" s="13">
        <f t="shared" si="50"/>
        <v>1.3342150060687734</v>
      </c>
    </row>
    <row r="1058" spans="1:7" x14ac:dyDescent="0.25">
      <c r="A1058" s="15" t="s">
        <v>34</v>
      </c>
      <c r="B1058" s="16">
        <v>42111</v>
      </c>
      <c r="C1058" s="17">
        <v>-3.1091000000000002</v>
      </c>
      <c r="D1058" s="17">
        <v>-0.89390000000000003</v>
      </c>
      <c r="E1058" s="11">
        <f t="shared" si="48"/>
        <v>-0.89690000000000003</v>
      </c>
      <c r="F1058" s="11">
        <f t="shared" si="49"/>
        <v>-0.92102430844478733</v>
      </c>
      <c r="G1058" s="13">
        <f t="shared" si="50"/>
        <v>-2.1880756915552126</v>
      </c>
    </row>
    <row r="1059" spans="1:7" x14ac:dyDescent="0.25">
      <c r="A1059" s="15" t="s">
        <v>34</v>
      </c>
      <c r="B1059" s="16">
        <v>42114</v>
      </c>
      <c r="C1059" s="17">
        <v>0.3503</v>
      </c>
      <c r="D1059" s="17">
        <v>-0.18909999999999999</v>
      </c>
      <c r="E1059" s="11">
        <f t="shared" si="48"/>
        <v>-0.19209999999999999</v>
      </c>
      <c r="F1059" s="11">
        <f t="shared" si="49"/>
        <v>-0.13785815357500925</v>
      </c>
      <c r="G1059" s="13">
        <f t="shared" si="50"/>
        <v>0.48815815357500925</v>
      </c>
    </row>
    <row r="1060" spans="1:7" x14ac:dyDescent="0.25">
      <c r="A1060" s="15" t="s">
        <v>34</v>
      </c>
      <c r="B1060" s="16">
        <v>42115</v>
      </c>
      <c r="C1060" s="17">
        <v>-0.3503</v>
      </c>
      <c r="D1060" s="17">
        <v>-0.19769999999999999</v>
      </c>
      <c r="E1060" s="11">
        <f t="shared" si="48"/>
        <v>-0.20069999999999999</v>
      </c>
      <c r="F1060" s="11">
        <f t="shared" si="49"/>
        <v>-0.14741438077688224</v>
      </c>
      <c r="G1060" s="13">
        <f t="shared" si="50"/>
        <v>-0.20288561922311776</v>
      </c>
    </row>
    <row r="1061" spans="1:7" x14ac:dyDescent="0.25">
      <c r="A1061" s="15" t="s">
        <v>34</v>
      </c>
      <c r="B1061" s="16">
        <v>42116</v>
      </c>
      <c r="C1061" s="17">
        <v>0.69930000000000003</v>
      </c>
      <c r="D1061" s="17">
        <v>0.82540000000000002</v>
      </c>
      <c r="E1061" s="11">
        <f t="shared" si="48"/>
        <v>0.82240000000000002</v>
      </c>
      <c r="F1061" s="11">
        <f t="shared" si="49"/>
        <v>0.9894432994831488</v>
      </c>
      <c r="G1061" s="13">
        <f t="shared" si="50"/>
        <v>-0.29014329948314876</v>
      </c>
    </row>
    <row r="1062" spans="1:7" x14ac:dyDescent="0.25">
      <c r="A1062" s="15" t="s">
        <v>34</v>
      </c>
      <c r="B1062" s="16">
        <v>42117</v>
      </c>
      <c r="C1062" s="17">
        <v>2.4098000000000002</v>
      </c>
      <c r="D1062" s="17">
        <v>1.901</v>
      </c>
      <c r="E1062" s="11">
        <f t="shared" si="48"/>
        <v>1.8980000000000001</v>
      </c>
      <c r="F1062" s="11">
        <f t="shared" si="49"/>
        <v>2.1846384132429861</v>
      </c>
      <c r="G1062" s="13">
        <f t="shared" si="50"/>
        <v>0.22516158675701403</v>
      </c>
    </row>
    <row r="1063" spans="1:7" x14ac:dyDescent="0.25">
      <c r="A1063" s="15" t="s">
        <v>34</v>
      </c>
      <c r="B1063" s="16">
        <v>42118</v>
      </c>
      <c r="C1063" s="17">
        <v>3.6732</v>
      </c>
      <c r="D1063" s="17">
        <v>1.1749000000000001</v>
      </c>
      <c r="E1063" s="11">
        <f t="shared" si="48"/>
        <v>1.1719000000000002</v>
      </c>
      <c r="F1063" s="11">
        <f t="shared" si="49"/>
        <v>1.3778039282104295</v>
      </c>
      <c r="G1063" s="13">
        <f t="shared" si="50"/>
        <v>2.2953960717895705</v>
      </c>
    </row>
    <row r="1064" spans="1:7" x14ac:dyDescent="0.25">
      <c r="A1064" s="15" t="s">
        <v>34</v>
      </c>
      <c r="B1064" s="16">
        <v>42121</v>
      </c>
      <c r="C1064" s="17">
        <v>-0.65790000000000004</v>
      </c>
      <c r="D1064" s="17">
        <v>0.6018</v>
      </c>
      <c r="E1064" s="11">
        <f t="shared" si="48"/>
        <v>0.5988</v>
      </c>
      <c r="F1064" s="11">
        <f t="shared" si="49"/>
        <v>0.7409813922344507</v>
      </c>
      <c r="G1064" s="13">
        <f t="shared" si="50"/>
        <v>-1.3988813922344507</v>
      </c>
    </row>
    <row r="1065" spans="1:7" x14ac:dyDescent="0.25">
      <c r="A1065" s="15" t="s">
        <v>34</v>
      </c>
      <c r="B1065" s="16">
        <v>42122</v>
      </c>
      <c r="C1065" s="17">
        <v>0</v>
      </c>
      <c r="D1065" s="17">
        <v>-0.16350000000000001</v>
      </c>
      <c r="E1065" s="11">
        <f t="shared" si="48"/>
        <v>-0.16650000000000001</v>
      </c>
      <c r="F1065" s="11">
        <f t="shared" si="49"/>
        <v>-0.10941170981129429</v>
      </c>
      <c r="G1065" s="13">
        <f t="shared" si="50"/>
        <v>0.10941170981129429</v>
      </c>
    </row>
    <row r="1066" spans="1:7" x14ac:dyDescent="0.25">
      <c r="A1066" s="15" t="s">
        <v>34</v>
      </c>
      <c r="B1066" s="16">
        <v>42123</v>
      </c>
      <c r="C1066" s="17">
        <v>-2.0001000000000002</v>
      </c>
      <c r="D1066" s="17">
        <v>-1.0399</v>
      </c>
      <c r="E1066" s="11">
        <f t="shared" si="48"/>
        <v>-1.0428999999999999</v>
      </c>
      <c r="F1066" s="11">
        <f t="shared" si="49"/>
        <v>-1.0832579330347243</v>
      </c>
      <c r="G1066" s="13">
        <f t="shared" si="50"/>
        <v>-0.91684206696527593</v>
      </c>
    </row>
    <row r="1067" spans="1:7" x14ac:dyDescent="0.25">
      <c r="A1067" s="15" t="s">
        <v>34</v>
      </c>
      <c r="B1067" s="16">
        <v>42124</v>
      </c>
      <c r="C1067" s="17">
        <v>-1.0152000000000001</v>
      </c>
      <c r="D1067" s="17">
        <v>-0.34339999999999998</v>
      </c>
      <c r="E1067" s="11">
        <f t="shared" si="48"/>
        <v>-0.34639999999999999</v>
      </c>
      <c r="F1067" s="11">
        <f t="shared" si="49"/>
        <v>-0.30931464860396324</v>
      </c>
      <c r="G1067" s="13">
        <f t="shared" si="50"/>
        <v>-0.70588535139603681</v>
      </c>
    </row>
    <row r="1068" spans="1:7" x14ac:dyDescent="0.25">
      <c r="A1068" s="15" t="s">
        <v>34</v>
      </c>
      <c r="B1068" s="16">
        <v>42128</v>
      </c>
      <c r="C1068" s="17">
        <v>0.33960000000000001</v>
      </c>
      <c r="D1068" s="17">
        <v>0.25419999999999998</v>
      </c>
      <c r="E1068" s="11">
        <f t="shared" si="48"/>
        <v>0.25119999999999998</v>
      </c>
      <c r="F1068" s="11">
        <f t="shared" si="49"/>
        <v>0.3547320230052583</v>
      </c>
      <c r="G1068" s="13">
        <f t="shared" si="50"/>
        <v>-1.5132023005258288E-2</v>
      </c>
    </row>
    <row r="1069" spans="1:7" x14ac:dyDescent="0.25">
      <c r="A1069" s="15" t="s">
        <v>34</v>
      </c>
      <c r="B1069" s="16">
        <v>42129</v>
      </c>
      <c r="C1069" s="17">
        <v>-0.33960000000000001</v>
      </c>
      <c r="D1069" s="17">
        <v>-0.25330000000000003</v>
      </c>
      <c r="E1069" s="11">
        <f t="shared" si="48"/>
        <v>-0.25630000000000003</v>
      </c>
      <c r="F1069" s="11">
        <f t="shared" si="49"/>
        <v>-0.20919650082620078</v>
      </c>
      <c r="G1069" s="13">
        <f t="shared" si="50"/>
        <v>-0.13040349917379923</v>
      </c>
    </row>
    <row r="1070" spans="1:7" x14ac:dyDescent="0.25">
      <c r="A1070" s="15" t="s">
        <v>34</v>
      </c>
      <c r="B1070" s="16">
        <v>42130</v>
      </c>
      <c r="C1070" s="17">
        <v>0.33960000000000001</v>
      </c>
      <c r="D1070" s="17">
        <v>-1.9699999999999999E-2</v>
      </c>
      <c r="E1070" s="11">
        <f t="shared" si="48"/>
        <v>-2.2699999999999998E-2</v>
      </c>
      <c r="F1070" s="11">
        <f t="shared" si="49"/>
        <v>5.0377298517698448E-2</v>
      </c>
      <c r="G1070" s="13">
        <f t="shared" si="50"/>
        <v>0.28922270148230156</v>
      </c>
    </row>
    <row r="1071" spans="1:7" x14ac:dyDescent="0.25">
      <c r="A1071" s="15" t="s">
        <v>34</v>
      </c>
      <c r="B1071" s="16">
        <v>42131</v>
      </c>
      <c r="C1071" s="17">
        <v>-0.68030000000000002</v>
      </c>
      <c r="D1071" s="17">
        <v>-1.1688000000000001</v>
      </c>
      <c r="E1071" s="11">
        <f t="shared" si="48"/>
        <v>-1.1718</v>
      </c>
      <c r="F1071" s="11">
        <f t="shared" si="49"/>
        <v>-1.2264902221418672</v>
      </c>
      <c r="G1071" s="13">
        <f t="shared" si="50"/>
        <v>0.54619022214186719</v>
      </c>
    </row>
    <row r="1072" spans="1:7" x14ac:dyDescent="0.25">
      <c r="A1072" s="15" t="s">
        <v>34</v>
      </c>
      <c r="B1072" s="16">
        <v>42132</v>
      </c>
      <c r="C1072" s="17">
        <v>0</v>
      </c>
      <c r="D1072" s="17">
        <v>-0.1249</v>
      </c>
      <c r="E1072" s="11">
        <f t="shared" si="48"/>
        <v>-0.12789999999999999</v>
      </c>
      <c r="F1072" s="11">
        <f t="shared" si="49"/>
        <v>-6.6519806323817779E-2</v>
      </c>
      <c r="G1072" s="13">
        <f t="shared" si="50"/>
        <v>6.6519806323817779E-2</v>
      </c>
    </row>
    <row r="1073" spans="1:7" x14ac:dyDescent="0.25">
      <c r="A1073" s="15" t="s">
        <v>34</v>
      </c>
      <c r="B1073" s="16">
        <v>42135</v>
      </c>
      <c r="C1073" s="17">
        <v>1.3560000000000001</v>
      </c>
      <c r="D1073" s="17">
        <v>-0.29220000000000002</v>
      </c>
      <c r="E1073" s="11">
        <f t="shared" si="48"/>
        <v>-0.29520000000000002</v>
      </c>
      <c r="F1073" s="11">
        <f t="shared" si="49"/>
        <v>-0.2524217610765333</v>
      </c>
      <c r="G1073" s="13">
        <f t="shared" si="50"/>
        <v>1.6084217610765335</v>
      </c>
    </row>
    <row r="1074" spans="1:7" x14ac:dyDescent="0.25">
      <c r="A1074" s="15" t="s">
        <v>34</v>
      </c>
      <c r="B1074" s="16">
        <v>42136</v>
      </c>
      <c r="C1074" s="17">
        <v>-0.67569999999999997</v>
      </c>
      <c r="D1074" s="17">
        <v>0.1759</v>
      </c>
      <c r="E1074" s="11">
        <f t="shared" si="48"/>
        <v>0.1729</v>
      </c>
      <c r="F1074" s="11">
        <f t="shared" si="49"/>
        <v>0.26772590789983319</v>
      </c>
      <c r="G1074" s="13">
        <f t="shared" si="50"/>
        <v>-0.94342590789983316</v>
      </c>
    </row>
    <row r="1075" spans="1:7" x14ac:dyDescent="0.25">
      <c r="A1075" s="15" t="s">
        <v>34</v>
      </c>
      <c r="B1075" s="16">
        <v>42137</v>
      </c>
      <c r="C1075" s="17">
        <v>0.33839999999999998</v>
      </c>
      <c r="D1075" s="17">
        <v>0.4471</v>
      </c>
      <c r="E1075" s="11">
        <f t="shared" si="48"/>
        <v>0.44409999999999999</v>
      </c>
      <c r="F1075" s="11">
        <f t="shared" si="49"/>
        <v>0.56908042152168881</v>
      </c>
      <c r="G1075" s="13">
        <f t="shared" si="50"/>
        <v>-0.23068042152168883</v>
      </c>
    </row>
    <row r="1076" spans="1:7" x14ac:dyDescent="0.25">
      <c r="A1076" s="15" t="s">
        <v>34</v>
      </c>
      <c r="B1076" s="16">
        <v>42138</v>
      </c>
      <c r="C1076" s="17">
        <v>-1.3606</v>
      </c>
      <c r="D1076" s="17">
        <v>-1.1718</v>
      </c>
      <c r="E1076" s="11">
        <f t="shared" si="48"/>
        <v>-1.1747999999999998</v>
      </c>
      <c r="F1076" s="11">
        <f t="shared" si="49"/>
        <v>-1.2298237897704274</v>
      </c>
      <c r="G1076" s="13">
        <f t="shared" si="50"/>
        <v>-0.13077621022957264</v>
      </c>
    </row>
    <row r="1077" spans="1:7" x14ac:dyDescent="0.25">
      <c r="A1077" s="15" t="s">
        <v>34</v>
      </c>
      <c r="B1077" s="16">
        <v>42139</v>
      </c>
      <c r="C1077" s="17">
        <v>0.34189999999999998</v>
      </c>
      <c r="D1077" s="17">
        <v>-0.32669999999999999</v>
      </c>
      <c r="E1077" s="11">
        <f t="shared" si="48"/>
        <v>-0.32969999999999999</v>
      </c>
      <c r="F1077" s="11">
        <f t="shared" si="49"/>
        <v>-0.29075778880497727</v>
      </c>
      <c r="G1077" s="13">
        <f t="shared" si="50"/>
        <v>0.63265778880497725</v>
      </c>
    </row>
    <row r="1078" spans="1:7" x14ac:dyDescent="0.25">
      <c r="A1078" s="15" t="s">
        <v>34</v>
      </c>
      <c r="B1078" s="16">
        <v>42142</v>
      </c>
      <c r="C1078" s="17">
        <v>0</v>
      </c>
      <c r="D1078" s="17">
        <v>0.27750000000000002</v>
      </c>
      <c r="E1078" s="11">
        <f t="shared" si="48"/>
        <v>0.27450000000000002</v>
      </c>
      <c r="F1078" s="11">
        <f t="shared" si="49"/>
        <v>0.38062273158707705</v>
      </c>
      <c r="G1078" s="13">
        <f t="shared" si="50"/>
        <v>-0.38062273158707705</v>
      </c>
    </row>
    <row r="1079" spans="1:7" x14ac:dyDescent="0.25">
      <c r="A1079" s="15" t="s">
        <v>34</v>
      </c>
      <c r="B1079" s="16">
        <v>42143</v>
      </c>
      <c r="C1079" s="17">
        <v>0</v>
      </c>
      <c r="D1079" s="17">
        <v>1.1455</v>
      </c>
      <c r="E1079" s="11">
        <f t="shared" si="48"/>
        <v>1.1425000000000001</v>
      </c>
      <c r="F1079" s="11">
        <f t="shared" si="49"/>
        <v>1.345134965450538</v>
      </c>
      <c r="G1079" s="13">
        <f t="shared" si="50"/>
        <v>-1.345134965450538</v>
      </c>
    </row>
    <row r="1080" spans="1:7" x14ac:dyDescent="0.25">
      <c r="A1080" s="15" t="s">
        <v>34</v>
      </c>
      <c r="B1080" s="16">
        <v>42144</v>
      </c>
      <c r="C1080" s="17">
        <v>0</v>
      </c>
      <c r="D1080" s="17">
        <v>-0.32429999999999998</v>
      </c>
      <c r="E1080" s="11">
        <f t="shared" si="48"/>
        <v>-0.32729999999999998</v>
      </c>
      <c r="F1080" s="11">
        <f t="shared" si="49"/>
        <v>-0.28809093470212899</v>
      </c>
      <c r="G1080" s="13">
        <f t="shared" si="50"/>
        <v>0.28809093470212899</v>
      </c>
    </row>
    <row r="1081" spans="1:7" x14ac:dyDescent="0.25">
      <c r="A1081" s="15" t="s">
        <v>34</v>
      </c>
      <c r="B1081" s="16">
        <v>42145</v>
      </c>
      <c r="C1081" s="17">
        <v>-0.68489999999999995</v>
      </c>
      <c r="D1081" s="17">
        <v>-1.1083000000000001</v>
      </c>
      <c r="E1081" s="11">
        <f t="shared" si="48"/>
        <v>-1.1113</v>
      </c>
      <c r="F1081" s="11">
        <f t="shared" si="49"/>
        <v>-1.1592632749659002</v>
      </c>
      <c r="G1081" s="13">
        <f t="shared" si="50"/>
        <v>0.47436327496590025</v>
      </c>
    </row>
    <row r="1082" spans="1:7" x14ac:dyDescent="0.25">
      <c r="A1082" s="15" t="s">
        <v>34</v>
      </c>
      <c r="B1082" s="16">
        <v>42146</v>
      </c>
      <c r="C1082" s="17">
        <v>0</v>
      </c>
      <c r="D1082" s="17">
        <v>0.62690000000000001</v>
      </c>
      <c r="E1082" s="11">
        <f t="shared" si="48"/>
        <v>0.62390000000000001</v>
      </c>
      <c r="F1082" s="11">
        <f t="shared" si="49"/>
        <v>0.76887224139340571</v>
      </c>
      <c r="G1082" s="13">
        <f t="shared" si="50"/>
        <v>-0.76887224139340571</v>
      </c>
    </row>
    <row r="1083" spans="1:7" x14ac:dyDescent="0.25">
      <c r="A1083" s="15" t="s">
        <v>34</v>
      </c>
      <c r="B1083" s="16">
        <v>42149</v>
      </c>
      <c r="C1083" s="17">
        <v>1.3652</v>
      </c>
      <c r="D1083" s="17">
        <v>6.6100000000000006E-2</v>
      </c>
      <c r="E1083" s="11">
        <f t="shared" si="48"/>
        <v>6.3100000000000003E-2</v>
      </c>
      <c r="F1083" s="11">
        <f t="shared" si="49"/>
        <v>0.14571733269452442</v>
      </c>
      <c r="G1083" s="13">
        <f t="shared" si="50"/>
        <v>1.2194826673054755</v>
      </c>
    </row>
    <row r="1084" spans="1:7" x14ac:dyDescent="0.25">
      <c r="A1084" s="15" t="s">
        <v>34</v>
      </c>
      <c r="B1084" s="16">
        <v>42150</v>
      </c>
      <c r="C1084" s="17">
        <v>-0.68030000000000002</v>
      </c>
      <c r="D1084" s="17">
        <v>0.251</v>
      </c>
      <c r="E1084" s="11">
        <f t="shared" si="48"/>
        <v>0.248</v>
      </c>
      <c r="F1084" s="11">
        <f t="shared" si="49"/>
        <v>0.35117621753479394</v>
      </c>
      <c r="G1084" s="13">
        <f t="shared" si="50"/>
        <v>-1.031476217534794</v>
      </c>
    </row>
    <row r="1085" spans="1:7" x14ac:dyDescent="0.25">
      <c r="A1085" s="15" t="s">
        <v>34</v>
      </c>
      <c r="B1085" s="16">
        <v>42151</v>
      </c>
      <c r="C1085" s="17">
        <v>-1.0291999999999999</v>
      </c>
      <c r="D1085" s="17">
        <v>0.2492</v>
      </c>
      <c r="E1085" s="11">
        <f t="shared" si="48"/>
        <v>0.2462</v>
      </c>
      <c r="F1085" s="11">
        <f t="shared" si="49"/>
        <v>0.34917607695765773</v>
      </c>
      <c r="G1085" s="13">
        <f t="shared" si="50"/>
        <v>-1.3783760769576576</v>
      </c>
    </row>
    <row r="1086" spans="1:7" x14ac:dyDescent="0.25">
      <c r="A1086" s="15" t="s">
        <v>34</v>
      </c>
      <c r="B1086" s="16">
        <v>42152</v>
      </c>
      <c r="C1086" s="17">
        <v>1.3698999999999999</v>
      </c>
      <c r="D1086" s="17">
        <v>0.19889999999999999</v>
      </c>
      <c r="E1086" s="11">
        <f t="shared" si="48"/>
        <v>0.19589999999999999</v>
      </c>
      <c r="F1086" s="11">
        <f t="shared" si="49"/>
        <v>0.29328325971879587</v>
      </c>
      <c r="G1086" s="13">
        <f t="shared" si="50"/>
        <v>1.0766167402812039</v>
      </c>
    </row>
    <row r="1087" spans="1:7" x14ac:dyDescent="0.25">
      <c r="A1087" s="15" t="s">
        <v>34</v>
      </c>
      <c r="B1087" s="16">
        <v>42153</v>
      </c>
      <c r="C1087" s="17">
        <v>-0.68259999999999998</v>
      </c>
      <c r="D1087" s="17">
        <v>-0.12130000000000001</v>
      </c>
      <c r="E1087" s="11">
        <f t="shared" si="48"/>
        <v>-0.12430000000000001</v>
      </c>
      <c r="F1087" s="11">
        <f t="shared" si="49"/>
        <v>-6.2519525169545384E-2</v>
      </c>
      <c r="G1087" s="13">
        <f t="shared" si="50"/>
        <v>-0.62008047483045459</v>
      </c>
    </row>
    <row r="1088" spans="1:7" x14ac:dyDescent="0.25">
      <c r="A1088" s="15" t="s">
        <v>34</v>
      </c>
      <c r="B1088" s="16">
        <v>42156</v>
      </c>
      <c r="C1088" s="17">
        <v>-0.68730000000000002</v>
      </c>
      <c r="D1088" s="17">
        <v>-0.78010000000000002</v>
      </c>
      <c r="E1088" s="11">
        <f t="shared" si="48"/>
        <v>-0.78310000000000002</v>
      </c>
      <c r="F1088" s="11">
        <f t="shared" si="49"/>
        <v>-0.79457097640139807</v>
      </c>
      <c r="G1088" s="13">
        <f t="shared" si="50"/>
        <v>0.10727097640139804</v>
      </c>
    </row>
    <row r="1089" spans="1:7" x14ac:dyDescent="0.25">
      <c r="A1089" s="15" t="s">
        <v>34</v>
      </c>
      <c r="B1089" s="16">
        <v>42157</v>
      </c>
      <c r="C1089" s="17">
        <v>-0.69199999999999995</v>
      </c>
      <c r="D1089" s="17">
        <v>-0.1188</v>
      </c>
      <c r="E1089" s="11">
        <f t="shared" si="48"/>
        <v>-0.12180000000000001</v>
      </c>
      <c r="F1089" s="11">
        <f t="shared" si="49"/>
        <v>-5.97415521457451E-2</v>
      </c>
      <c r="G1089" s="13">
        <f t="shared" si="50"/>
        <v>-0.63225844785425489</v>
      </c>
    </row>
    <row r="1090" spans="1:7" x14ac:dyDescent="0.25">
      <c r="A1090" s="15" t="s">
        <v>34</v>
      </c>
      <c r="B1090" s="16">
        <v>42158</v>
      </c>
      <c r="C1090" s="17">
        <v>-0.69689999999999996</v>
      </c>
      <c r="D1090" s="17">
        <v>-0.60240000000000005</v>
      </c>
      <c r="E1090" s="11">
        <f t="shared" si="48"/>
        <v>-0.60540000000000005</v>
      </c>
      <c r="F1090" s="11">
        <f t="shared" si="49"/>
        <v>-0.59711265386967338</v>
      </c>
      <c r="G1090" s="13">
        <f t="shared" si="50"/>
        <v>-9.9787346130326582E-2</v>
      </c>
    </row>
    <row r="1091" spans="1:7" x14ac:dyDescent="0.25">
      <c r="A1091" s="15" t="s">
        <v>34</v>
      </c>
      <c r="B1091" s="16">
        <v>42159</v>
      </c>
      <c r="C1091" s="17">
        <v>-1.4085000000000001</v>
      </c>
      <c r="D1091" s="17">
        <v>-2.1993999999999998</v>
      </c>
      <c r="E1091" s="11">
        <f t="shared" ref="E1091:E1154" si="51">D1091-$K$1</f>
        <v>-2.2023999999999999</v>
      </c>
      <c r="F1091" s="11">
        <f t="shared" ref="F1091:F1154" si="52">K$2+K$3*E1091</f>
        <v>-2.3716818214732989</v>
      </c>
      <c r="G1091" s="13">
        <f t="shared" ref="G1091:G1154" si="53">C1091-F1091</f>
        <v>0.96318182147329878</v>
      </c>
    </row>
    <row r="1092" spans="1:7" x14ac:dyDescent="0.25">
      <c r="A1092" s="15" t="s">
        <v>34</v>
      </c>
      <c r="B1092" s="16">
        <v>42160</v>
      </c>
      <c r="C1092" s="17">
        <v>-0.7117</v>
      </c>
      <c r="D1092" s="17">
        <v>-9.0999999999999998E-2</v>
      </c>
      <c r="E1092" s="11">
        <f t="shared" si="51"/>
        <v>-9.4E-2</v>
      </c>
      <c r="F1092" s="11">
        <f t="shared" si="52"/>
        <v>-2.8850492121085855E-2</v>
      </c>
      <c r="G1092" s="13">
        <f t="shared" si="53"/>
        <v>-0.68284950787891419</v>
      </c>
    </row>
    <row r="1093" spans="1:7" x14ac:dyDescent="0.25">
      <c r="A1093" s="15" t="s">
        <v>34</v>
      </c>
      <c r="B1093" s="16">
        <v>42163</v>
      </c>
      <c r="C1093" s="17">
        <v>-1.0771999999999999</v>
      </c>
      <c r="D1093" s="17">
        <v>0.30249999999999999</v>
      </c>
      <c r="E1093" s="11">
        <f t="shared" si="51"/>
        <v>0.29949999999999999</v>
      </c>
      <c r="F1093" s="11">
        <f t="shared" si="52"/>
        <v>0.40840246182507989</v>
      </c>
      <c r="G1093" s="13">
        <f t="shared" si="53"/>
        <v>-1.4856024618250798</v>
      </c>
    </row>
    <row r="1094" spans="1:7" x14ac:dyDescent="0.25">
      <c r="A1094" s="15" t="s">
        <v>34</v>
      </c>
      <c r="B1094" s="16">
        <v>42164</v>
      </c>
      <c r="C1094" s="17">
        <v>0.3604</v>
      </c>
      <c r="D1094" s="17">
        <v>-1.9026000000000001</v>
      </c>
      <c r="E1094" s="11">
        <f t="shared" si="51"/>
        <v>-1.9056</v>
      </c>
      <c r="F1094" s="11">
        <f t="shared" si="52"/>
        <v>-2.0418808640877284</v>
      </c>
      <c r="G1094" s="13">
        <f t="shared" si="53"/>
        <v>2.4022808640877282</v>
      </c>
    </row>
    <row r="1095" spans="1:7" x14ac:dyDescent="0.25">
      <c r="A1095" s="15" t="s">
        <v>34</v>
      </c>
      <c r="B1095" s="16">
        <v>42165</v>
      </c>
      <c r="C1095" s="17">
        <v>0.35909999999999997</v>
      </c>
      <c r="D1095" s="17">
        <v>1.1534</v>
      </c>
      <c r="E1095" s="11">
        <f t="shared" si="51"/>
        <v>1.1504000000000001</v>
      </c>
      <c r="F1095" s="11">
        <f t="shared" si="52"/>
        <v>1.3539133602057469</v>
      </c>
      <c r="G1095" s="13">
        <f t="shared" si="53"/>
        <v>-0.99481336020574695</v>
      </c>
    </row>
    <row r="1096" spans="1:7" x14ac:dyDescent="0.25">
      <c r="A1096" s="15" t="s">
        <v>34</v>
      </c>
      <c r="B1096" s="16">
        <v>42166</v>
      </c>
      <c r="C1096" s="17">
        <v>2.827</v>
      </c>
      <c r="D1096" s="17">
        <v>4.2900000000000001E-2</v>
      </c>
      <c r="E1096" s="11">
        <f t="shared" si="51"/>
        <v>3.9899999999999998E-2</v>
      </c>
      <c r="F1096" s="11">
        <f t="shared" si="52"/>
        <v>0.11993774303365773</v>
      </c>
      <c r="G1096" s="13">
        <f t="shared" si="53"/>
        <v>2.7070622569663421</v>
      </c>
    </row>
    <row r="1097" spans="1:7" x14ac:dyDescent="0.25">
      <c r="A1097" s="15" t="s">
        <v>34</v>
      </c>
      <c r="B1097" s="16">
        <v>42167</v>
      </c>
      <c r="C1097" s="17">
        <v>0.69440000000000002</v>
      </c>
      <c r="D1097" s="17">
        <v>-6.0000000000000001E-3</v>
      </c>
      <c r="E1097" s="11">
        <f t="shared" si="51"/>
        <v>-9.0000000000000011E-3</v>
      </c>
      <c r="F1097" s="11">
        <f t="shared" si="52"/>
        <v>6.5600590688124044E-2</v>
      </c>
      <c r="G1097" s="13">
        <f t="shared" si="53"/>
        <v>0.62879940931187595</v>
      </c>
    </row>
    <row r="1098" spans="1:7" x14ac:dyDescent="0.25">
      <c r="A1098" s="15" t="s">
        <v>34</v>
      </c>
      <c r="B1098" s="16">
        <v>42170</v>
      </c>
      <c r="C1098" s="17">
        <v>-1.0435000000000001</v>
      </c>
      <c r="D1098" s="17">
        <v>-0.45739999999999997</v>
      </c>
      <c r="E1098" s="11">
        <f t="shared" si="51"/>
        <v>-0.46039999999999998</v>
      </c>
      <c r="F1098" s="11">
        <f t="shared" si="52"/>
        <v>-0.43599021848925645</v>
      </c>
      <c r="G1098" s="13">
        <f t="shared" si="53"/>
        <v>-0.60750978151074364</v>
      </c>
    </row>
    <row r="1099" spans="1:7" x14ac:dyDescent="0.25">
      <c r="A1099" s="15" t="s">
        <v>34</v>
      </c>
      <c r="B1099" s="16">
        <v>42171</v>
      </c>
      <c r="C1099" s="17">
        <v>-0.70179999999999998</v>
      </c>
      <c r="D1099" s="17">
        <v>-0.50560000000000005</v>
      </c>
      <c r="E1099" s="11">
        <f t="shared" si="51"/>
        <v>-0.50860000000000005</v>
      </c>
      <c r="F1099" s="11">
        <f t="shared" si="52"/>
        <v>-0.4895495383881262</v>
      </c>
      <c r="G1099" s="13">
        <f t="shared" si="53"/>
        <v>-0.21225046161187378</v>
      </c>
    </row>
    <row r="1100" spans="1:7" x14ac:dyDescent="0.25">
      <c r="A1100" s="15" t="s">
        <v>34</v>
      </c>
      <c r="B1100" s="16">
        <v>42172</v>
      </c>
      <c r="C1100" s="17">
        <v>0.35149999999999998</v>
      </c>
      <c r="D1100" s="17">
        <v>-0.24940000000000001</v>
      </c>
      <c r="E1100" s="11">
        <f t="shared" si="51"/>
        <v>-0.25240000000000001</v>
      </c>
      <c r="F1100" s="11">
        <f t="shared" si="52"/>
        <v>-0.2048628629090723</v>
      </c>
      <c r="G1100" s="13">
        <f t="shared" si="53"/>
        <v>0.55636286290907222</v>
      </c>
    </row>
    <row r="1101" spans="1:7" x14ac:dyDescent="0.25">
      <c r="A1101" s="15" t="s">
        <v>34</v>
      </c>
      <c r="B1101" s="16">
        <v>42173</v>
      </c>
      <c r="C1101" s="17">
        <v>-0.35149999999999998</v>
      </c>
      <c r="D1101" s="17">
        <v>0.31009999999999999</v>
      </c>
      <c r="E1101" s="11">
        <f t="shared" si="51"/>
        <v>0.30709999999999998</v>
      </c>
      <c r="F1101" s="11">
        <f t="shared" si="52"/>
        <v>0.4168474998174328</v>
      </c>
      <c r="G1101" s="13">
        <f t="shared" si="53"/>
        <v>-0.76834749981743278</v>
      </c>
    </row>
    <row r="1102" spans="1:7" x14ac:dyDescent="0.25">
      <c r="A1102" s="15" t="s">
        <v>34</v>
      </c>
      <c r="B1102" s="16">
        <v>42177</v>
      </c>
      <c r="C1102" s="17">
        <v>0</v>
      </c>
      <c r="D1102" s="17">
        <v>1.3298000000000001</v>
      </c>
      <c r="E1102" s="11">
        <f t="shared" si="51"/>
        <v>1.3268000000000002</v>
      </c>
      <c r="F1102" s="11">
        <f t="shared" si="52"/>
        <v>1.5499271367650957</v>
      </c>
      <c r="G1102" s="13">
        <f t="shared" si="53"/>
        <v>-1.5499271367650957</v>
      </c>
    </row>
    <row r="1103" spans="1:7" x14ac:dyDescent="0.25">
      <c r="A1103" s="15" t="s">
        <v>34</v>
      </c>
      <c r="B1103" s="16">
        <v>42178</v>
      </c>
      <c r="C1103" s="17">
        <v>1.7452000000000001</v>
      </c>
      <c r="D1103" s="17">
        <v>0.52710000000000001</v>
      </c>
      <c r="E1103" s="11">
        <f t="shared" si="51"/>
        <v>0.52410000000000001</v>
      </c>
      <c r="F1103" s="11">
        <f t="shared" si="52"/>
        <v>0.65797555828329801</v>
      </c>
      <c r="G1103" s="13">
        <f t="shared" si="53"/>
        <v>1.0872244417167021</v>
      </c>
    </row>
    <row r="1104" spans="1:7" x14ac:dyDescent="0.25">
      <c r="A1104" s="15" t="s">
        <v>34</v>
      </c>
      <c r="B1104" s="16">
        <v>42179</v>
      </c>
      <c r="C1104" s="17">
        <v>0.34539999999999998</v>
      </c>
      <c r="D1104" s="17">
        <v>6.5699999999999995E-2</v>
      </c>
      <c r="E1104" s="11">
        <f t="shared" si="51"/>
        <v>6.2699999999999992E-2</v>
      </c>
      <c r="F1104" s="11">
        <f t="shared" si="52"/>
        <v>0.14527285701071638</v>
      </c>
      <c r="G1104" s="13">
        <f t="shared" si="53"/>
        <v>0.20012714298928361</v>
      </c>
    </row>
    <row r="1105" spans="1:7" x14ac:dyDescent="0.25">
      <c r="A1105" s="15" t="s">
        <v>34</v>
      </c>
      <c r="B1105" s="16">
        <v>42180</v>
      </c>
      <c r="C1105" s="17">
        <v>1.0291999999999999</v>
      </c>
      <c r="D1105" s="17">
        <v>0.83750000000000002</v>
      </c>
      <c r="E1105" s="11">
        <f t="shared" si="51"/>
        <v>0.83450000000000002</v>
      </c>
      <c r="F1105" s="11">
        <f t="shared" si="52"/>
        <v>1.0028886889183422</v>
      </c>
      <c r="G1105" s="13">
        <f t="shared" si="53"/>
        <v>2.631131108165774E-2</v>
      </c>
    </row>
    <row r="1106" spans="1:7" x14ac:dyDescent="0.25">
      <c r="A1106" s="15" t="s">
        <v>34</v>
      </c>
      <c r="B1106" s="16">
        <v>42181</v>
      </c>
      <c r="C1106" s="17">
        <v>-0.34189999999999998</v>
      </c>
      <c r="D1106" s="17">
        <v>-0.1454</v>
      </c>
      <c r="E1106" s="11">
        <f t="shared" si="51"/>
        <v>-0.1484</v>
      </c>
      <c r="F1106" s="11">
        <f t="shared" si="52"/>
        <v>-8.9299185118980176E-2</v>
      </c>
      <c r="G1106" s="13">
        <f t="shared" si="53"/>
        <v>-0.25260081488101982</v>
      </c>
    </row>
    <row r="1107" spans="1:7" x14ac:dyDescent="0.25">
      <c r="A1107" s="15" t="s">
        <v>34</v>
      </c>
      <c r="B1107" s="16">
        <v>42184</v>
      </c>
      <c r="C1107" s="17">
        <v>-2.0762999999999998</v>
      </c>
      <c r="D1107" s="17">
        <v>-2.4224000000000001</v>
      </c>
      <c r="E1107" s="11">
        <f t="shared" si="51"/>
        <v>-2.4254000000000002</v>
      </c>
      <c r="F1107" s="11">
        <f t="shared" si="52"/>
        <v>-2.6194770151962854</v>
      </c>
      <c r="G1107" s="13">
        <f t="shared" si="53"/>
        <v>0.54317701519628558</v>
      </c>
    </row>
    <row r="1108" spans="1:7" x14ac:dyDescent="0.25">
      <c r="A1108" s="15" t="s">
        <v>34</v>
      </c>
      <c r="B1108" s="16">
        <v>42185</v>
      </c>
      <c r="C1108" s="17">
        <v>1.4337</v>
      </c>
      <c r="D1108" s="17">
        <v>0.93669999999999998</v>
      </c>
      <c r="E1108" s="11">
        <f t="shared" si="51"/>
        <v>0.93369999999999997</v>
      </c>
      <c r="F1108" s="11">
        <f t="shared" si="52"/>
        <v>1.1131186585027377</v>
      </c>
      <c r="G1108" s="13">
        <f t="shared" si="53"/>
        <v>0.32058134149726225</v>
      </c>
    </row>
    <row r="1109" spans="1:7" x14ac:dyDescent="0.25">
      <c r="A1109" s="15" t="s">
        <v>34</v>
      </c>
      <c r="B1109" s="16">
        <v>42186</v>
      </c>
      <c r="C1109" s="17">
        <v>0.35520000000000002</v>
      </c>
      <c r="D1109" s="17">
        <v>0.55840000000000001</v>
      </c>
      <c r="E1109" s="11">
        <f t="shared" si="51"/>
        <v>0.5554</v>
      </c>
      <c r="F1109" s="11">
        <f t="shared" si="52"/>
        <v>0.69275578054127773</v>
      </c>
      <c r="G1109" s="13">
        <f t="shared" si="53"/>
        <v>-0.33755578054127772</v>
      </c>
    </row>
    <row r="1110" spans="1:7" x14ac:dyDescent="0.25">
      <c r="A1110" s="15" t="s">
        <v>34</v>
      </c>
      <c r="B1110" s="16">
        <v>42187</v>
      </c>
      <c r="C1110" s="17">
        <v>0.35399999999999998</v>
      </c>
      <c r="D1110" s="17">
        <v>4.2799999999999998E-2</v>
      </c>
      <c r="E1110" s="11">
        <f t="shared" si="51"/>
        <v>3.9799999999999995E-2</v>
      </c>
      <c r="F1110" s="11">
        <f t="shared" si="52"/>
        <v>0.11982662411270571</v>
      </c>
      <c r="G1110" s="13">
        <f t="shared" si="53"/>
        <v>0.23417337588729426</v>
      </c>
    </row>
    <row r="1111" spans="1:7" x14ac:dyDescent="0.25">
      <c r="A1111" s="15" t="s">
        <v>34</v>
      </c>
      <c r="B1111" s="16">
        <v>42188</v>
      </c>
      <c r="C1111" s="17">
        <v>0.70420000000000005</v>
      </c>
      <c r="D1111" s="17">
        <v>-0.2243</v>
      </c>
      <c r="E1111" s="11">
        <f t="shared" si="51"/>
        <v>-0.2273</v>
      </c>
      <c r="F1111" s="11">
        <f t="shared" si="52"/>
        <v>-0.1769720137501174</v>
      </c>
      <c r="G1111" s="13">
        <f t="shared" si="53"/>
        <v>0.88117201375011744</v>
      </c>
    </row>
    <row r="1112" spans="1:7" x14ac:dyDescent="0.25">
      <c r="A1112" s="15" t="s">
        <v>34</v>
      </c>
      <c r="B1112" s="16">
        <v>42191</v>
      </c>
      <c r="C1112" s="17">
        <v>-1.4135</v>
      </c>
      <c r="D1112" s="17">
        <v>-1.0989</v>
      </c>
      <c r="E1112" s="11">
        <f t="shared" si="51"/>
        <v>-1.1018999999999999</v>
      </c>
      <c r="F1112" s="11">
        <f t="shared" si="52"/>
        <v>-1.148818096396411</v>
      </c>
      <c r="G1112" s="13">
        <f t="shared" si="53"/>
        <v>-0.26468190360358901</v>
      </c>
    </row>
    <row r="1113" spans="1:7" x14ac:dyDescent="0.25">
      <c r="A1113" s="15" t="s">
        <v>34</v>
      </c>
      <c r="B1113" s="16">
        <v>42192</v>
      </c>
      <c r="C1113" s="17">
        <v>0</v>
      </c>
      <c r="D1113" s="17">
        <v>-6.2700000000000006E-2</v>
      </c>
      <c r="E1113" s="11">
        <f t="shared" si="51"/>
        <v>-6.5700000000000008E-2</v>
      </c>
      <c r="F1113" s="11">
        <f t="shared" si="52"/>
        <v>2.59616250833343E-3</v>
      </c>
      <c r="G1113" s="13">
        <f t="shared" si="53"/>
        <v>-2.59616250833343E-3</v>
      </c>
    </row>
    <row r="1114" spans="1:7" x14ac:dyDescent="0.25">
      <c r="A1114" s="15" t="s">
        <v>34</v>
      </c>
      <c r="B1114" s="16">
        <v>42193</v>
      </c>
      <c r="C1114" s="17">
        <v>-1.7954000000000001</v>
      </c>
      <c r="D1114" s="17">
        <v>-3.0074000000000001</v>
      </c>
      <c r="E1114" s="11">
        <f t="shared" si="51"/>
        <v>-3.0104000000000002</v>
      </c>
      <c r="F1114" s="11">
        <f t="shared" si="52"/>
        <v>-3.2695227027655536</v>
      </c>
      <c r="G1114" s="13">
        <f t="shared" si="53"/>
        <v>1.4741227027655535</v>
      </c>
    </row>
    <row r="1115" spans="1:7" x14ac:dyDescent="0.25">
      <c r="A1115" s="15" t="s">
        <v>34</v>
      </c>
      <c r="B1115" s="16">
        <v>42194</v>
      </c>
      <c r="C1115" s="17">
        <v>-1.0929</v>
      </c>
      <c r="D1115" s="17">
        <v>-0.69289999999999996</v>
      </c>
      <c r="E1115" s="11">
        <f t="shared" si="51"/>
        <v>-0.69589999999999996</v>
      </c>
      <c r="F1115" s="11">
        <f t="shared" si="52"/>
        <v>-0.6976752773312439</v>
      </c>
      <c r="G1115" s="13">
        <f t="shared" si="53"/>
        <v>-0.39522472266875608</v>
      </c>
    </row>
    <row r="1116" spans="1:7" x14ac:dyDescent="0.25">
      <c r="A1116" s="15" t="s">
        <v>34</v>
      </c>
      <c r="B1116" s="16">
        <v>42198</v>
      </c>
      <c r="C1116" s="17">
        <v>1.4545999999999999</v>
      </c>
      <c r="D1116" s="17">
        <v>1.3349</v>
      </c>
      <c r="E1116" s="11">
        <f t="shared" si="51"/>
        <v>1.3319000000000001</v>
      </c>
      <c r="F1116" s="11">
        <f t="shared" si="52"/>
        <v>1.5555942017336482</v>
      </c>
      <c r="G1116" s="13">
        <f t="shared" si="53"/>
        <v>-0.10099420173364826</v>
      </c>
    </row>
    <row r="1117" spans="1:7" x14ac:dyDescent="0.25">
      <c r="A1117" s="15" t="s">
        <v>34</v>
      </c>
      <c r="B1117" s="16">
        <v>42199</v>
      </c>
      <c r="C1117" s="17">
        <v>0</v>
      </c>
      <c r="D1117" s="17">
        <v>8.6699999999999999E-2</v>
      </c>
      <c r="E1117" s="11">
        <f t="shared" si="51"/>
        <v>8.3699999999999997E-2</v>
      </c>
      <c r="F1117" s="11">
        <f t="shared" si="52"/>
        <v>0.16860783041063881</v>
      </c>
      <c r="G1117" s="13">
        <f t="shared" si="53"/>
        <v>-0.16860783041063881</v>
      </c>
    </row>
    <row r="1118" spans="1:7" x14ac:dyDescent="0.25">
      <c r="A1118" s="15" t="s">
        <v>34</v>
      </c>
      <c r="B1118" s="16">
        <v>42200</v>
      </c>
      <c r="C1118" s="17">
        <v>0</v>
      </c>
      <c r="D1118" s="17">
        <v>0.13750000000000001</v>
      </c>
      <c r="E1118" s="11">
        <f t="shared" si="51"/>
        <v>0.13450000000000001</v>
      </c>
      <c r="F1118" s="11">
        <f t="shared" si="52"/>
        <v>0.22505624225426074</v>
      </c>
      <c r="G1118" s="13">
        <f t="shared" si="53"/>
        <v>-0.22505624225426074</v>
      </c>
    </row>
    <row r="1119" spans="1:7" x14ac:dyDescent="0.25">
      <c r="A1119" s="15" t="s">
        <v>34</v>
      </c>
      <c r="B1119" s="16">
        <v>42201</v>
      </c>
      <c r="C1119" s="17">
        <v>-1.4545999999999999</v>
      </c>
      <c r="D1119" s="17">
        <v>-0.13250000000000001</v>
      </c>
      <c r="E1119" s="11">
        <f t="shared" si="51"/>
        <v>-0.13550000000000001</v>
      </c>
      <c r="F1119" s="11">
        <f t="shared" si="52"/>
        <v>-7.496484431617069E-2</v>
      </c>
      <c r="G1119" s="13">
        <f t="shared" si="53"/>
        <v>-1.3796351556838291</v>
      </c>
    </row>
    <row r="1120" spans="1:7" x14ac:dyDescent="0.25">
      <c r="A1120" s="15" t="s">
        <v>34</v>
      </c>
      <c r="B1120" s="16">
        <v>42202</v>
      </c>
      <c r="C1120" s="17">
        <v>2.5318000000000001</v>
      </c>
      <c r="D1120" s="17">
        <v>4.1700000000000001E-2</v>
      </c>
      <c r="E1120" s="11">
        <f t="shared" si="51"/>
        <v>3.8699999999999998E-2</v>
      </c>
      <c r="F1120" s="11">
        <f t="shared" si="52"/>
        <v>0.11860431598223359</v>
      </c>
      <c r="G1120" s="13">
        <f t="shared" si="53"/>
        <v>2.4131956840177664</v>
      </c>
    </row>
    <row r="1121" spans="1:7" x14ac:dyDescent="0.25">
      <c r="A1121" s="15" t="s">
        <v>34</v>
      </c>
      <c r="B1121" s="16">
        <v>42205</v>
      </c>
      <c r="C1121" s="17">
        <v>-0.71679999999999999</v>
      </c>
      <c r="D1121" s="17">
        <v>-0.78779999999999994</v>
      </c>
      <c r="E1121" s="11">
        <f t="shared" si="51"/>
        <v>-0.79079999999999995</v>
      </c>
      <c r="F1121" s="11">
        <f t="shared" si="52"/>
        <v>-0.80312713331470287</v>
      </c>
      <c r="G1121" s="13">
        <f t="shared" si="53"/>
        <v>8.6327133314702875E-2</v>
      </c>
    </row>
    <row r="1122" spans="1:7" x14ac:dyDescent="0.25">
      <c r="A1122" s="15" t="s">
        <v>34</v>
      </c>
      <c r="B1122" s="16">
        <v>42206</v>
      </c>
      <c r="C1122" s="17">
        <v>1.0733999999999999</v>
      </c>
      <c r="D1122" s="17">
        <v>0.34439999999999998</v>
      </c>
      <c r="E1122" s="11">
        <f t="shared" si="51"/>
        <v>0.34139999999999998</v>
      </c>
      <c r="F1122" s="11">
        <f t="shared" si="52"/>
        <v>0.45496128970397276</v>
      </c>
      <c r="G1122" s="13">
        <f t="shared" si="53"/>
        <v>0.61843871029602715</v>
      </c>
    </row>
    <row r="1123" spans="1:7" x14ac:dyDescent="0.25">
      <c r="A1123" s="15" t="s">
        <v>34</v>
      </c>
      <c r="B1123" s="16">
        <v>42207</v>
      </c>
      <c r="C1123" s="17">
        <v>-1.0733999999999999</v>
      </c>
      <c r="D1123" s="17">
        <v>-0.97360000000000002</v>
      </c>
      <c r="E1123" s="11">
        <f t="shared" si="51"/>
        <v>-0.97660000000000002</v>
      </c>
      <c r="F1123" s="11">
        <f t="shared" si="52"/>
        <v>-1.0095860884435406</v>
      </c>
      <c r="G1123" s="13">
        <f t="shared" si="53"/>
        <v>-6.3813911556459324E-2</v>
      </c>
    </row>
    <row r="1124" spans="1:7" x14ac:dyDescent="0.25">
      <c r="A1124" s="15" t="s">
        <v>34</v>
      </c>
      <c r="B1124" s="16">
        <v>42208</v>
      </c>
      <c r="C1124" s="17">
        <v>-2.1819000000000002</v>
      </c>
      <c r="D1124" s="17">
        <v>-1.4408000000000001</v>
      </c>
      <c r="E1124" s="11">
        <f t="shared" si="51"/>
        <v>-1.4438</v>
      </c>
      <c r="F1124" s="11">
        <f t="shared" si="52"/>
        <v>-1.5287336871313388</v>
      </c>
      <c r="G1124" s="13">
        <f t="shared" si="53"/>
        <v>-0.65316631286866134</v>
      </c>
    </row>
    <row r="1125" spans="1:7" x14ac:dyDescent="0.25">
      <c r="A1125" s="15" t="s">
        <v>34</v>
      </c>
      <c r="B1125" s="16">
        <v>42209</v>
      </c>
      <c r="C1125" s="17">
        <v>0.73260000000000003</v>
      </c>
      <c r="D1125" s="17">
        <v>-0.26490000000000002</v>
      </c>
      <c r="E1125" s="11">
        <f t="shared" si="51"/>
        <v>-0.26790000000000003</v>
      </c>
      <c r="F1125" s="11">
        <f t="shared" si="52"/>
        <v>-0.22208629565663413</v>
      </c>
      <c r="G1125" s="13">
        <f t="shared" si="53"/>
        <v>0.95468629565663421</v>
      </c>
    </row>
    <row r="1126" spans="1:7" x14ac:dyDescent="0.25">
      <c r="A1126" s="15" t="s">
        <v>34</v>
      </c>
      <c r="B1126" s="16">
        <v>42212</v>
      </c>
      <c r="C1126" s="17">
        <v>-2.2141000000000002</v>
      </c>
      <c r="D1126" s="17">
        <v>-2.4380000000000002</v>
      </c>
      <c r="E1126" s="11">
        <f t="shared" si="51"/>
        <v>-2.4410000000000003</v>
      </c>
      <c r="F1126" s="11">
        <f t="shared" si="52"/>
        <v>-2.6368115668647993</v>
      </c>
      <c r="G1126" s="13">
        <f t="shared" si="53"/>
        <v>0.42271156686479916</v>
      </c>
    </row>
    <row r="1127" spans="1:7" x14ac:dyDescent="0.25">
      <c r="A1127" s="15" t="s">
        <v>34</v>
      </c>
      <c r="B1127" s="16">
        <v>42213</v>
      </c>
      <c r="C1127" s="17">
        <v>0</v>
      </c>
      <c r="D1127" s="17">
        <v>0.30120000000000002</v>
      </c>
      <c r="E1127" s="11">
        <f t="shared" si="51"/>
        <v>0.29820000000000002</v>
      </c>
      <c r="F1127" s="11">
        <f t="shared" si="52"/>
        <v>0.4069579158527038</v>
      </c>
      <c r="G1127" s="13">
        <f t="shared" si="53"/>
        <v>-0.4069579158527038</v>
      </c>
    </row>
    <row r="1128" spans="1:7" x14ac:dyDescent="0.25">
      <c r="A1128" s="15" t="s">
        <v>34</v>
      </c>
      <c r="B1128" s="16">
        <v>42214</v>
      </c>
      <c r="C1128" s="17">
        <v>1.1132</v>
      </c>
      <c r="D1128" s="17">
        <v>-0.22170000000000001</v>
      </c>
      <c r="E1128" s="11">
        <f t="shared" si="51"/>
        <v>-0.22470000000000001</v>
      </c>
      <c r="F1128" s="11">
        <f t="shared" si="52"/>
        <v>-0.17408292180536505</v>
      </c>
      <c r="G1128" s="13">
        <f t="shared" si="53"/>
        <v>1.287282921805365</v>
      </c>
    </row>
    <row r="1129" spans="1:7" x14ac:dyDescent="0.25">
      <c r="A1129" s="15" t="s">
        <v>34</v>
      </c>
      <c r="B1129" s="16">
        <v>42215</v>
      </c>
      <c r="C1129" s="17">
        <v>2.1899000000000002</v>
      </c>
      <c r="D1129" s="17">
        <v>1.0225</v>
      </c>
      <c r="E1129" s="11">
        <f t="shared" si="51"/>
        <v>1.0195000000000001</v>
      </c>
      <c r="F1129" s="11">
        <f t="shared" si="52"/>
        <v>1.2084586926795637</v>
      </c>
      <c r="G1129" s="13">
        <f t="shared" si="53"/>
        <v>0.98144130732043644</v>
      </c>
    </row>
    <row r="1130" spans="1:7" x14ac:dyDescent="0.25">
      <c r="A1130" s="15" t="s">
        <v>34</v>
      </c>
      <c r="B1130" s="16">
        <v>42216</v>
      </c>
      <c r="C1130" s="17">
        <v>0.71940000000000004</v>
      </c>
      <c r="D1130" s="17">
        <v>0.16</v>
      </c>
      <c r="E1130" s="11">
        <f t="shared" si="51"/>
        <v>0.157</v>
      </c>
      <c r="F1130" s="11">
        <f t="shared" si="52"/>
        <v>0.25005799946846335</v>
      </c>
      <c r="G1130" s="13">
        <f t="shared" si="53"/>
        <v>0.46934200053153668</v>
      </c>
    </row>
    <row r="1131" spans="1:7" x14ac:dyDescent="0.25">
      <c r="A1131" s="15" t="s">
        <v>34</v>
      </c>
      <c r="B1131" s="16">
        <v>42219</v>
      </c>
      <c r="C1131" s="17">
        <v>-3.65</v>
      </c>
      <c r="D1131" s="17">
        <v>-1.6396999999999999</v>
      </c>
      <c r="E1131" s="11">
        <f t="shared" si="51"/>
        <v>-1.6426999999999998</v>
      </c>
      <c r="F1131" s="11">
        <f t="shared" si="52"/>
        <v>-1.7497492209048899</v>
      </c>
      <c r="G1131" s="13">
        <f t="shared" si="53"/>
        <v>-1.90025077909511</v>
      </c>
    </row>
    <row r="1132" spans="1:7" x14ac:dyDescent="0.25">
      <c r="A1132" s="15" t="s">
        <v>34</v>
      </c>
      <c r="B1132" s="16">
        <v>42220</v>
      </c>
      <c r="C1132" s="17">
        <v>1.476</v>
      </c>
      <c r="D1132" s="17">
        <v>-0.15909999999999999</v>
      </c>
      <c r="E1132" s="11">
        <f t="shared" si="51"/>
        <v>-0.16209999999999999</v>
      </c>
      <c r="F1132" s="11">
        <f t="shared" si="52"/>
        <v>-0.10452247728940577</v>
      </c>
      <c r="G1132" s="13">
        <f t="shared" si="53"/>
        <v>1.5805224772894058</v>
      </c>
    </row>
    <row r="1133" spans="1:7" x14ac:dyDescent="0.25">
      <c r="A1133" s="15" t="s">
        <v>34</v>
      </c>
      <c r="B1133" s="16">
        <v>42221</v>
      </c>
      <c r="C1133" s="17">
        <v>-1.8485</v>
      </c>
      <c r="D1133" s="17">
        <v>0.36840000000000001</v>
      </c>
      <c r="E1133" s="11">
        <f t="shared" si="51"/>
        <v>0.3654</v>
      </c>
      <c r="F1133" s="11">
        <f t="shared" si="52"/>
        <v>0.48162983073245558</v>
      </c>
      <c r="G1133" s="13">
        <f t="shared" si="53"/>
        <v>-2.3301298307324556</v>
      </c>
    </row>
    <row r="1134" spans="1:7" x14ac:dyDescent="0.25">
      <c r="A1134" s="15" t="s">
        <v>34</v>
      </c>
      <c r="B1134" s="16">
        <v>42222</v>
      </c>
      <c r="C1134" s="17">
        <v>0</v>
      </c>
      <c r="D1134" s="17">
        <v>-1.0911999999999999</v>
      </c>
      <c r="E1134" s="11">
        <f t="shared" si="51"/>
        <v>-1.0941999999999998</v>
      </c>
      <c r="F1134" s="11">
        <f t="shared" si="52"/>
        <v>-1.1402619394831062</v>
      </c>
      <c r="G1134" s="13">
        <f t="shared" si="53"/>
        <v>1.1402619394831062</v>
      </c>
    </row>
    <row r="1135" spans="1:7" x14ac:dyDescent="0.25">
      <c r="A1135" s="15" t="s">
        <v>34</v>
      </c>
      <c r="B1135" s="16">
        <v>42223</v>
      </c>
      <c r="C1135" s="17">
        <v>-0.74909999999999999</v>
      </c>
      <c r="D1135" s="17">
        <v>-8.6099999999999996E-2</v>
      </c>
      <c r="E1135" s="11">
        <f t="shared" si="51"/>
        <v>-8.9099999999999999E-2</v>
      </c>
      <c r="F1135" s="11">
        <f t="shared" si="52"/>
        <v>-2.3405664994437275E-2</v>
      </c>
      <c r="G1135" s="13">
        <f t="shared" si="53"/>
        <v>-0.72569433500556269</v>
      </c>
    </row>
    <row r="1136" spans="1:7" x14ac:dyDescent="0.25">
      <c r="A1136" s="15" t="s">
        <v>34</v>
      </c>
      <c r="B1136" s="16">
        <v>42226</v>
      </c>
      <c r="C1136" s="17">
        <v>-3.0537000000000001</v>
      </c>
      <c r="D1136" s="17">
        <v>0.29039999999999999</v>
      </c>
      <c r="E1136" s="11">
        <f t="shared" si="51"/>
        <v>0.28739999999999999</v>
      </c>
      <c r="F1136" s="11">
        <f t="shared" si="52"/>
        <v>0.39495707238988648</v>
      </c>
      <c r="G1136" s="13">
        <f t="shared" si="53"/>
        <v>-3.4486570723898864</v>
      </c>
    </row>
    <row r="1137" spans="1:7" x14ac:dyDescent="0.25">
      <c r="A1137" s="15" t="s">
        <v>34</v>
      </c>
      <c r="B1137" s="16">
        <v>42227</v>
      </c>
      <c r="C1137" s="17">
        <v>1.1560999999999999</v>
      </c>
      <c r="D1137" s="17">
        <v>-0.86240000000000006</v>
      </c>
      <c r="E1137" s="11">
        <f t="shared" si="51"/>
        <v>-0.86540000000000006</v>
      </c>
      <c r="F1137" s="11">
        <f t="shared" si="52"/>
        <v>-0.88602184834490372</v>
      </c>
      <c r="G1137" s="13">
        <f t="shared" si="53"/>
        <v>2.0421218483449035</v>
      </c>
    </row>
    <row r="1138" spans="1:7" x14ac:dyDescent="0.25">
      <c r="A1138" s="15" t="s">
        <v>34</v>
      </c>
      <c r="B1138" s="16">
        <v>42228</v>
      </c>
      <c r="C1138" s="17">
        <v>-1.5444</v>
      </c>
      <c r="D1138" s="17">
        <v>-1.3283</v>
      </c>
      <c r="E1138" s="11">
        <f t="shared" si="51"/>
        <v>-1.3312999999999999</v>
      </c>
      <c r="F1138" s="11">
        <f t="shared" si="52"/>
        <v>-1.4037249010603257</v>
      </c>
      <c r="G1138" s="13">
        <f t="shared" si="53"/>
        <v>-0.14067509893967434</v>
      </c>
    </row>
    <row r="1139" spans="1:7" x14ac:dyDescent="0.25">
      <c r="A1139" s="15" t="s">
        <v>34</v>
      </c>
      <c r="B1139" s="16">
        <v>42229</v>
      </c>
      <c r="C1139" s="17">
        <v>-0.38990000000000002</v>
      </c>
      <c r="D1139" s="17">
        <v>0.34179999999999999</v>
      </c>
      <c r="E1139" s="11">
        <f t="shared" si="51"/>
        <v>0.33879999999999999</v>
      </c>
      <c r="F1139" s="11">
        <f t="shared" si="52"/>
        <v>0.45207219775922047</v>
      </c>
      <c r="G1139" s="13">
        <f t="shared" si="53"/>
        <v>-0.8419721977592205</v>
      </c>
    </row>
    <row r="1140" spans="1:7" x14ac:dyDescent="0.25">
      <c r="A1140" s="15" t="s">
        <v>34</v>
      </c>
      <c r="B1140" s="16">
        <v>42230</v>
      </c>
      <c r="C1140" s="17">
        <v>-1.5748</v>
      </c>
      <c r="D1140" s="17">
        <v>-7.3400000000000007E-2</v>
      </c>
      <c r="E1140" s="11">
        <f t="shared" si="51"/>
        <v>-7.640000000000001E-2</v>
      </c>
      <c r="F1140" s="11">
        <f t="shared" si="52"/>
        <v>-9.2935620335318075E-3</v>
      </c>
      <c r="G1140" s="13">
        <f t="shared" si="53"/>
        <v>-1.5655064379664683</v>
      </c>
    </row>
    <row r="1141" spans="1:7" x14ac:dyDescent="0.25">
      <c r="A1141" s="15" t="s">
        <v>34</v>
      </c>
      <c r="B1141" s="16">
        <v>42233</v>
      </c>
      <c r="C1141" s="17">
        <v>-1.6</v>
      </c>
      <c r="D1141" s="17">
        <v>-1.1165</v>
      </c>
      <c r="E1141" s="11">
        <f t="shared" si="51"/>
        <v>-1.1194999999999999</v>
      </c>
      <c r="F1141" s="11">
        <f t="shared" si="52"/>
        <v>-1.1683750264839652</v>
      </c>
      <c r="G1141" s="13">
        <f t="shared" si="53"/>
        <v>-0.4316249735160349</v>
      </c>
    </row>
    <row r="1142" spans="1:7" x14ac:dyDescent="0.25">
      <c r="A1142" s="15" t="s">
        <v>34</v>
      </c>
      <c r="B1142" s="16">
        <v>42234</v>
      </c>
      <c r="C1142" s="17">
        <v>1.6</v>
      </c>
      <c r="D1142" s="17">
        <v>-0.44169999999999998</v>
      </c>
      <c r="E1142" s="11">
        <f t="shared" si="51"/>
        <v>-0.44469999999999998</v>
      </c>
      <c r="F1142" s="11">
        <f t="shared" si="52"/>
        <v>-0.41854454789979068</v>
      </c>
      <c r="G1142" s="13">
        <f t="shared" si="53"/>
        <v>2.0185445478997908</v>
      </c>
    </row>
    <row r="1143" spans="1:7" x14ac:dyDescent="0.25">
      <c r="A1143" s="15" t="s">
        <v>34</v>
      </c>
      <c r="B1143" s="16">
        <v>42235</v>
      </c>
      <c r="C1143" s="17">
        <v>-0.79679999999999995</v>
      </c>
      <c r="D1143" s="17">
        <v>-1.9184000000000001</v>
      </c>
      <c r="E1143" s="11">
        <f t="shared" si="51"/>
        <v>-1.9214</v>
      </c>
      <c r="F1143" s="11">
        <f t="shared" si="52"/>
        <v>-2.0594376535981467</v>
      </c>
      <c r="G1143" s="13">
        <f t="shared" si="53"/>
        <v>1.2626376535981467</v>
      </c>
    </row>
    <row r="1144" spans="1:7" x14ac:dyDescent="0.25">
      <c r="A1144" s="15" t="s">
        <v>34</v>
      </c>
      <c r="B1144" s="16">
        <v>42236</v>
      </c>
      <c r="C1144" s="17">
        <v>0.79679999999999995</v>
      </c>
      <c r="D1144" s="17">
        <v>9.9299999999999999E-2</v>
      </c>
      <c r="E1144" s="11">
        <f t="shared" si="51"/>
        <v>9.6299999999999997E-2</v>
      </c>
      <c r="F1144" s="11">
        <f t="shared" si="52"/>
        <v>0.18260881445059229</v>
      </c>
      <c r="G1144" s="13">
        <f t="shared" si="53"/>
        <v>0.61419118554940766</v>
      </c>
    </row>
    <row r="1145" spans="1:7" x14ac:dyDescent="0.25">
      <c r="A1145" s="15" t="s">
        <v>34</v>
      </c>
      <c r="B1145" s="16">
        <v>42237</v>
      </c>
      <c r="C1145" s="17">
        <v>-4.0491000000000001</v>
      </c>
      <c r="D1145" s="17">
        <v>-3.0714999999999999</v>
      </c>
      <c r="E1145" s="11">
        <f t="shared" si="51"/>
        <v>-3.0745</v>
      </c>
      <c r="F1145" s="11">
        <f t="shared" si="52"/>
        <v>-3.3407499310957927</v>
      </c>
      <c r="G1145" s="13">
        <f t="shared" si="53"/>
        <v>-0.70835006890420749</v>
      </c>
    </row>
    <row r="1146" spans="1:7" x14ac:dyDescent="0.25">
      <c r="A1146" s="15" t="s">
        <v>34</v>
      </c>
      <c r="B1146" s="16">
        <v>42240</v>
      </c>
      <c r="C1146" s="17">
        <v>-5.0857999999999999</v>
      </c>
      <c r="D1146" s="17">
        <v>-4.9569000000000001</v>
      </c>
      <c r="E1146" s="11">
        <f t="shared" si="51"/>
        <v>-4.9599000000000002</v>
      </c>
      <c r="F1146" s="11">
        <f t="shared" si="52"/>
        <v>-5.4357860667250204</v>
      </c>
      <c r="G1146" s="13">
        <f t="shared" si="53"/>
        <v>0.34998606672502053</v>
      </c>
    </row>
    <row r="1147" spans="1:7" x14ac:dyDescent="0.25">
      <c r="A1147" s="15" t="s">
        <v>34</v>
      </c>
      <c r="B1147" s="16">
        <v>42241</v>
      </c>
      <c r="C1147" s="17">
        <v>7.1308999999999996</v>
      </c>
      <c r="D1147" s="17">
        <v>3.5175000000000001</v>
      </c>
      <c r="E1147" s="11">
        <f t="shared" si="51"/>
        <v>3.5145</v>
      </c>
      <c r="F1147" s="11">
        <f t="shared" si="52"/>
        <v>3.9808757704322542</v>
      </c>
      <c r="G1147" s="13">
        <f t="shared" si="53"/>
        <v>3.1500242295677454</v>
      </c>
    </row>
    <row r="1148" spans="1:7" x14ac:dyDescent="0.25">
      <c r="A1148" s="15" t="s">
        <v>34</v>
      </c>
      <c r="B1148" s="16">
        <v>42242</v>
      </c>
      <c r="C1148" s="17">
        <v>-0.81299999999999994</v>
      </c>
      <c r="D1148" s="17">
        <v>0.51910000000000001</v>
      </c>
      <c r="E1148" s="11">
        <f t="shared" si="51"/>
        <v>0.5161</v>
      </c>
      <c r="F1148" s="11">
        <f t="shared" si="52"/>
        <v>0.64908604460713715</v>
      </c>
      <c r="G1148" s="13">
        <f t="shared" si="53"/>
        <v>-1.4620860446071371</v>
      </c>
    </row>
    <row r="1149" spans="1:7" x14ac:dyDescent="0.25">
      <c r="A1149" s="15" t="s">
        <v>34</v>
      </c>
      <c r="B1149" s="16">
        <v>42243</v>
      </c>
      <c r="C1149" s="17">
        <v>1.2171000000000001</v>
      </c>
      <c r="D1149" s="17">
        <v>1.4023000000000001</v>
      </c>
      <c r="E1149" s="11">
        <f t="shared" si="51"/>
        <v>1.3993000000000002</v>
      </c>
      <c r="F1149" s="11">
        <f t="shared" si="52"/>
        <v>1.6304883544553042</v>
      </c>
      <c r="G1149" s="13">
        <f t="shared" si="53"/>
        <v>-0.41338835445530409</v>
      </c>
    </row>
    <row r="1150" spans="1:7" x14ac:dyDescent="0.25">
      <c r="A1150" s="15" t="s">
        <v>34</v>
      </c>
      <c r="B1150" s="16">
        <v>42244</v>
      </c>
      <c r="C1150" s="17">
        <v>0.80320000000000003</v>
      </c>
      <c r="D1150" s="17">
        <v>2.4569999999999999</v>
      </c>
      <c r="E1150" s="11">
        <f t="shared" si="51"/>
        <v>2.4539999999999997</v>
      </c>
      <c r="F1150" s="11">
        <f t="shared" si="52"/>
        <v>2.8024596137361701</v>
      </c>
      <c r="G1150" s="13">
        <f t="shared" si="53"/>
        <v>-1.9992596137361702</v>
      </c>
    </row>
    <row r="1151" spans="1:7" x14ac:dyDescent="0.25">
      <c r="A1151" s="15" t="s">
        <v>34</v>
      </c>
      <c r="B1151" s="16">
        <v>42247</v>
      </c>
      <c r="C1151" s="17">
        <v>3.1499000000000001</v>
      </c>
      <c r="D1151" s="17">
        <v>1.9235</v>
      </c>
      <c r="E1151" s="11">
        <f t="shared" si="51"/>
        <v>1.9205000000000001</v>
      </c>
      <c r="F1151" s="11">
        <f t="shared" si="52"/>
        <v>2.2096401704571886</v>
      </c>
      <c r="G1151" s="13">
        <f t="shared" si="53"/>
        <v>0.94025982954281151</v>
      </c>
    </row>
    <row r="1152" spans="1:7" x14ac:dyDescent="0.25">
      <c r="A1152" s="15" t="s">
        <v>34</v>
      </c>
      <c r="B1152" s="16">
        <v>42248</v>
      </c>
      <c r="C1152" s="17">
        <v>-3.9531000000000001</v>
      </c>
      <c r="D1152" s="17">
        <v>-1.9437</v>
      </c>
      <c r="E1152" s="11">
        <f t="shared" si="51"/>
        <v>-1.9466999999999999</v>
      </c>
      <c r="F1152" s="11">
        <f t="shared" si="52"/>
        <v>-2.0875507405990055</v>
      </c>
      <c r="G1152" s="13">
        <f t="shared" si="53"/>
        <v>-1.8655492594009946</v>
      </c>
    </row>
    <row r="1153" spans="1:7" x14ac:dyDescent="0.25">
      <c r="A1153" s="15" t="s">
        <v>34</v>
      </c>
      <c r="B1153" s="16">
        <v>42249</v>
      </c>
      <c r="C1153" s="17">
        <v>1.2023999999999999</v>
      </c>
      <c r="D1153" s="17">
        <v>0.22090000000000001</v>
      </c>
      <c r="E1153" s="11">
        <f t="shared" si="51"/>
        <v>0.21790000000000001</v>
      </c>
      <c r="F1153" s="11">
        <f t="shared" si="52"/>
        <v>0.31772942232823848</v>
      </c>
      <c r="G1153" s="13">
        <f t="shared" si="53"/>
        <v>0.88467057767176138</v>
      </c>
    </row>
    <row r="1154" spans="1:7" x14ac:dyDescent="0.25">
      <c r="A1154" s="15" t="s">
        <v>34</v>
      </c>
      <c r="B1154" s="16">
        <v>42250</v>
      </c>
      <c r="C1154" s="17">
        <v>1.1880999999999999</v>
      </c>
      <c r="D1154" s="17">
        <v>0.75209999999999999</v>
      </c>
      <c r="E1154" s="11">
        <f t="shared" si="51"/>
        <v>0.74909999999999999</v>
      </c>
      <c r="F1154" s="11">
        <f t="shared" si="52"/>
        <v>0.90799313042532426</v>
      </c>
      <c r="G1154" s="13">
        <f t="shared" si="53"/>
        <v>0.28010686957467568</v>
      </c>
    </row>
    <row r="1155" spans="1:7" x14ac:dyDescent="0.25">
      <c r="A1155" s="15" t="s">
        <v>34</v>
      </c>
      <c r="B1155" s="16">
        <v>42251</v>
      </c>
      <c r="C1155" s="17">
        <v>-1.5872999999999999</v>
      </c>
      <c r="D1155" s="17">
        <v>-1.1847000000000001</v>
      </c>
      <c r="E1155" s="11">
        <f t="shared" ref="E1155:E1218" si="54">D1155-$K$1</f>
        <v>-1.1877</v>
      </c>
      <c r="F1155" s="11">
        <f t="shared" ref="F1155:F1218" si="55">K$2+K$3*E1155</f>
        <v>-1.244158130573237</v>
      </c>
      <c r="G1155" s="13">
        <f t="shared" ref="G1155:G1218" si="56">C1155-F1155</f>
        <v>-0.34314186942676295</v>
      </c>
    </row>
    <row r="1156" spans="1:7" x14ac:dyDescent="0.25">
      <c r="A1156" s="15" t="s">
        <v>34</v>
      </c>
      <c r="B1156" s="16">
        <v>42254</v>
      </c>
      <c r="C1156" s="17">
        <v>-2.0203000000000002</v>
      </c>
      <c r="D1156" s="17">
        <v>-0.17560000000000001</v>
      </c>
      <c r="E1156" s="11">
        <f t="shared" si="54"/>
        <v>-0.17860000000000001</v>
      </c>
      <c r="F1156" s="11">
        <f t="shared" si="55"/>
        <v>-0.1228570992464877</v>
      </c>
      <c r="G1156" s="13">
        <f t="shared" si="56"/>
        <v>-1.8974429007535125</v>
      </c>
    </row>
    <row r="1157" spans="1:7" x14ac:dyDescent="0.25">
      <c r="A1157" s="15" t="s">
        <v>34</v>
      </c>
      <c r="B1157" s="16">
        <v>42255</v>
      </c>
      <c r="C1157" s="17">
        <v>0.4073</v>
      </c>
      <c r="D1157" s="17">
        <v>0.18690000000000001</v>
      </c>
      <c r="E1157" s="11">
        <f t="shared" si="54"/>
        <v>0.18390000000000001</v>
      </c>
      <c r="F1157" s="11">
        <f t="shared" si="55"/>
        <v>0.27994898920455447</v>
      </c>
      <c r="G1157" s="13">
        <f t="shared" si="56"/>
        <v>0.12735101079544553</v>
      </c>
    </row>
    <row r="1158" spans="1:7" x14ac:dyDescent="0.25">
      <c r="A1158" s="15" t="s">
        <v>34</v>
      </c>
      <c r="B1158" s="16">
        <v>42256</v>
      </c>
      <c r="C1158" s="17">
        <v>4.7628000000000004</v>
      </c>
      <c r="D1158" s="17">
        <v>3.5049000000000001</v>
      </c>
      <c r="E1158" s="11">
        <f t="shared" si="54"/>
        <v>3.5019</v>
      </c>
      <c r="F1158" s="11">
        <f t="shared" si="55"/>
        <v>3.9668747863923004</v>
      </c>
      <c r="G1158" s="13">
        <f t="shared" si="56"/>
        <v>0.79592521360769997</v>
      </c>
    </row>
    <row r="1159" spans="1:7" x14ac:dyDescent="0.25">
      <c r="A1159" s="15" t="s">
        <v>34</v>
      </c>
      <c r="B1159" s="16">
        <v>42257</v>
      </c>
      <c r="C1159" s="17">
        <v>-3.1499000000000001</v>
      </c>
      <c r="D1159" s="17">
        <v>-0.2203</v>
      </c>
      <c r="E1159" s="11">
        <f t="shared" si="54"/>
        <v>-0.2233</v>
      </c>
      <c r="F1159" s="11">
        <f t="shared" si="55"/>
        <v>-0.17252725691203691</v>
      </c>
      <c r="G1159" s="13">
        <f t="shared" si="56"/>
        <v>-2.9773727430879631</v>
      </c>
    </row>
    <row r="1160" spans="1:7" x14ac:dyDescent="0.25">
      <c r="A1160" s="15" t="s">
        <v>34</v>
      </c>
      <c r="B1160" s="16">
        <v>42258</v>
      </c>
      <c r="C1160" s="17">
        <v>1.9802999999999999</v>
      </c>
      <c r="D1160" s="17">
        <v>0.44819999999999999</v>
      </c>
      <c r="E1160" s="11">
        <f t="shared" si="54"/>
        <v>0.44519999999999998</v>
      </c>
      <c r="F1160" s="11">
        <f t="shared" si="55"/>
        <v>0.57030272965216089</v>
      </c>
      <c r="G1160" s="13">
        <f t="shared" si="56"/>
        <v>1.4099972703478389</v>
      </c>
    </row>
    <row r="1161" spans="1:7" x14ac:dyDescent="0.25">
      <c r="A1161" s="15" t="s">
        <v>34</v>
      </c>
      <c r="B1161" s="16">
        <v>42261</v>
      </c>
      <c r="C1161" s="17">
        <v>0</v>
      </c>
      <c r="D1161" s="17">
        <v>1.77E-2</v>
      </c>
      <c r="E1161" s="11">
        <f t="shared" si="54"/>
        <v>1.4700000000000001E-2</v>
      </c>
      <c r="F1161" s="11">
        <f t="shared" si="55"/>
        <v>9.1935774953750798E-2</v>
      </c>
      <c r="G1161" s="13">
        <f t="shared" si="56"/>
        <v>-9.1935774953750798E-2</v>
      </c>
    </row>
    <row r="1162" spans="1:7" x14ac:dyDescent="0.25">
      <c r="A1162" s="15" t="s">
        <v>34</v>
      </c>
      <c r="B1162" s="16">
        <v>42262</v>
      </c>
      <c r="C1162" s="17">
        <v>-1.1834</v>
      </c>
      <c r="D1162" s="17">
        <v>-0.57099999999999995</v>
      </c>
      <c r="E1162" s="11">
        <f t="shared" si="54"/>
        <v>-0.57399999999999995</v>
      </c>
      <c r="F1162" s="11">
        <f t="shared" si="55"/>
        <v>-0.56222131269074171</v>
      </c>
      <c r="G1162" s="13">
        <f t="shared" si="56"/>
        <v>-0.62117868730925829</v>
      </c>
    </row>
    <row r="1163" spans="1:7" x14ac:dyDescent="0.25">
      <c r="A1163" s="15" t="s">
        <v>34</v>
      </c>
      <c r="B1163" s="16">
        <v>42263</v>
      </c>
      <c r="C1163" s="17">
        <v>2.7399</v>
      </c>
      <c r="D1163" s="17">
        <v>0.88349999999999995</v>
      </c>
      <c r="E1163" s="11">
        <f t="shared" si="54"/>
        <v>0.88049999999999995</v>
      </c>
      <c r="F1163" s="11">
        <f t="shared" si="55"/>
        <v>1.0540033925562675</v>
      </c>
      <c r="G1163" s="13">
        <f t="shared" si="56"/>
        <v>1.6858966074437325</v>
      </c>
    </row>
    <row r="1164" spans="1:7" x14ac:dyDescent="0.25">
      <c r="A1164" s="15" t="s">
        <v>34</v>
      </c>
      <c r="B1164" s="16">
        <v>42264</v>
      </c>
      <c r="C1164" s="17">
        <v>1.1516</v>
      </c>
      <c r="D1164" s="17">
        <v>1.3374999999999999</v>
      </c>
      <c r="E1164" s="11">
        <f t="shared" si="54"/>
        <v>1.3345</v>
      </c>
      <c r="F1164" s="11">
        <f t="shared" si="55"/>
        <v>1.5584832936784003</v>
      </c>
      <c r="G1164" s="13">
        <f t="shared" si="56"/>
        <v>-0.40688329367840037</v>
      </c>
    </row>
    <row r="1165" spans="1:7" x14ac:dyDescent="0.25">
      <c r="A1165" s="15" t="s">
        <v>34</v>
      </c>
      <c r="B1165" s="16">
        <v>42265</v>
      </c>
      <c r="C1165" s="17">
        <v>0.38100000000000001</v>
      </c>
      <c r="D1165" s="17">
        <v>0.1968</v>
      </c>
      <c r="E1165" s="11">
        <f t="shared" si="54"/>
        <v>0.1938</v>
      </c>
      <c r="F1165" s="11">
        <f t="shared" si="55"/>
        <v>0.29094976237880366</v>
      </c>
      <c r="G1165" s="13">
        <f t="shared" si="56"/>
        <v>9.005023762119635E-2</v>
      </c>
    </row>
    <row r="1166" spans="1:7" x14ac:dyDescent="0.25">
      <c r="A1166" s="15" t="s">
        <v>34</v>
      </c>
      <c r="B1166" s="16">
        <v>42268</v>
      </c>
      <c r="C1166" s="17">
        <v>-1.5326</v>
      </c>
      <c r="D1166" s="17">
        <v>-1.8499000000000001</v>
      </c>
      <c r="E1166" s="11">
        <f t="shared" si="54"/>
        <v>-1.8529</v>
      </c>
      <c r="F1166" s="11">
        <f t="shared" si="55"/>
        <v>-1.9833211927460184</v>
      </c>
      <c r="G1166" s="13">
        <f t="shared" si="56"/>
        <v>0.45072119274601841</v>
      </c>
    </row>
    <row r="1167" spans="1:7" x14ac:dyDescent="0.25">
      <c r="A1167" s="15" t="s">
        <v>34</v>
      </c>
      <c r="B1167" s="16">
        <v>42269</v>
      </c>
      <c r="C1167" s="17">
        <v>-0.38679999999999998</v>
      </c>
      <c r="D1167" s="17">
        <v>0.70630000000000004</v>
      </c>
      <c r="E1167" s="11">
        <f t="shared" si="54"/>
        <v>0.70330000000000004</v>
      </c>
      <c r="F1167" s="11">
        <f t="shared" si="55"/>
        <v>0.8571006646293029</v>
      </c>
      <c r="G1167" s="13">
        <f t="shared" si="56"/>
        <v>-1.2439006646293029</v>
      </c>
    </row>
    <row r="1168" spans="1:7" x14ac:dyDescent="0.25">
      <c r="A1168" s="15" t="s">
        <v>34</v>
      </c>
      <c r="B1168" s="16">
        <v>42270</v>
      </c>
      <c r="C1168" s="17">
        <v>-3.5507</v>
      </c>
      <c r="D1168" s="17">
        <v>-2.0834999999999999</v>
      </c>
      <c r="E1168" s="11">
        <f t="shared" si="54"/>
        <v>-2.0865</v>
      </c>
      <c r="F1168" s="11">
        <f t="shared" si="55"/>
        <v>-2.2428949920899175</v>
      </c>
      <c r="G1168" s="13">
        <f t="shared" si="56"/>
        <v>-1.3078050079100825</v>
      </c>
    </row>
    <row r="1169" spans="1:7" x14ac:dyDescent="0.25">
      <c r="A1169" s="15" t="s">
        <v>34</v>
      </c>
      <c r="B1169" s="16">
        <v>42271</v>
      </c>
      <c r="C1169" s="17">
        <v>1.9881</v>
      </c>
      <c r="D1169" s="17">
        <v>-0.86199999999999999</v>
      </c>
      <c r="E1169" s="11">
        <f t="shared" si="54"/>
        <v>-0.86499999999999999</v>
      </c>
      <c r="F1169" s="11">
        <f t="shared" si="55"/>
        <v>-0.8855773726610956</v>
      </c>
      <c r="G1169" s="13">
        <f t="shared" si="56"/>
        <v>2.8736773726610956</v>
      </c>
    </row>
    <row r="1170" spans="1:7" x14ac:dyDescent="0.25">
      <c r="A1170" s="15" t="s">
        <v>34</v>
      </c>
      <c r="B1170" s="16">
        <v>42272</v>
      </c>
      <c r="C1170" s="17">
        <v>0</v>
      </c>
      <c r="D1170" s="17">
        <v>0.1138</v>
      </c>
      <c r="E1170" s="11">
        <f t="shared" si="54"/>
        <v>0.1108</v>
      </c>
      <c r="F1170" s="11">
        <f t="shared" si="55"/>
        <v>0.19872105798863399</v>
      </c>
      <c r="G1170" s="13">
        <f t="shared" si="56"/>
        <v>-0.19872105798863399</v>
      </c>
    </row>
    <row r="1171" spans="1:7" x14ac:dyDescent="0.25">
      <c r="A1171" s="15" t="s">
        <v>34</v>
      </c>
      <c r="B1171" s="16">
        <v>42277</v>
      </c>
      <c r="C1171" s="17">
        <v>2.3347000000000002</v>
      </c>
      <c r="D1171" s="17">
        <v>0.59940000000000004</v>
      </c>
      <c r="E1171" s="11">
        <f t="shared" si="54"/>
        <v>0.59640000000000004</v>
      </c>
      <c r="F1171" s="11">
        <f t="shared" si="55"/>
        <v>0.73831453813160253</v>
      </c>
      <c r="G1171" s="13">
        <f t="shared" si="56"/>
        <v>1.5963854618683977</v>
      </c>
    </row>
    <row r="1172" spans="1:7" x14ac:dyDescent="0.25">
      <c r="A1172" s="15" t="s">
        <v>34</v>
      </c>
      <c r="B1172" s="16">
        <v>42278</v>
      </c>
      <c r="C1172" s="17">
        <v>2.6566999999999998</v>
      </c>
      <c r="D1172" s="17">
        <v>1.3923000000000001</v>
      </c>
      <c r="E1172" s="11">
        <f t="shared" si="54"/>
        <v>1.3893000000000002</v>
      </c>
      <c r="F1172" s="11">
        <f t="shared" si="55"/>
        <v>1.619376462360103</v>
      </c>
      <c r="G1172" s="13">
        <f t="shared" si="56"/>
        <v>1.0373235376398968</v>
      </c>
    </row>
    <row r="1173" spans="1:7" x14ac:dyDescent="0.25">
      <c r="A1173" s="15" t="s">
        <v>34</v>
      </c>
      <c r="B1173" s="16">
        <v>42279</v>
      </c>
      <c r="C1173" s="17">
        <v>-1.1299999999999999</v>
      </c>
      <c r="D1173" s="17">
        <v>0.1095</v>
      </c>
      <c r="E1173" s="11">
        <f t="shared" si="54"/>
        <v>0.1065</v>
      </c>
      <c r="F1173" s="11">
        <f t="shared" si="55"/>
        <v>0.19394294438769749</v>
      </c>
      <c r="G1173" s="13">
        <f t="shared" si="56"/>
        <v>-1.3239429443876973</v>
      </c>
    </row>
    <row r="1174" spans="1:7" x14ac:dyDescent="0.25">
      <c r="A1174" s="15" t="s">
        <v>34</v>
      </c>
      <c r="B1174" s="16">
        <v>42282</v>
      </c>
      <c r="C1174" s="17">
        <v>0.37809999999999999</v>
      </c>
      <c r="D1174" s="17">
        <v>0.56830000000000003</v>
      </c>
      <c r="E1174" s="11">
        <f t="shared" si="54"/>
        <v>0.56530000000000002</v>
      </c>
      <c r="F1174" s="11">
        <f t="shared" si="55"/>
        <v>0.70375655371552692</v>
      </c>
      <c r="G1174" s="13">
        <f t="shared" si="56"/>
        <v>-0.32565655371552693</v>
      </c>
    </row>
    <row r="1175" spans="1:7" x14ac:dyDescent="0.25">
      <c r="A1175" s="15" t="s">
        <v>34</v>
      </c>
      <c r="B1175" s="16">
        <v>42283</v>
      </c>
      <c r="C1175" s="17">
        <v>0.37659999999999999</v>
      </c>
      <c r="D1175" s="17">
        <v>0.4985</v>
      </c>
      <c r="E1175" s="11">
        <f t="shared" si="54"/>
        <v>0.4955</v>
      </c>
      <c r="F1175" s="11">
        <f t="shared" si="55"/>
        <v>0.62619554689102275</v>
      </c>
      <c r="G1175" s="13">
        <f t="shared" si="56"/>
        <v>-0.24959554689102276</v>
      </c>
    </row>
    <row r="1176" spans="1:7" x14ac:dyDescent="0.25">
      <c r="A1176" s="15" t="s">
        <v>34</v>
      </c>
      <c r="B1176" s="16">
        <v>42284</v>
      </c>
      <c r="C1176" s="17">
        <v>1.4925999999999999</v>
      </c>
      <c r="D1176" s="17">
        <v>1.1976</v>
      </c>
      <c r="E1176" s="11">
        <f t="shared" si="54"/>
        <v>1.1946000000000001</v>
      </c>
      <c r="F1176" s="11">
        <f t="shared" si="55"/>
        <v>1.4030279232665361</v>
      </c>
      <c r="G1176" s="13">
        <f t="shared" si="56"/>
        <v>8.957207673346379E-2</v>
      </c>
    </row>
    <row r="1177" spans="1:7" x14ac:dyDescent="0.25">
      <c r="A1177" s="15" t="s">
        <v>34</v>
      </c>
      <c r="B1177" s="16">
        <v>42285</v>
      </c>
      <c r="C1177" s="17">
        <v>0.73799999999999999</v>
      </c>
      <c r="D1177" s="17">
        <v>-0.58169999999999999</v>
      </c>
      <c r="E1177" s="11">
        <f t="shared" si="54"/>
        <v>-0.5847</v>
      </c>
      <c r="F1177" s="11">
        <f t="shared" si="55"/>
        <v>-0.57411103723260692</v>
      </c>
      <c r="G1177" s="13">
        <f t="shared" si="56"/>
        <v>1.312111037232607</v>
      </c>
    </row>
    <row r="1178" spans="1:7" x14ac:dyDescent="0.25">
      <c r="A1178" s="15" t="s">
        <v>34</v>
      </c>
      <c r="B1178" s="16">
        <v>42289</v>
      </c>
      <c r="C1178" s="17">
        <v>1.8214999999999999</v>
      </c>
      <c r="D1178" s="17">
        <v>1.5013000000000001</v>
      </c>
      <c r="E1178" s="11">
        <f t="shared" si="54"/>
        <v>1.4983000000000002</v>
      </c>
      <c r="F1178" s="11">
        <f t="shared" si="55"/>
        <v>1.7404960861977956</v>
      </c>
      <c r="G1178" s="13">
        <f t="shared" si="56"/>
        <v>8.1003913802204286E-2</v>
      </c>
    </row>
    <row r="1179" spans="1:7" x14ac:dyDescent="0.25">
      <c r="A1179" s="15" t="s">
        <v>34</v>
      </c>
      <c r="B1179" s="16">
        <v>42290</v>
      </c>
      <c r="C1179" s="17">
        <v>-0.72460000000000002</v>
      </c>
      <c r="D1179" s="17">
        <v>-6.7699999999999996E-2</v>
      </c>
      <c r="E1179" s="11">
        <f t="shared" si="54"/>
        <v>-7.0699999999999999E-2</v>
      </c>
      <c r="F1179" s="11">
        <f t="shared" si="55"/>
        <v>-2.9597835392671384E-3</v>
      </c>
      <c r="G1179" s="13">
        <f t="shared" si="56"/>
        <v>-0.72164021646073284</v>
      </c>
    </row>
    <row r="1180" spans="1:7" x14ac:dyDescent="0.25">
      <c r="A1180" s="15" t="s">
        <v>34</v>
      </c>
      <c r="B1180" s="16">
        <v>42291</v>
      </c>
      <c r="C1180" s="17">
        <v>-0.72989999999999999</v>
      </c>
      <c r="D1180" s="17">
        <v>-0.53139999999999998</v>
      </c>
      <c r="E1180" s="11">
        <f t="shared" si="54"/>
        <v>-0.53439999999999999</v>
      </c>
      <c r="F1180" s="11">
        <f t="shared" si="55"/>
        <v>-0.51821821999374507</v>
      </c>
      <c r="G1180" s="13">
        <f t="shared" si="56"/>
        <v>-0.21168178000625493</v>
      </c>
    </row>
    <row r="1181" spans="1:7" x14ac:dyDescent="0.25">
      <c r="A1181" s="15" t="s">
        <v>34</v>
      </c>
      <c r="B1181" s="16">
        <v>42292</v>
      </c>
      <c r="C1181" s="17">
        <v>2.5318000000000001</v>
      </c>
      <c r="D1181" s="17">
        <v>0.92279999999999995</v>
      </c>
      <c r="E1181" s="11">
        <f t="shared" si="54"/>
        <v>0.91979999999999995</v>
      </c>
      <c r="F1181" s="11">
        <f t="shared" si="55"/>
        <v>1.097673128490408</v>
      </c>
      <c r="G1181" s="13">
        <f t="shared" si="56"/>
        <v>1.4341268715095921</v>
      </c>
    </row>
    <row r="1182" spans="1:7" x14ac:dyDescent="0.25">
      <c r="A1182" s="15" t="s">
        <v>34</v>
      </c>
      <c r="B1182" s="16">
        <v>42293</v>
      </c>
      <c r="C1182" s="17">
        <v>-1.8019000000000001</v>
      </c>
      <c r="D1182" s="17">
        <v>3.9899999999999998E-2</v>
      </c>
      <c r="E1182" s="11">
        <f t="shared" si="54"/>
        <v>3.6899999999999995E-2</v>
      </c>
      <c r="F1182" s="11">
        <f t="shared" si="55"/>
        <v>0.11660417540509738</v>
      </c>
      <c r="G1182" s="13">
        <f t="shared" si="56"/>
        <v>-1.9185041754050975</v>
      </c>
    </row>
    <row r="1183" spans="1:7" x14ac:dyDescent="0.25">
      <c r="A1183" s="15" t="s">
        <v>34</v>
      </c>
      <c r="B1183" s="16">
        <v>42296</v>
      </c>
      <c r="C1183" s="17">
        <v>0.36299999999999999</v>
      </c>
      <c r="D1183" s="17">
        <v>0.30809999999999998</v>
      </c>
      <c r="E1183" s="11">
        <f t="shared" si="54"/>
        <v>0.30509999999999998</v>
      </c>
      <c r="F1183" s="11">
        <f t="shared" si="55"/>
        <v>0.41462512139839253</v>
      </c>
      <c r="G1183" s="13">
        <f t="shared" si="56"/>
        <v>-5.1625121398392537E-2</v>
      </c>
    </row>
    <row r="1184" spans="1:7" x14ac:dyDescent="0.25">
      <c r="A1184" s="15" t="s">
        <v>34</v>
      </c>
      <c r="B1184" s="16">
        <v>42297</v>
      </c>
      <c r="C1184" s="17">
        <v>0.72199999999999998</v>
      </c>
      <c r="D1184" s="17">
        <v>0.25569999999999998</v>
      </c>
      <c r="E1184" s="11">
        <f t="shared" si="54"/>
        <v>0.25269999999999998</v>
      </c>
      <c r="F1184" s="11">
        <f t="shared" si="55"/>
        <v>0.35639880681953845</v>
      </c>
      <c r="G1184" s="13">
        <f t="shared" si="56"/>
        <v>0.36560119318046153</v>
      </c>
    </row>
    <row r="1185" spans="1:7" x14ac:dyDescent="0.25">
      <c r="A1185" s="15" t="s">
        <v>34</v>
      </c>
      <c r="B1185" s="16">
        <v>42298</v>
      </c>
      <c r="C1185" s="17">
        <v>-0.3604</v>
      </c>
      <c r="D1185" s="17">
        <v>-0.5141</v>
      </c>
      <c r="E1185" s="11">
        <f t="shared" si="54"/>
        <v>-0.5171</v>
      </c>
      <c r="F1185" s="11">
        <f t="shared" si="55"/>
        <v>-0.49899464666904714</v>
      </c>
      <c r="G1185" s="13">
        <f t="shared" si="56"/>
        <v>0.13859464666904714</v>
      </c>
    </row>
    <row r="1186" spans="1:7" x14ac:dyDescent="0.25">
      <c r="A1186" s="15" t="s">
        <v>34</v>
      </c>
      <c r="B1186" s="16">
        <v>42299</v>
      </c>
      <c r="C1186" s="17">
        <v>-0.72460000000000002</v>
      </c>
      <c r="D1186" s="17">
        <v>-8.8999999999999999E-3</v>
      </c>
      <c r="E1186" s="11">
        <f t="shared" si="54"/>
        <v>-1.1900000000000001E-2</v>
      </c>
      <c r="F1186" s="11">
        <f t="shared" si="55"/>
        <v>6.2378141980515701E-2</v>
      </c>
      <c r="G1186" s="13">
        <f t="shared" si="56"/>
        <v>-0.78697814198051574</v>
      </c>
    </row>
    <row r="1187" spans="1:7" x14ac:dyDescent="0.25">
      <c r="A1187" s="15" t="s">
        <v>34</v>
      </c>
      <c r="B1187" s="16">
        <v>42300</v>
      </c>
      <c r="C1187" s="17">
        <v>1.8019000000000001</v>
      </c>
      <c r="D1187" s="17">
        <v>0.75629999999999997</v>
      </c>
      <c r="E1187" s="11">
        <f t="shared" si="54"/>
        <v>0.75329999999999997</v>
      </c>
      <c r="F1187" s="11">
        <f t="shared" si="55"/>
        <v>0.91266012510530869</v>
      </c>
      <c r="G1187" s="13">
        <f t="shared" si="56"/>
        <v>0.88923987489469136</v>
      </c>
    </row>
    <row r="1188" spans="1:7" x14ac:dyDescent="0.25">
      <c r="A1188" s="15" t="s">
        <v>34</v>
      </c>
      <c r="B1188" s="16">
        <v>42303</v>
      </c>
      <c r="C1188" s="17">
        <v>0</v>
      </c>
      <c r="D1188" s="17">
        <v>0.82150000000000001</v>
      </c>
      <c r="E1188" s="11">
        <f t="shared" si="54"/>
        <v>0.81850000000000001</v>
      </c>
      <c r="F1188" s="11">
        <f t="shared" si="55"/>
        <v>0.98510966156602031</v>
      </c>
      <c r="G1188" s="13">
        <f t="shared" si="56"/>
        <v>-0.98510966156602031</v>
      </c>
    </row>
    <row r="1189" spans="1:7" x14ac:dyDescent="0.25">
      <c r="A1189" s="15" t="s">
        <v>34</v>
      </c>
      <c r="B1189" s="16">
        <v>42304</v>
      </c>
      <c r="C1189" s="17">
        <v>-0.71679999999999999</v>
      </c>
      <c r="D1189" s="17">
        <v>-0.50490000000000002</v>
      </c>
      <c r="E1189" s="11">
        <f t="shared" si="54"/>
        <v>-0.50790000000000002</v>
      </c>
      <c r="F1189" s="11">
        <f t="shared" si="55"/>
        <v>-0.48877170594146202</v>
      </c>
      <c r="G1189" s="13">
        <f t="shared" si="56"/>
        <v>-0.22802829405853797</v>
      </c>
    </row>
    <row r="1190" spans="1:7" x14ac:dyDescent="0.25">
      <c r="A1190" s="15" t="s">
        <v>34</v>
      </c>
      <c r="B1190" s="16">
        <v>42305</v>
      </c>
      <c r="C1190" s="17">
        <v>-0.72199999999999998</v>
      </c>
      <c r="D1190" s="17">
        <v>-0.40689999999999998</v>
      </c>
      <c r="E1190" s="11">
        <f t="shared" si="54"/>
        <v>-0.40989999999999999</v>
      </c>
      <c r="F1190" s="11">
        <f t="shared" si="55"/>
        <v>-0.37987516340849059</v>
      </c>
      <c r="G1190" s="13">
        <f t="shared" si="56"/>
        <v>-0.34212483659150938</v>
      </c>
    </row>
    <row r="1191" spans="1:7" x14ac:dyDescent="0.25">
      <c r="A1191" s="15" t="s">
        <v>34</v>
      </c>
      <c r="B1191" s="16">
        <v>42306</v>
      </c>
      <c r="C1191" s="17">
        <v>-1.0929</v>
      </c>
      <c r="D1191" s="17">
        <v>-1.1012</v>
      </c>
      <c r="E1191" s="11">
        <f t="shared" si="54"/>
        <v>-1.1041999999999998</v>
      </c>
      <c r="F1191" s="11">
        <f t="shared" si="55"/>
        <v>-1.1513738315783073</v>
      </c>
      <c r="G1191" s="13">
        <f t="shared" si="56"/>
        <v>5.8473831578307323E-2</v>
      </c>
    </row>
    <row r="1192" spans="1:7" x14ac:dyDescent="0.25">
      <c r="A1192" s="15" t="s">
        <v>34</v>
      </c>
      <c r="B1192" s="16">
        <v>42307</v>
      </c>
      <c r="C1192" s="17">
        <v>0</v>
      </c>
      <c r="D1192" s="17">
        <v>-0.1958</v>
      </c>
      <c r="E1192" s="11">
        <f t="shared" si="54"/>
        <v>-0.1988</v>
      </c>
      <c r="F1192" s="11">
        <f t="shared" si="55"/>
        <v>-0.14530312127879402</v>
      </c>
      <c r="G1192" s="13">
        <f t="shared" si="56"/>
        <v>0.14530312127879402</v>
      </c>
    </row>
    <row r="1193" spans="1:7" x14ac:dyDescent="0.25">
      <c r="A1193" s="15" t="s">
        <v>34</v>
      </c>
      <c r="B1193" s="16">
        <v>42310</v>
      </c>
      <c r="C1193" s="17">
        <v>0.72989999999999999</v>
      </c>
      <c r="D1193" s="17">
        <v>0.70430000000000004</v>
      </c>
      <c r="E1193" s="11">
        <f t="shared" si="54"/>
        <v>0.70130000000000003</v>
      </c>
      <c r="F1193" s="11">
        <f t="shared" si="55"/>
        <v>0.85487828621026274</v>
      </c>
      <c r="G1193" s="13">
        <f t="shared" si="56"/>
        <v>-0.12497828621026275</v>
      </c>
    </row>
    <row r="1194" spans="1:7" x14ac:dyDescent="0.25">
      <c r="A1194" s="15" t="s">
        <v>34</v>
      </c>
      <c r="B1194" s="16">
        <v>42311</v>
      </c>
      <c r="C1194" s="17">
        <v>1.4440999999999999</v>
      </c>
      <c r="D1194" s="17">
        <v>1.1359999999999999</v>
      </c>
      <c r="E1194" s="11">
        <f t="shared" si="54"/>
        <v>1.133</v>
      </c>
      <c r="F1194" s="11">
        <f t="shared" si="55"/>
        <v>1.3345786679600968</v>
      </c>
      <c r="G1194" s="13">
        <f t="shared" si="56"/>
        <v>0.10952133203990311</v>
      </c>
    </row>
    <row r="1195" spans="1:7" x14ac:dyDescent="0.25">
      <c r="A1195" s="15" t="s">
        <v>34</v>
      </c>
      <c r="B1195" s="16">
        <v>42312</v>
      </c>
      <c r="C1195" s="17">
        <v>3.5215000000000001</v>
      </c>
      <c r="D1195" s="17">
        <v>1.6372</v>
      </c>
      <c r="E1195" s="11">
        <f t="shared" si="54"/>
        <v>1.6342000000000001</v>
      </c>
      <c r="F1195" s="11">
        <f t="shared" si="55"/>
        <v>1.8915066997715793</v>
      </c>
      <c r="G1195" s="13">
        <f t="shared" si="56"/>
        <v>1.6299933002284208</v>
      </c>
    </row>
    <row r="1196" spans="1:7" x14ac:dyDescent="0.25">
      <c r="A1196" s="15" t="s">
        <v>34</v>
      </c>
      <c r="B1196" s="16">
        <v>42313</v>
      </c>
      <c r="C1196" s="17">
        <v>-1.3937999999999999</v>
      </c>
      <c r="D1196" s="17">
        <v>-7.7299999999999994E-2</v>
      </c>
      <c r="E1196" s="11">
        <f t="shared" si="54"/>
        <v>-8.0299999999999996E-2</v>
      </c>
      <c r="F1196" s="11">
        <f t="shared" si="55"/>
        <v>-1.3627199950660251E-2</v>
      </c>
      <c r="G1196" s="13">
        <f t="shared" si="56"/>
        <v>-1.3801728000493396</v>
      </c>
    </row>
    <row r="1197" spans="1:7" x14ac:dyDescent="0.25">
      <c r="A1197" s="15" t="s">
        <v>34</v>
      </c>
      <c r="B1197" s="16">
        <v>42314</v>
      </c>
      <c r="C1197" s="17">
        <v>-1.77</v>
      </c>
      <c r="D1197" s="17">
        <v>-1.7854000000000001</v>
      </c>
      <c r="E1197" s="11">
        <f t="shared" si="54"/>
        <v>-1.7884</v>
      </c>
      <c r="F1197" s="11">
        <f t="shared" si="55"/>
        <v>-1.911649488731971</v>
      </c>
      <c r="G1197" s="13">
        <f t="shared" si="56"/>
        <v>0.14164948873197103</v>
      </c>
    </row>
    <row r="1198" spans="1:7" x14ac:dyDescent="0.25">
      <c r="A1198" s="15" t="s">
        <v>34</v>
      </c>
      <c r="B1198" s="16">
        <v>42317</v>
      </c>
      <c r="C1198" s="17">
        <v>1.4185000000000001</v>
      </c>
      <c r="D1198" s="17">
        <v>-0.58940000000000003</v>
      </c>
      <c r="E1198" s="11">
        <f t="shared" si="54"/>
        <v>-0.59240000000000004</v>
      </c>
      <c r="F1198" s="11">
        <f t="shared" si="55"/>
        <v>-0.58266719414591195</v>
      </c>
      <c r="G1198" s="13">
        <f t="shared" si="56"/>
        <v>2.0011671941459119</v>
      </c>
    </row>
    <row r="1199" spans="1:7" x14ac:dyDescent="0.25">
      <c r="A1199" s="15" t="s">
        <v>34</v>
      </c>
      <c r="B1199" s="16">
        <v>42318</v>
      </c>
      <c r="C1199" s="17">
        <v>-1.7762</v>
      </c>
      <c r="D1199" s="17">
        <v>-1.2292000000000001</v>
      </c>
      <c r="E1199" s="11">
        <f t="shared" si="54"/>
        <v>-1.2322</v>
      </c>
      <c r="F1199" s="11">
        <f t="shared" si="55"/>
        <v>-1.2936060503968823</v>
      </c>
      <c r="G1199" s="13">
        <f t="shared" si="56"/>
        <v>-0.48259394960311774</v>
      </c>
    </row>
    <row r="1200" spans="1:7" x14ac:dyDescent="0.25">
      <c r="A1200" s="15" t="s">
        <v>34</v>
      </c>
      <c r="B1200" s="16">
        <v>42319</v>
      </c>
      <c r="C1200" s="17">
        <v>-1.4440999999999999</v>
      </c>
      <c r="D1200" s="17">
        <v>-1.4380999999999999</v>
      </c>
      <c r="E1200" s="11">
        <f t="shared" si="54"/>
        <v>-1.4410999999999998</v>
      </c>
      <c r="F1200" s="11">
        <f t="shared" si="55"/>
        <v>-1.5257334762656345</v>
      </c>
      <c r="G1200" s="13">
        <f t="shared" si="56"/>
        <v>8.1633476265634553E-2</v>
      </c>
    </row>
    <row r="1201" spans="1:7" x14ac:dyDescent="0.25">
      <c r="A1201" s="15" t="s">
        <v>34</v>
      </c>
      <c r="B1201" s="16">
        <v>42320</v>
      </c>
      <c r="C1201" s="17">
        <v>0.72460000000000002</v>
      </c>
      <c r="D1201" s="17">
        <v>0.15529999999999999</v>
      </c>
      <c r="E1201" s="11">
        <f t="shared" si="54"/>
        <v>0.15229999999999999</v>
      </c>
      <c r="F1201" s="11">
        <f t="shared" si="55"/>
        <v>0.24483541018371879</v>
      </c>
      <c r="G1201" s="13">
        <f t="shared" si="56"/>
        <v>0.47976458981628123</v>
      </c>
    </row>
    <row r="1202" spans="1:7" x14ac:dyDescent="0.25">
      <c r="A1202" s="15" t="s">
        <v>34</v>
      </c>
      <c r="B1202" s="16">
        <v>42321</v>
      </c>
      <c r="C1202" s="17">
        <v>-1.8214999999999999</v>
      </c>
      <c r="D1202" s="17">
        <v>-1.1767000000000001</v>
      </c>
      <c r="E1202" s="11">
        <f t="shared" si="54"/>
        <v>-1.1797</v>
      </c>
      <c r="F1202" s="11">
        <f t="shared" si="55"/>
        <v>-1.2352686168970761</v>
      </c>
      <c r="G1202" s="13">
        <f t="shared" si="56"/>
        <v>-0.58623138310292378</v>
      </c>
    </row>
    <row r="1203" spans="1:7" x14ac:dyDescent="0.25">
      <c r="A1203" s="15" t="s">
        <v>34</v>
      </c>
      <c r="B1203" s="16">
        <v>42324</v>
      </c>
      <c r="C1203" s="17">
        <v>-0.73799999999999999</v>
      </c>
      <c r="D1203" s="17">
        <v>-0.41020000000000001</v>
      </c>
      <c r="E1203" s="11">
        <f t="shared" si="54"/>
        <v>-0.41320000000000001</v>
      </c>
      <c r="F1203" s="11">
        <f t="shared" si="55"/>
        <v>-0.38354208779990701</v>
      </c>
      <c r="G1203" s="13">
        <f t="shared" si="56"/>
        <v>-0.35445791220009298</v>
      </c>
    </row>
    <row r="1204" spans="1:7" x14ac:dyDescent="0.25">
      <c r="A1204" s="15" t="s">
        <v>34</v>
      </c>
      <c r="B1204" s="16">
        <v>42325</v>
      </c>
      <c r="C1204" s="17">
        <v>2.5596000000000001</v>
      </c>
      <c r="D1204" s="17">
        <v>1.484</v>
      </c>
      <c r="E1204" s="11">
        <f t="shared" si="54"/>
        <v>1.4810000000000001</v>
      </c>
      <c r="F1204" s="11">
        <f t="shared" si="55"/>
        <v>1.7212725128730975</v>
      </c>
      <c r="G1204" s="13">
        <f t="shared" si="56"/>
        <v>0.83832748712690264</v>
      </c>
    </row>
    <row r="1205" spans="1:7" x14ac:dyDescent="0.25">
      <c r="A1205" s="15" t="s">
        <v>34</v>
      </c>
      <c r="B1205" s="16">
        <v>42326</v>
      </c>
      <c r="C1205" s="17">
        <v>-1.0889</v>
      </c>
      <c r="D1205" s="17">
        <v>-0.94210000000000005</v>
      </c>
      <c r="E1205" s="11">
        <f t="shared" si="54"/>
        <v>-0.94510000000000005</v>
      </c>
      <c r="F1205" s="11">
        <f t="shared" si="55"/>
        <v>-0.97458362834365686</v>
      </c>
      <c r="G1205" s="13">
        <f t="shared" si="56"/>
        <v>-0.11431637165634312</v>
      </c>
    </row>
    <row r="1206" spans="1:7" x14ac:dyDescent="0.25">
      <c r="A1206" s="15" t="s">
        <v>34</v>
      </c>
      <c r="B1206" s="16">
        <v>42327</v>
      </c>
      <c r="C1206" s="17">
        <v>2.5226999999999999</v>
      </c>
      <c r="D1206" s="17">
        <v>1.6261000000000001</v>
      </c>
      <c r="E1206" s="11">
        <f t="shared" si="54"/>
        <v>1.6231000000000002</v>
      </c>
      <c r="F1206" s="11">
        <f t="shared" si="55"/>
        <v>1.8791724995459063</v>
      </c>
      <c r="G1206" s="13">
        <f t="shared" si="56"/>
        <v>0.64352750045409368</v>
      </c>
    </row>
    <row r="1207" spans="1:7" x14ac:dyDescent="0.25">
      <c r="A1207" s="15" t="s">
        <v>34</v>
      </c>
      <c r="B1207" s="16">
        <v>42328</v>
      </c>
      <c r="C1207" s="17">
        <v>0.35520000000000002</v>
      </c>
      <c r="D1207" s="17">
        <v>-0.13869999999999999</v>
      </c>
      <c r="E1207" s="11">
        <f t="shared" si="54"/>
        <v>-0.14169999999999999</v>
      </c>
      <c r="F1207" s="11">
        <f t="shared" si="55"/>
        <v>-8.1854217415195399E-2</v>
      </c>
      <c r="G1207" s="13">
        <f t="shared" si="56"/>
        <v>0.4370542174151954</v>
      </c>
    </row>
    <row r="1208" spans="1:7" x14ac:dyDescent="0.25">
      <c r="A1208" s="15" t="s">
        <v>34</v>
      </c>
      <c r="B1208" s="16">
        <v>42331</v>
      </c>
      <c r="C1208" s="17">
        <v>0</v>
      </c>
      <c r="D1208" s="17">
        <v>0.23930000000000001</v>
      </c>
      <c r="E1208" s="11">
        <f t="shared" si="54"/>
        <v>0.23630000000000001</v>
      </c>
      <c r="F1208" s="11">
        <f t="shared" si="55"/>
        <v>0.3381753037834086</v>
      </c>
      <c r="G1208" s="13">
        <f t="shared" si="56"/>
        <v>-0.3381753037834086</v>
      </c>
    </row>
    <row r="1209" spans="1:7" x14ac:dyDescent="0.25">
      <c r="A1209" s="15" t="s">
        <v>34</v>
      </c>
      <c r="B1209" s="16">
        <v>42332</v>
      </c>
      <c r="C1209" s="17">
        <v>-1.0694999999999999</v>
      </c>
      <c r="D1209" s="17">
        <v>-1.0138</v>
      </c>
      <c r="E1209" s="11">
        <f t="shared" si="54"/>
        <v>-1.0167999999999999</v>
      </c>
      <c r="F1209" s="11">
        <f t="shared" si="55"/>
        <v>-1.0542558946662492</v>
      </c>
      <c r="G1209" s="13">
        <f t="shared" si="56"/>
        <v>-1.5244105333750646E-2</v>
      </c>
    </row>
    <row r="1210" spans="1:7" x14ac:dyDescent="0.25">
      <c r="A1210" s="15" t="s">
        <v>34</v>
      </c>
      <c r="B1210" s="16">
        <v>42333</v>
      </c>
      <c r="C1210" s="17">
        <v>1.0694999999999999</v>
      </c>
      <c r="D1210" s="17">
        <v>-0.16689999999999999</v>
      </c>
      <c r="E1210" s="11">
        <f t="shared" si="54"/>
        <v>-0.1699</v>
      </c>
      <c r="F1210" s="11">
        <f t="shared" si="55"/>
        <v>-0.11318975312366268</v>
      </c>
      <c r="G1210" s="13">
        <f t="shared" si="56"/>
        <v>1.1826897531236626</v>
      </c>
    </row>
    <row r="1211" spans="1:7" x14ac:dyDescent="0.25">
      <c r="A1211" s="15" t="s">
        <v>34</v>
      </c>
      <c r="B1211" s="16">
        <v>42334</v>
      </c>
      <c r="C1211" s="17">
        <v>1.0582</v>
      </c>
      <c r="D1211" s="17">
        <v>1.1709000000000001</v>
      </c>
      <c r="E1211" s="11">
        <f t="shared" si="54"/>
        <v>1.1679000000000002</v>
      </c>
      <c r="F1211" s="11">
        <f t="shared" si="55"/>
        <v>1.3733591713723492</v>
      </c>
      <c r="G1211" s="13">
        <f t="shared" si="56"/>
        <v>-0.31515917137234917</v>
      </c>
    </row>
    <row r="1212" spans="1:7" x14ac:dyDescent="0.25">
      <c r="A1212" s="15" t="s">
        <v>34</v>
      </c>
      <c r="B1212" s="16">
        <v>42335</v>
      </c>
      <c r="C1212" s="17">
        <v>-2.4868000000000001</v>
      </c>
      <c r="D1212" s="17">
        <v>-1.0246999999999999</v>
      </c>
      <c r="E1212" s="11">
        <f t="shared" si="54"/>
        <v>-1.0276999999999998</v>
      </c>
      <c r="F1212" s="11">
        <f t="shared" si="55"/>
        <v>-1.0663678570500184</v>
      </c>
      <c r="G1212" s="13">
        <f t="shared" si="56"/>
        <v>-1.4204321429499818</v>
      </c>
    </row>
    <row r="1213" spans="1:7" x14ac:dyDescent="0.25">
      <c r="A1213" s="15" t="s">
        <v>34</v>
      </c>
      <c r="B1213" s="16">
        <v>42338</v>
      </c>
      <c r="C1213" s="17">
        <v>0</v>
      </c>
      <c r="D1213" s="17">
        <v>-0.93059999999999998</v>
      </c>
      <c r="E1213" s="11">
        <f t="shared" si="54"/>
        <v>-0.93359999999999999</v>
      </c>
      <c r="F1213" s="11">
        <f t="shared" si="55"/>
        <v>-0.96180495243417563</v>
      </c>
      <c r="G1213" s="13">
        <f t="shared" si="56"/>
        <v>0.96180495243417563</v>
      </c>
    </row>
    <row r="1214" spans="1:7" x14ac:dyDescent="0.25">
      <c r="A1214" s="15" t="s">
        <v>34</v>
      </c>
      <c r="B1214" s="16">
        <v>42339</v>
      </c>
      <c r="C1214" s="17">
        <v>2.4868000000000001</v>
      </c>
      <c r="D1214" s="17">
        <v>1.7003999999999999</v>
      </c>
      <c r="E1214" s="11">
        <f t="shared" si="54"/>
        <v>1.6974</v>
      </c>
      <c r="F1214" s="11">
        <f t="shared" si="55"/>
        <v>1.9617338578132506</v>
      </c>
      <c r="G1214" s="13">
        <f t="shared" si="56"/>
        <v>0.52506614218674952</v>
      </c>
    </row>
    <row r="1215" spans="1:7" x14ac:dyDescent="0.25">
      <c r="A1215" s="15" t="s">
        <v>34</v>
      </c>
      <c r="B1215" s="16">
        <v>42340</v>
      </c>
      <c r="C1215" s="17">
        <v>0</v>
      </c>
      <c r="D1215" s="17">
        <v>-6.9699999999999998E-2</v>
      </c>
      <c r="E1215" s="11">
        <f t="shared" si="54"/>
        <v>-7.2700000000000001E-2</v>
      </c>
      <c r="F1215" s="11">
        <f t="shared" si="55"/>
        <v>-5.1821619583073686E-3</v>
      </c>
      <c r="G1215" s="13">
        <f t="shared" si="56"/>
        <v>5.1821619583073686E-3</v>
      </c>
    </row>
    <row r="1216" spans="1:7" x14ac:dyDescent="0.25">
      <c r="A1216" s="15" t="s">
        <v>34</v>
      </c>
      <c r="B1216" s="16">
        <v>42341</v>
      </c>
      <c r="C1216" s="17">
        <v>0</v>
      </c>
      <c r="D1216" s="17">
        <v>-1.5800000000000002E-2</v>
      </c>
      <c r="E1216" s="11">
        <f t="shared" si="54"/>
        <v>-1.8800000000000001E-2</v>
      </c>
      <c r="F1216" s="11">
        <f t="shared" si="55"/>
        <v>5.4710936434826898E-2</v>
      </c>
      <c r="G1216" s="13">
        <f t="shared" si="56"/>
        <v>-5.4710936434826898E-2</v>
      </c>
    </row>
    <row r="1217" spans="1:7" x14ac:dyDescent="0.25">
      <c r="A1217" s="15" t="s">
        <v>34</v>
      </c>
      <c r="B1217" s="16">
        <v>42342</v>
      </c>
      <c r="C1217" s="17">
        <v>-1.4135</v>
      </c>
      <c r="D1217" s="17">
        <v>-0.68179999999999996</v>
      </c>
      <c r="E1217" s="11">
        <f t="shared" si="54"/>
        <v>-0.68479999999999996</v>
      </c>
      <c r="F1217" s="11">
        <f t="shared" si="55"/>
        <v>-0.68534107710557057</v>
      </c>
      <c r="G1217" s="13">
        <f t="shared" si="56"/>
        <v>-0.72815892289442941</v>
      </c>
    </row>
    <row r="1218" spans="1:7" x14ac:dyDescent="0.25">
      <c r="A1218" s="15" t="s">
        <v>34</v>
      </c>
      <c r="B1218" s="16">
        <v>42345</v>
      </c>
      <c r="C1218" s="17">
        <v>2.1128</v>
      </c>
      <c r="D1218" s="17">
        <v>0.66069999999999995</v>
      </c>
      <c r="E1218" s="11">
        <f t="shared" si="54"/>
        <v>0.65769999999999995</v>
      </c>
      <c r="F1218" s="11">
        <f t="shared" si="55"/>
        <v>0.80643043667518555</v>
      </c>
      <c r="G1218" s="13">
        <f t="shared" si="56"/>
        <v>1.3063695633248145</v>
      </c>
    </row>
    <row r="1219" spans="1:7" x14ac:dyDescent="0.25">
      <c r="A1219" s="15" t="s">
        <v>34</v>
      </c>
      <c r="B1219" s="16">
        <v>42346</v>
      </c>
      <c r="C1219" s="17">
        <v>-0.69930000000000003</v>
      </c>
      <c r="D1219" s="17">
        <v>-1.3146</v>
      </c>
      <c r="E1219" s="11">
        <f t="shared" ref="E1219:E1282" si="57">D1219-$K$1</f>
        <v>-1.3175999999999999</v>
      </c>
      <c r="F1219" s="11">
        <f t="shared" ref="F1219:F1282" si="58">K$2+K$3*E1219</f>
        <v>-1.3885016088899</v>
      </c>
      <c r="G1219" s="13">
        <f t="shared" ref="G1219:G1282" si="59">C1219-F1219</f>
        <v>0.68920160888990001</v>
      </c>
    </row>
    <row r="1220" spans="1:7" x14ac:dyDescent="0.25">
      <c r="A1220" s="15" t="s">
        <v>34</v>
      </c>
      <c r="B1220" s="16">
        <v>42347</v>
      </c>
      <c r="C1220" s="17">
        <v>-1.4135</v>
      </c>
      <c r="D1220" s="17">
        <v>-1.3786</v>
      </c>
      <c r="E1220" s="11">
        <f t="shared" si="57"/>
        <v>-1.3815999999999999</v>
      </c>
      <c r="F1220" s="11">
        <f t="shared" si="58"/>
        <v>-1.4596177182991876</v>
      </c>
      <c r="G1220" s="13">
        <f t="shared" si="59"/>
        <v>4.6117718299187649E-2</v>
      </c>
    </row>
    <row r="1221" spans="1:7" x14ac:dyDescent="0.25">
      <c r="A1221" s="15" t="s">
        <v>34</v>
      </c>
      <c r="B1221" s="16">
        <v>42348</v>
      </c>
      <c r="C1221" s="17">
        <v>0.35520000000000002</v>
      </c>
      <c r="D1221" s="17">
        <v>-0.1636</v>
      </c>
      <c r="E1221" s="11">
        <f t="shared" si="57"/>
        <v>-0.1666</v>
      </c>
      <c r="F1221" s="11">
        <f t="shared" si="58"/>
        <v>-0.10952282873224629</v>
      </c>
      <c r="G1221" s="13">
        <f t="shared" si="59"/>
        <v>0.4647228287322463</v>
      </c>
    </row>
    <row r="1222" spans="1:7" x14ac:dyDescent="0.25">
      <c r="A1222" s="15" t="s">
        <v>34</v>
      </c>
      <c r="B1222" s="16">
        <v>42349</v>
      </c>
      <c r="C1222" s="17">
        <v>-1.0694999999999999</v>
      </c>
      <c r="D1222" s="17">
        <v>-1.228</v>
      </c>
      <c r="E1222" s="11">
        <f t="shared" si="57"/>
        <v>-1.2309999999999999</v>
      </c>
      <c r="F1222" s="11">
        <f t="shared" si="58"/>
        <v>-1.292272623345458</v>
      </c>
      <c r="G1222" s="13">
        <f t="shared" si="59"/>
        <v>0.22277262334545811</v>
      </c>
    </row>
    <row r="1223" spans="1:7" x14ac:dyDescent="0.25">
      <c r="A1223" s="15" t="s">
        <v>34</v>
      </c>
      <c r="B1223" s="16">
        <v>42352</v>
      </c>
      <c r="C1223" s="17">
        <v>-0.35909999999999997</v>
      </c>
      <c r="D1223" s="17">
        <v>-0.9375</v>
      </c>
      <c r="E1223" s="11">
        <f t="shared" si="57"/>
        <v>-0.9405</v>
      </c>
      <c r="F1223" s="11">
        <f t="shared" si="58"/>
        <v>-0.96947215797986441</v>
      </c>
      <c r="G1223" s="13">
        <f t="shared" si="59"/>
        <v>0.61037215797986444</v>
      </c>
    </row>
    <row r="1224" spans="1:7" x14ac:dyDescent="0.25">
      <c r="A1224" s="15" t="s">
        <v>34</v>
      </c>
      <c r="B1224" s="16">
        <v>42353</v>
      </c>
      <c r="C1224" s="17">
        <v>-0.72199999999999998</v>
      </c>
      <c r="D1224" s="17">
        <v>0.41199999999999998</v>
      </c>
      <c r="E1224" s="11">
        <f t="shared" si="57"/>
        <v>0.40899999999999997</v>
      </c>
      <c r="F1224" s="11">
        <f t="shared" si="58"/>
        <v>0.53007768026753266</v>
      </c>
      <c r="G1224" s="13">
        <f t="shared" si="59"/>
        <v>-1.2520776802675326</v>
      </c>
    </row>
    <row r="1225" spans="1:7" x14ac:dyDescent="0.25">
      <c r="A1225" s="15" t="s">
        <v>34</v>
      </c>
      <c r="B1225" s="16">
        <v>42354</v>
      </c>
      <c r="C1225" s="17">
        <v>3.9081000000000001</v>
      </c>
      <c r="D1225" s="17">
        <v>1.3693</v>
      </c>
      <c r="E1225" s="11">
        <f t="shared" si="57"/>
        <v>1.3663000000000001</v>
      </c>
      <c r="F1225" s="11">
        <f t="shared" si="58"/>
        <v>1.5938191105411401</v>
      </c>
      <c r="G1225" s="13">
        <f t="shared" si="59"/>
        <v>2.31428088945886</v>
      </c>
    </row>
    <row r="1226" spans="1:7" x14ac:dyDescent="0.25">
      <c r="A1226" s="15" t="s">
        <v>34</v>
      </c>
      <c r="B1226" s="16">
        <v>42355</v>
      </c>
      <c r="C1226" s="17">
        <v>1.0399</v>
      </c>
      <c r="D1226" s="17">
        <v>1.6361000000000001</v>
      </c>
      <c r="E1226" s="11">
        <f t="shared" si="57"/>
        <v>1.6331000000000002</v>
      </c>
      <c r="F1226" s="11">
        <f t="shared" si="58"/>
        <v>1.8902843916411074</v>
      </c>
      <c r="G1226" s="13">
        <f t="shared" si="59"/>
        <v>-0.85038439164110735</v>
      </c>
    </row>
    <row r="1227" spans="1:7" x14ac:dyDescent="0.25">
      <c r="A1227" s="15" t="s">
        <v>34</v>
      </c>
      <c r="B1227" s="16">
        <v>42356</v>
      </c>
      <c r="C1227" s="17">
        <v>-2.0907</v>
      </c>
      <c r="D1227" s="17">
        <v>-0.75229999999999997</v>
      </c>
      <c r="E1227" s="11">
        <f t="shared" si="57"/>
        <v>-0.75529999999999997</v>
      </c>
      <c r="F1227" s="11">
        <f t="shared" si="58"/>
        <v>-0.76367991637673882</v>
      </c>
      <c r="G1227" s="13">
        <f t="shared" si="59"/>
        <v>-1.3270200836232613</v>
      </c>
    </row>
    <row r="1228" spans="1:7" x14ac:dyDescent="0.25">
      <c r="A1228" s="15" t="s">
        <v>34</v>
      </c>
      <c r="B1228" s="16">
        <v>42359</v>
      </c>
      <c r="C1228" s="17">
        <v>-0.35270000000000001</v>
      </c>
      <c r="D1228" s="17">
        <v>0.30049999999999999</v>
      </c>
      <c r="E1228" s="11">
        <f t="shared" si="57"/>
        <v>0.29749999999999999</v>
      </c>
      <c r="F1228" s="11">
        <f t="shared" si="58"/>
        <v>0.40618008340603967</v>
      </c>
      <c r="G1228" s="13">
        <f t="shared" si="59"/>
        <v>-0.75888008340603963</v>
      </c>
    </row>
    <row r="1229" spans="1:7" x14ac:dyDescent="0.25">
      <c r="A1229" s="15" t="s">
        <v>34</v>
      </c>
      <c r="B1229" s="16">
        <v>42360</v>
      </c>
      <c r="C1229" s="17">
        <v>0.35270000000000001</v>
      </c>
      <c r="D1229" s="17">
        <v>0.1275</v>
      </c>
      <c r="E1229" s="11">
        <f t="shared" si="57"/>
        <v>0.1245</v>
      </c>
      <c r="F1229" s="11">
        <f t="shared" si="58"/>
        <v>0.21394435015905955</v>
      </c>
      <c r="G1229" s="13">
        <f t="shared" si="59"/>
        <v>0.13875564984094046</v>
      </c>
    </row>
    <row r="1230" spans="1:7" x14ac:dyDescent="0.25">
      <c r="A1230" s="15" t="s">
        <v>34</v>
      </c>
      <c r="B1230" s="16">
        <v>42361</v>
      </c>
      <c r="C1230" s="17">
        <v>-0.35270000000000001</v>
      </c>
      <c r="D1230" s="17">
        <v>0.27650000000000002</v>
      </c>
      <c r="E1230" s="11">
        <f t="shared" si="57"/>
        <v>0.27350000000000002</v>
      </c>
      <c r="F1230" s="11">
        <f t="shared" si="58"/>
        <v>0.37951154237755691</v>
      </c>
      <c r="G1230" s="13">
        <f t="shared" si="59"/>
        <v>-0.73221154237755692</v>
      </c>
    </row>
    <row r="1231" spans="1:7" x14ac:dyDescent="0.25">
      <c r="A1231" s="15" t="s">
        <v>34</v>
      </c>
      <c r="B1231" s="16">
        <v>42362</v>
      </c>
      <c r="C1231" s="17">
        <v>0.35270000000000001</v>
      </c>
      <c r="D1231" s="17">
        <v>0.1041</v>
      </c>
      <c r="E1231" s="11">
        <f t="shared" si="57"/>
        <v>0.1011</v>
      </c>
      <c r="F1231" s="11">
        <f t="shared" si="58"/>
        <v>0.18794252265628886</v>
      </c>
      <c r="G1231" s="13">
        <f t="shared" si="59"/>
        <v>0.16475747734371116</v>
      </c>
    </row>
    <row r="1232" spans="1:7" x14ac:dyDescent="0.25">
      <c r="A1232" s="15" t="s">
        <v>34</v>
      </c>
      <c r="B1232" s="16">
        <v>42363</v>
      </c>
      <c r="C1232" s="17">
        <v>0.70179999999999998</v>
      </c>
      <c r="D1232" s="17">
        <v>0.46650000000000003</v>
      </c>
      <c r="E1232" s="11">
        <f t="shared" si="57"/>
        <v>0.46350000000000002</v>
      </c>
      <c r="F1232" s="11">
        <f t="shared" si="58"/>
        <v>0.59063749218637907</v>
      </c>
      <c r="G1232" s="13">
        <f t="shared" si="59"/>
        <v>0.11116250781362091</v>
      </c>
    </row>
    <row r="1233" spans="1:7" x14ac:dyDescent="0.25">
      <c r="A1233" s="15" t="s">
        <v>34</v>
      </c>
      <c r="B1233" s="16">
        <v>42366</v>
      </c>
      <c r="C1233" s="17">
        <v>0.34899999999999998</v>
      </c>
      <c r="D1233" s="17">
        <v>-5.7299999999999997E-2</v>
      </c>
      <c r="E1233" s="11">
        <f t="shared" si="57"/>
        <v>-6.0299999999999999E-2</v>
      </c>
      <c r="F1233" s="11">
        <f t="shared" si="58"/>
        <v>8.5965842397420777E-3</v>
      </c>
      <c r="G1233" s="13">
        <f t="shared" si="59"/>
        <v>0.3404034157602579</v>
      </c>
    </row>
    <row r="1234" spans="1:7" x14ac:dyDescent="0.25">
      <c r="A1234" s="15" t="s">
        <v>34</v>
      </c>
      <c r="B1234" s="16">
        <v>42367</v>
      </c>
      <c r="C1234" s="17">
        <v>-1.0508</v>
      </c>
      <c r="D1234" s="17">
        <v>-0.77559999999999996</v>
      </c>
      <c r="E1234" s="11">
        <f t="shared" si="57"/>
        <v>-0.77859999999999996</v>
      </c>
      <c r="F1234" s="11">
        <f t="shared" si="58"/>
        <v>-0.78957062495855745</v>
      </c>
      <c r="G1234" s="13">
        <f t="shared" si="59"/>
        <v>-0.2612293750414425</v>
      </c>
    </row>
    <row r="1235" spans="1:7" x14ac:dyDescent="0.25">
      <c r="A1235" s="15" t="s">
        <v>34</v>
      </c>
      <c r="B1235" s="16">
        <v>42368</v>
      </c>
      <c r="C1235" s="17">
        <v>0.35149999999999998</v>
      </c>
      <c r="D1235" s="17">
        <v>-0.16800000000000001</v>
      </c>
      <c r="E1235" s="11">
        <f t="shared" si="57"/>
        <v>-0.17100000000000001</v>
      </c>
      <c r="F1235" s="11">
        <f t="shared" si="58"/>
        <v>-0.11441206125413482</v>
      </c>
      <c r="G1235" s="13">
        <f t="shared" si="59"/>
        <v>0.46591206125413481</v>
      </c>
    </row>
    <row r="1236" spans="1:7" x14ac:dyDescent="0.25">
      <c r="A1236" s="15" t="s">
        <v>34</v>
      </c>
      <c r="B1236" s="16">
        <v>42369</v>
      </c>
      <c r="C1236" s="17">
        <v>0.3503</v>
      </c>
      <c r="D1236" s="17">
        <v>0.69889999999999997</v>
      </c>
      <c r="E1236" s="11">
        <f t="shared" si="57"/>
        <v>0.69589999999999996</v>
      </c>
      <c r="F1236" s="11">
        <f t="shared" si="58"/>
        <v>0.84887786447885405</v>
      </c>
      <c r="G1236" s="13">
        <f t="shared" si="59"/>
        <v>-0.49857786447885405</v>
      </c>
    </row>
    <row r="1237" spans="1:7" x14ac:dyDescent="0.25">
      <c r="A1237" s="15" t="s">
        <v>34</v>
      </c>
      <c r="B1237" s="16">
        <v>42373</v>
      </c>
      <c r="C1237" s="17">
        <v>-2.4780000000000002</v>
      </c>
      <c r="D1237" s="17">
        <v>-2.7208000000000001</v>
      </c>
      <c r="E1237" s="11">
        <f t="shared" si="57"/>
        <v>-2.7238000000000002</v>
      </c>
      <c r="F1237" s="11">
        <f t="shared" si="58"/>
        <v>-2.9510558753170879</v>
      </c>
      <c r="G1237" s="13">
        <f t="shared" si="59"/>
        <v>0.4730558753170877</v>
      </c>
    </row>
    <row r="1238" spans="1:7" x14ac:dyDescent="0.25">
      <c r="A1238" s="15" t="s">
        <v>34</v>
      </c>
      <c r="B1238" s="16">
        <v>42374</v>
      </c>
      <c r="C1238" s="17">
        <v>-1.0810999999999999</v>
      </c>
      <c r="D1238" s="17">
        <v>-0.48370000000000002</v>
      </c>
      <c r="E1238" s="11">
        <f t="shared" si="57"/>
        <v>-0.48670000000000002</v>
      </c>
      <c r="F1238" s="11">
        <f t="shared" si="58"/>
        <v>-0.46521449469963561</v>
      </c>
      <c r="G1238" s="13">
        <f t="shared" si="59"/>
        <v>-0.61588550530036434</v>
      </c>
    </row>
    <row r="1239" spans="1:7" x14ac:dyDescent="0.25">
      <c r="A1239" s="15" t="s">
        <v>34</v>
      </c>
      <c r="B1239" s="16">
        <v>42375</v>
      </c>
      <c r="C1239" s="17">
        <v>-1.8282</v>
      </c>
      <c r="D1239" s="17">
        <v>-1.0547</v>
      </c>
      <c r="E1239" s="11">
        <f t="shared" si="57"/>
        <v>-1.0576999999999999</v>
      </c>
      <c r="F1239" s="11">
        <f t="shared" si="58"/>
        <v>-1.0997035333356218</v>
      </c>
      <c r="G1239" s="13">
        <f t="shared" si="59"/>
        <v>-0.72849646666437828</v>
      </c>
    </row>
    <row r="1240" spans="1:7" x14ac:dyDescent="0.25">
      <c r="A1240" s="15" t="s">
        <v>34</v>
      </c>
      <c r="B1240" s="16">
        <v>42376</v>
      </c>
      <c r="C1240" s="17">
        <v>-1.8623000000000001</v>
      </c>
      <c r="D1240" s="17">
        <v>-1.7464</v>
      </c>
      <c r="E1240" s="11">
        <f t="shared" si="57"/>
        <v>-1.7493999999999998</v>
      </c>
      <c r="F1240" s="11">
        <f t="shared" si="58"/>
        <v>-1.8683131095606862</v>
      </c>
      <c r="G1240" s="13">
        <f t="shared" si="59"/>
        <v>6.0131095606861251E-3</v>
      </c>
    </row>
    <row r="1241" spans="1:7" x14ac:dyDescent="0.25">
      <c r="A1241" s="15" t="s">
        <v>34</v>
      </c>
      <c r="B1241" s="16">
        <v>42377</v>
      </c>
      <c r="C1241" s="17">
        <v>0.74909999999999999</v>
      </c>
      <c r="D1241" s="17">
        <v>0.5323</v>
      </c>
      <c r="E1241" s="11">
        <f t="shared" si="57"/>
        <v>0.52929999999999999</v>
      </c>
      <c r="F1241" s="11">
        <f t="shared" si="58"/>
        <v>0.6637537421728027</v>
      </c>
      <c r="G1241" s="13">
        <f t="shared" si="59"/>
        <v>8.5346257827197292E-2</v>
      </c>
    </row>
    <row r="1242" spans="1:7" x14ac:dyDescent="0.25">
      <c r="A1242" s="15" t="s">
        <v>34</v>
      </c>
      <c r="B1242" s="16">
        <v>42380</v>
      </c>
      <c r="C1242" s="17">
        <v>-0.74909999999999999</v>
      </c>
      <c r="D1242" s="17">
        <v>-1.3461000000000001</v>
      </c>
      <c r="E1242" s="11">
        <f t="shared" si="57"/>
        <v>-1.3491</v>
      </c>
      <c r="F1242" s="11">
        <f t="shared" si="58"/>
        <v>-1.4235040689897838</v>
      </c>
      <c r="G1242" s="13">
        <f t="shared" si="59"/>
        <v>0.67440406898978378</v>
      </c>
    </row>
    <row r="1243" spans="1:7" x14ac:dyDescent="0.25">
      <c r="A1243" s="15" t="s">
        <v>34</v>
      </c>
      <c r="B1243" s="16">
        <v>42381</v>
      </c>
      <c r="C1243" s="17">
        <v>0</v>
      </c>
      <c r="D1243" s="17">
        <v>-0.25669999999999998</v>
      </c>
      <c r="E1243" s="11">
        <f t="shared" si="57"/>
        <v>-0.25969999999999999</v>
      </c>
      <c r="F1243" s="11">
        <f t="shared" si="58"/>
        <v>-0.21297454413856914</v>
      </c>
      <c r="G1243" s="13">
        <f t="shared" si="59"/>
        <v>0.21297454413856914</v>
      </c>
    </row>
    <row r="1244" spans="1:7" x14ac:dyDescent="0.25">
      <c r="A1244" s="15" t="s">
        <v>34</v>
      </c>
      <c r="B1244" s="16">
        <v>42382</v>
      </c>
      <c r="C1244" s="17">
        <v>0.37519999999999998</v>
      </c>
      <c r="D1244" s="17">
        <v>0.72030000000000005</v>
      </c>
      <c r="E1244" s="11">
        <f t="shared" si="57"/>
        <v>0.71730000000000005</v>
      </c>
      <c r="F1244" s="11">
        <f t="shared" si="58"/>
        <v>0.87265731356258458</v>
      </c>
      <c r="G1244" s="13">
        <f t="shared" si="59"/>
        <v>-0.4974573135625846</v>
      </c>
    </row>
    <row r="1245" spans="1:7" x14ac:dyDescent="0.25">
      <c r="A1245" s="15" t="s">
        <v>34</v>
      </c>
      <c r="B1245" s="16">
        <v>42383</v>
      </c>
      <c r="C1245" s="17">
        <v>-1.5095000000000001</v>
      </c>
      <c r="D1245" s="17">
        <v>-1.05</v>
      </c>
      <c r="E1245" s="11">
        <f t="shared" si="57"/>
        <v>-1.0529999999999999</v>
      </c>
      <c r="F1245" s="11">
        <f t="shared" si="58"/>
        <v>-1.0944809440508774</v>
      </c>
      <c r="G1245" s="13">
        <f t="shared" si="59"/>
        <v>-0.41501905594912269</v>
      </c>
    </row>
    <row r="1246" spans="1:7" x14ac:dyDescent="0.25">
      <c r="A1246" s="15" t="s">
        <v>34</v>
      </c>
      <c r="B1246" s="16">
        <v>42384</v>
      </c>
      <c r="C1246" s="17">
        <v>4.0974000000000004</v>
      </c>
      <c r="D1246" s="17">
        <v>0.24679999999999999</v>
      </c>
      <c r="E1246" s="11">
        <f t="shared" si="57"/>
        <v>0.24379999999999999</v>
      </c>
      <c r="F1246" s="11">
        <f t="shared" si="58"/>
        <v>0.34650922285480945</v>
      </c>
      <c r="G1246" s="13">
        <f t="shared" si="59"/>
        <v>3.7508907771451909</v>
      </c>
    </row>
    <row r="1247" spans="1:7" x14ac:dyDescent="0.25">
      <c r="A1247" s="15" t="s">
        <v>34</v>
      </c>
      <c r="B1247" s="16">
        <v>42387</v>
      </c>
      <c r="C1247" s="17">
        <v>0</v>
      </c>
      <c r="D1247" s="17">
        <v>0.63149999999999995</v>
      </c>
      <c r="E1247" s="11">
        <f t="shared" si="57"/>
        <v>0.62849999999999995</v>
      </c>
      <c r="F1247" s="11">
        <f t="shared" si="58"/>
        <v>0.77398371175719816</v>
      </c>
      <c r="G1247" s="13">
        <f t="shared" si="59"/>
        <v>-0.77398371175719816</v>
      </c>
    </row>
    <row r="1248" spans="1:7" x14ac:dyDescent="0.25">
      <c r="A1248" s="15" t="s">
        <v>34</v>
      </c>
      <c r="B1248" s="16">
        <v>42388</v>
      </c>
      <c r="C1248" s="17">
        <v>0.72729999999999995</v>
      </c>
      <c r="D1248" s="17">
        <v>0.55789999999999995</v>
      </c>
      <c r="E1248" s="11">
        <f t="shared" si="57"/>
        <v>0.55489999999999995</v>
      </c>
      <c r="F1248" s="11">
        <f t="shared" si="58"/>
        <v>0.69220018593651755</v>
      </c>
      <c r="G1248" s="13">
        <f t="shared" si="59"/>
        <v>3.5099814063482393E-2</v>
      </c>
    </row>
    <row r="1249" spans="1:7" x14ac:dyDescent="0.25">
      <c r="A1249" s="15" t="s">
        <v>34</v>
      </c>
      <c r="B1249" s="16">
        <v>42389</v>
      </c>
      <c r="C1249" s="17">
        <v>-2.5689000000000002</v>
      </c>
      <c r="D1249" s="17">
        <v>-2.0028999999999999</v>
      </c>
      <c r="E1249" s="11">
        <f t="shared" si="57"/>
        <v>-2.0059</v>
      </c>
      <c r="F1249" s="11">
        <f t="shared" si="58"/>
        <v>-2.1533331418025963</v>
      </c>
      <c r="G1249" s="13">
        <f t="shared" si="59"/>
        <v>-0.41556685819740391</v>
      </c>
    </row>
    <row r="1250" spans="1:7" x14ac:dyDescent="0.25">
      <c r="A1250" s="15" t="s">
        <v>34</v>
      </c>
      <c r="B1250" s="16">
        <v>42390</v>
      </c>
      <c r="C1250" s="17">
        <v>0.37109999999999999</v>
      </c>
      <c r="D1250" s="17">
        <v>-0.45710000000000001</v>
      </c>
      <c r="E1250" s="11">
        <f t="shared" si="57"/>
        <v>-0.46010000000000001</v>
      </c>
      <c r="F1250" s="11">
        <f t="shared" si="58"/>
        <v>-0.4356568617264005</v>
      </c>
      <c r="G1250" s="13">
        <f t="shared" si="59"/>
        <v>0.80675686172640049</v>
      </c>
    </row>
    <row r="1251" spans="1:7" x14ac:dyDescent="0.25">
      <c r="A1251" s="15" t="s">
        <v>34</v>
      </c>
      <c r="B1251" s="16">
        <v>42391</v>
      </c>
      <c r="C1251" s="17">
        <v>2.5596000000000001</v>
      </c>
      <c r="D1251" s="17">
        <v>1.1955</v>
      </c>
      <c r="E1251" s="11">
        <f t="shared" si="57"/>
        <v>1.1925000000000001</v>
      </c>
      <c r="F1251" s="11">
        <f t="shared" si="58"/>
        <v>1.4006944259265439</v>
      </c>
      <c r="G1251" s="13">
        <f t="shared" si="59"/>
        <v>1.1589055740734562</v>
      </c>
    </row>
    <row r="1252" spans="1:7" x14ac:dyDescent="0.25">
      <c r="A1252" s="15" t="s">
        <v>34</v>
      </c>
      <c r="B1252" s="16">
        <v>42394</v>
      </c>
      <c r="C1252" s="17">
        <v>0.71940000000000004</v>
      </c>
      <c r="D1252" s="17">
        <v>1.7632000000000001</v>
      </c>
      <c r="E1252" s="11">
        <f t="shared" si="57"/>
        <v>1.7602000000000002</v>
      </c>
      <c r="F1252" s="11">
        <f t="shared" si="58"/>
        <v>2.0315165401711144</v>
      </c>
      <c r="G1252" s="13">
        <f t="shared" si="59"/>
        <v>-1.3121165401711143</v>
      </c>
    </row>
    <row r="1253" spans="1:7" x14ac:dyDescent="0.25">
      <c r="A1253" s="15" t="s">
        <v>34</v>
      </c>
      <c r="B1253" s="16">
        <v>42395</v>
      </c>
      <c r="C1253" s="17">
        <v>-1.4440999999999999</v>
      </c>
      <c r="D1253" s="17">
        <v>-0.83289999999999997</v>
      </c>
      <c r="E1253" s="11">
        <f t="shared" si="57"/>
        <v>-0.83589999999999998</v>
      </c>
      <c r="F1253" s="11">
        <f t="shared" si="58"/>
        <v>-0.85324176666406015</v>
      </c>
      <c r="G1253" s="13">
        <f t="shared" si="59"/>
        <v>-0.59085823333593979</v>
      </c>
    </row>
    <row r="1254" spans="1:7" x14ac:dyDescent="0.25">
      <c r="A1254" s="15" t="s">
        <v>34</v>
      </c>
      <c r="B1254" s="16">
        <v>42396</v>
      </c>
      <c r="C1254" s="17">
        <v>1.4440999999999999</v>
      </c>
      <c r="D1254" s="17">
        <v>0.26989999999999997</v>
      </c>
      <c r="E1254" s="11">
        <f t="shared" si="57"/>
        <v>0.26689999999999997</v>
      </c>
      <c r="F1254" s="11">
        <f t="shared" si="58"/>
        <v>0.37217769359472408</v>
      </c>
      <c r="G1254" s="13">
        <f t="shared" si="59"/>
        <v>1.0719223064052759</v>
      </c>
    </row>
    <row r="1255" spans="1:7" x14ac:dyDescent="0.25">
      <c r="A1255" s="15" t="s">
        <v>34</v>
      </c>
      <c r="B1255" s="16">
        <v>42397</v>
      </c>
      <c r="C1255" s="17">
        <v>0.35780000000000001</v>
      </c>
      <c r="D1255" s="17">
        <v>0.7016</v>
      </c>
      <c r="E1255" s="11">
        <f t="shared" si="57"/>
        <v>0.6986</v>
      </c>
      <c r="F1255" s="11">
        <f t="shared" si="58"/>
        <v>0.85187807534455839</v>
      </c>
      <c r="G1255" s="13">
        <f t="shared" si="59"/>
        <v>-0.49407807534455839</v>
      </c>
    </row>
    <row r="1256" spans="1:7" x14ac:dyDescent="0.25">
      <c r="A1256" s="15" t="s">
        <v>34</v>
      </c>
      <c r="B1256" s="16">
        <v>42398</v>
      </c>
      <c r="C1256" s="17">
        <v>2.1202000000000001</v>
      </c>
      <c r="D1256" s="17">
        <v>2.1958000000000002</v>
      </c>
      <c r="E1256" s="11">
        <f t="shared" si="57"/>
        <v>2.1928000000000001</v>
      </c>
      <c r="F1256" s="11">
        <f t="shared" si="58"/>
        <v>2.5122169922095163</v>
      </c>
      <c r="G1256" s="13">
        <f t="shared" si="59"/>
        <v>-0.39201699220951625</v>
      </c>
    </row>
    <row r="1257" spans="1:7" x14ac:dyDescent="0.25">
      <c r="A1257" s="15" t="s">
        <v>34</v>
      </c>
      <c r="B1257" s="16">
        <v>42399</v>
      </c>
      <c r="C1257" s="17">
        <v>-0.70179999999999998</v>
      </c>
      <c r="D1257" s="17">
        <v>0.7964</v>
      </c>
      <c r="E1257" s="11">
        <f t="shared" si="57"/>
        <v>0.79339999999999999</v>
      </c>
      <c r="F1257" s="11">
        <f t="shared" si="58"/>
        <v>0.95721881240706541</v>
      </c>
      <c r="G1257" s="13">
        <f t="shared" si="59"/>
        <v>-1.6590188124070653</v>
      </c>
    </row>
    <row r="1258" spans="1:7" x14ac:dyDescent="0.25">
      <c r="A1258" s="15" t="s">
        <v>34</v>
      </c>
      <c r="B1258" s="16">
        <v>42401</v>
      </c>
      <c r="C1258" s="17">
        <v>1.3986000000000001</v>
      </c>
      <c r="D1258" s="17">
        <v>0.14419999999999999</v>
      </c>
      <c r="E1258" s="11">
        <f t="shared" si="57"/>
        <v>0.14119999999999999</v>
      </c>
      <c r="F1258" s="11">
        <f t="shared" si="58"/>
        <v>0.23250120995804552</v>
      </c>
      <c r="G1258" s="13">
        <f t="shared" si="59"/>
        <v>1.1660987900419546</v>
      </c>
    </row>
    <row r="1259" spans="1:7" x14ac:dyDescent="0.25">
      <c r="A1259" s="15" t="s">
        <v>34</v>
      </c>
      <c r="B1259" s="16">
        <v>42402</v>
      </c>
      <c r="C1259" s="17">
        <v>-1.0470999999999999</v>
      </c>
      <c r="D1259" s="17">
        <v>-0.31580000000000003</v>
      </c>
      <c r="E1259" s="11">
        <f t="shared" si="57"/>
        <v>-0.31880000000000003</v>
      </c>
      <c r="F1259" s="11">
        <f t="shared" si="58"/>
        <v>-0.27864582642120805</v>
      </c>
      <c r="G1259" s="13">
        <f t="shared" si="59"/>
        <v>-0.76845417357879187</v>
      </c>
    </row>
    <row r="1260" spans="1:7" x14ac:dyDescent="0.25">
      <c r="A1260" s="15" t="s">
        <v>34</v>
      </c>
      <c r="B1260" s="16">
        <v>42403</v>
      </c>
      <c r="C1260" s="17">
        <v>2.4264999999999999</v>
      </c>
      <c r="D1260" s="17">
        <v>-0.84279999999999999</v>
      </c>
      <c r="E1260" s="11">
        <f t="shared" si="57"/>
        <v>-0.8458</v>
      </c>
      <c r="F1260" s="11">
        <f t="shared" si="58"/>
        <v>-0.86424253983830934</v>
      </c>
      <c r="G1260" s="13">
        <f t="shared" si="59"/>
        <v>3.290742539838309</v>
      </c>
    </row>
    <row r="1261" spans="1:7" x14ac:dyDescent="0.25">
      <c r="A1261" s="15" t="s">
        <v>34</v>
      </c>
      <c r="B1261" s="16">
        <v>42415</v>
      </c>
      <c r="C1261" s="17">
        <v>-0.68730000000000002</v>
      </c>
      <c r="D1261" s="17">
        <v>4.3499999999999997E-2</v>
      </c>
      <c r="E1261" s="11">
        <f t="shared" si="57"/>
        <v>4.0499999999999994E-2</v>
      </c>
      <c r="F1261" s="11">
        <f t="shared" si="58"/>
        <v>0.1206044565593698</v>
      </c>
      <c r="G1261" s="13">
        <f t="shared" si="59"/>
        <v>-0.80790445655936982</v>
      </c>
    </row>
    <row r="1262" spans="1:7" x14ac:dyDescent="0.25">
      <c r="A1262" s="15" t="s">
        <v>34</v>
      </c>
      <c r="B1262" s="16">
        <v>42416</v>
      </c>
      <c r="C1262" s="17">
        <v>1.7094</v>
      </c>
      <c r="D1262" s="17">
        <v>1.7884</v>
      </c>
      <c r="E1262" s="11">
        <f t="shared" si="57"/>
        <v>1.7854000000000001</v>
      </c>
      <c r="F1262" s="11">
        <f t="shared" si="58"/>
        <v>2.059518508251021</v>
      </c>
      <c r="G1262" s="13">
        <f t="shared" si="59"/>
        <v>-0.35011850825102098</v>
      </c>
    </row>
    <row r="1263" spans="1:7" x14ac:dyDescent="0.25">
      <c r="A1263" s="15" t="s">
        <v>34</v>
      </c>
      <c r="B1263" s="16">
        <v>42417</v>
      </c>
      <c r="C1263" s="17">
        <v>0.33839999999999998</v>
      </c>
      <c r="D1263" s="17">
        <v>2.6499999999999999E-2</v>
      </c>
      <c r="E1263" s="11">
        <f t="shared" si="57"/>
        <v>2.35E-2</v>
      </c>
      <c r="F1263" s="11">
        <f t="shared" si="58"/>
        <v>0.10171423999752782</v>
      </c>
      <c r="G1263" s="13">
        <f t="shared" si="59"/>
        <v>0.23668576000247216</v>
      </c>
    </row>
    <row r="1264" spans="1:7" x14ac:dyDescent="0.25">
      <c r="A1264" s="15" t="s">
        <v>34</v>
      </c>
      <c r="B1264" s="16">
        <v>42418</v>
      </c>
      <c r="C1264" s="17">
        <v>2.0068000000000001</v>
      </c>
      <c r="D1264" s="17">
        <v>1.2151000000000001</v>
      </c>
      <c r="E1264" s="11">
        <f t="shared" si="57"/>
        <v>1.2121000000000002</v>
      </c>
      <c r="F1264" s="11">
        <f t="shared" si="58"/>
        <v>1.4224737344331384</v>
      </c>
      <c r="G1264" s="13">
        <f t="shared" si="59"/>
        <v>0.58432626556686174</v>
      </c>
    </row>
    <row r="1265" spans="1:7" x14ac:dyDescent="0.25">
      <c r="A1265" s="15" t="s">
        <v>34</v>
      </c>
      <c r="B1265" s="16">
        <v>42419</v>
      </c>
      <c r="C1265" s="17">
        <v>0</v>
      </c>
      <c r="D1265" s="17">
        <v>0.1246</v>
      </c>
      <c r="E1265" s="11">
        <f t="shared" si="57"/>
        <v>0.1216</v>
      </c>
      <c r="F1265" s="11">
        <f t="shared" si="58"/>
        <v>0.21072190145145125</v>
      </c>
      <c r="G1265" s="13">
        <f t="shared" si="59"/>
        <v>-0.21072190145145125</v>
      </c>
    </row>
    <row r="1266" spans="1:7" x14ac:dyDescent="0.25">
      <c r="A1266" s="15" t="s">
        <v>34</v>
      </c>
      <c r="B1266" s="16">
        <v>42422</v>
      </c>
      <c r="C1266" s="17">
        <v>0</v>
      </c>
      <c r="D1266" s="17">
        <v>1.9699999999999999E-2</v>
      </c>
      <c r="E1266" s="11">
        <f t="shared" si="57"/>
        <v>1.67E-2</v>
      </c>
      <c r="F1266" s="11">
        <f t="shared" si="58"/>
        <v>9.4158153372791029E-2</v>
      </c>
      <c r="G1266" s="13">
        <f t="shared" si="59"/>
        <v>-9.4158153372791029E-2</v>
      </c>
    </row>
    <row r="1267" spans="1:7" x14ac:dyDescent="0.25">
      <c r="A1267" s="15" t="s">
        <v>34</v>
      </c>
      <c r="B1267" s="16">
        <v>42423</v>
      </c>
      <c r="C1267" s="17">
        <v>-0.99829999999999997</v>
      </c>
      <c r="D1267" s="17">
        <v>9.5600000000000004E-2</v>
      </c>
      <c r="E1267" s="11">
        <f t="shared" si="57"/>
        <v>9.2600000000000002E-2</v>
      </c>
      <c r="F1267" s="11">
        <f t="shared" si="58"/>
        <v>0.17849741437536787</v>
      </c>
      <c r="G1267" s="13">
        <f t="shared" si="59"/>
        <v>-1.1767974143753679</v>
      </c>
    </row>
    <row r="1268" spans="1:7" x14ac:dyDescent="0.25">
      <c r="A1268" s="15" t="s">
        <v>34</v>
      </c>
      <c r="B1268" s="16">
        <v>42424</v>
      </c>
      <c r="C1268" s="17">
        <v>-1.0084</v>
      </c>
      <c r="D1268" s="17">
        <v>-0.62319999999999998</v>
      </c>
      <c r="E1268" s="11">
        <f t="shared" si="57"/>
        <v>-0.62619999999999998</v>
      </c>
      <c r="F1268" s="11">
        <f t="shared" si="58"/>
        <v>-0.62022538942769179</v>
      </c>
      <c r="G1268" s="13">
        <f t="shared" si="59"/>
        <v>-0.38817461057230818</v>
      </c>
    </row>
    <row r="1269" spans="1:7" x14ac:dyDescent="0.25">
      <c r="A1269" s="15" t="s">
        <v>34</v>
      </c>
      <c r="B1269" s="16">
        <v>42425</v>
      </c>
      <c r="C1269" s="17">
        <v>1.6751</v>
      </c>
      <c r="D1269" s="17">
        <v>0.99709999999999999</v>
      </c>
      <c r="E1269" s="11">
        <f t="shared" si="57"/>
        <v>0.99409999999999998</v>
      </c>
      <c r="F1269" s="11">
        <f t="shared" si="58"/>
        <v>1.1802344867577528</v>
      </c>
      <c r="G1269" s="13">
        <f t="shared" si="59"/>
        <v>0.49486551324224726</v>
      </c>
    </row>
    <row r="1270" spans="1:7" x14ac:dyDescent="0.25">
      <c r="A1270" s="15" t="s">
        <v>34</v>
      </c>
      <c r="B1270" s="16">
        <v>42426</v>
      </c>
      <c r="C1270" s="17">
        <v>-1.0017</v>
      </c>
      <c r="D1270" s="17">
        <v>0.54</v>
      </c>
      <c r="E1270" s="11">
        <f t="shared" si="57"/>
        <v>0.53700000000000003</v>
      </c>
      <c r="F1270" s="11">
        <f t="shared" si="58"/>
        <v>0.67230989908610761</v>
      </c>
      <c r="G1270" s="13">
        <f t="shared" si="59"/>
        <v>-1.6740098990861076</v>
      </c>
    </row>
    <row r="1271" spans="1:7" x14ac:dyDescent="0.25">
      <c r="A1271" s="15" t="s">
        <v>34</v>
      </c>
      <c r="B1271" s="16">
        <v>42430</v>
      </c>
      <c r="C1271" s="17">
        <v>1.9934000000000001</v>
      </c>
      <c r="D1271" s="17">
        <v>0.88219999999999998</v>
      </c>
      <c r="E1271" s="11">
        <f t="shared" si="57"/>
        <v>0.87919999999999998</v>
      </c>
      <c r="F1271" s="11">
        <f t="shared" si="58"/>
        <v>1.0525588465838913</v>
      </c>
      <c r="G1271" s="13">
        <f t="shared" si="59"/>
        <v>0.94084115341610874</v>
      </c>
    </row>
    <row r="1272" spans="1:7" x14ac:dyDescent="0.25">
      <c r="A1272" s="15" t="s">
        <v>34</v>
      </c>
      <c r="B1272" s="16">
        <v>42431</v>
      </c>
      <c r="C1272" s="17">
        <v>0.65569999999999995</v>
      </c>
      <c r="D1272" s="17">
        <v>0.68540000000000001</v>
      </c>
      <c r="E1272" s="11">
        <f t="shared" si="57"/>
        <v>0.68240000000000001</v>
      </c>
      <c r="F1272" s="11">
        <f t="shared" si="58"/>
        <v>0.83387681015033244</v>
      </c>
      <c r="G1272" s="13">
        <f t="shared" si="59"/>
        <v>-0.17817681015033249</v>
      </c>
    </row>
    <row r="1273" spans="1:7" x14ac:dyDescent="0.25">
      <c r="A1273" s="15" t="s">
        <v>34</v>
      </c>
      <c r="B1273" s="16">
        <v>42432</v>
      </c>
      <c r="C1273" s="17">
        <v>0.65149999999999997</v>
      </c>
      <c r="D1273" s="17">
        <v>0.78969999999999996</v>
      </c>
      <c r="E1273" s="11">
        <f t="shared" si="57"/>
        <v>0.78669999999999995</v>
      </c>
      <c r="F1273" s="11">
        <f t="shared" si="58"/>
        <v>0.94977384470328052</v>
      </c>
      <c r="G1273" s="13">
        <f t="shared" si="59"/>
        <v>-0.29827384470328056</v>
      </c>
    </row>
    <row r="1274" spans="1:7" x14ac:dyDescent="0.25">
      <c r="A1274" s="15" t="s">
        <v>34</v>
      </c>
      <c r="B1274" s="16">
        <v>42433</v>
      </c>
      <c r="C1274" s="17">
        <v>-0.9788</v>
      </c>
      <c r="D1274" s="17">
        <v>0.36809999999999998</v>
      </c>
      <c r="E1274" s="11">
        <f t="shared" si="57"/>
        <v>0.36509999999999998</v>
      </c>
      <c r="F1274" s="11">
        <f t="shared" si="58"/>
        <v>0.48129647396959951</v>
      </c>
      <c r="G1274" s="13">
        <f t="shared" si="59"/>
        <v>-1.4600964739695996</v>
      </c>
    </row>
    <row r="1275" spans="1:7" x14ac:dyDescent="0.25">
      <c r="A1275" s="15" t="s">
        <v>34</v>
      </c>
      <c r="B1275" s="16">
        <v>42436</v>
      </c>
      <c r="C1275" s="17">
        <v>-0.32840000000000003</v>
      </c>
      <c r="D1275" s="17">
        <v>0.18490000000000001</v>
      </c>
      <c r="E1275" s="11">
        <f t="shared" si="57"/>
        <v>0.18190000000000001</v>
      </c>
      <c r="F1275" s="11">
        <f t="shared" si="58"/>
        <v>0.27772661078551425</v>
      </c>
      <c r="G1275" s="13">
        <f t="shared" si="59"/>
        <v>-0.60612661078551433</v>
      </c>
    </row>
    <row r="1276" spans="1:7" x14ac:dyDescent="0.25">
      <c r="A1276" s="15" t="s">
        <v>34</v>
      </c>
      <c r="B1276" s="16">
        <v>42437</v>
      </c>
      <c r="C1276" s="17">
        <v>0</v>
      </c>
      <c r="D1276" s="17">
        <v>5.5E-2</v>
      </c>
      <c r="E1276" s="11">
        <f t="shared" si="57"/>
        <v>5.1999999999999998E-2</v>
      </c>
      <c r="F1276" s="11">
        <f t="shared" si="58"/>
        <v>0.13338313246885114</v>
      </c>
      <c r="G1276" s="13">
        <f t="shared" si="59"/>
        <v>-0.13338313246885114</v>
      </c>
    </row>
    <row r="1277" spans="1:7" x14ac:dyDescent="0.25">
      <c r="A1277" s="15" t="s">
        <v>34</v>
      </c>
      <c r="B1277" s="16">
        <v>42438</v>
      </c>
      <c r="C1277" s="17">
        <v>0.65569999999999995</v>
      </c>
      <c r="D1277" s="17">
        <v>-0.34920000000000001</v>
      </c>
      <c r="E1277" s="11">
        <f t="shared" si="57"/>
        <v>-0.35220000000000001</v>
      </c>
      <c r="F1277" s="11">
        <f t="shared" si="58"/>
        <v>-0.31575954601917994</v>
      </c>
      <c r="G1277" s="13">
        <f t="shared" si="59"/>
        <v>0.97145954601917994</v>
      </c>
    </row>
    <row r="1278" spans="1:7" x14ac:dyDescent="0.25">
      <c r="A1278" s="15" t="s">
        <v>34</v>
      </c>
      <c r="B1278" s="16">
        <v>42439</v>
      </c>
      <c r="C1278" s="17">
        <v>0.97560000000000002</v>
      </c>
      <c r="D1278" s="17">
        <v>0.3075</v>
      </c>
      <c r="E1278" s="11">
        <f t="shared" si="57"/>
        <v>0.30449999999999999</v>
      </c>
      <c r="F1278" s="11">
        <f t="shared" si="58"/>
        <v>0.41395840787268051</v>
      </c>
      <c r="G1278" s="13">
        <f t="shared" si="59"/>
        <v>0.56164159212731946</v>
      </c>
    </row>
    <row r="1279" spans="1:7" x14ac:dyDescent="0.25">
      <c r="A1279" s="15" t="s">
        <v>34</v>
      </c>
      <c r="B1279" s="16">
        <v>42440</v>
      </c>
      <c r="C1279" s="17">
        <v>0.3231</v>
      </c>
      <c r="D1279" s="17">
        <v>0.52329999999999999</v>
      </c>
      <c r="E1279" s="11">
        <f t="shared" si="57"/>
        <v>0.52029999999999998</v>
      </c>
      <c r="F1279" s="11">
        <f t="shared" si="58"/>
        <v>0.65375303928712158</v>
      </c>
      <c r="G1279" s="13">
        <f t="shared" si="59"/>
        <v>-0.33065303928712159</v>
      </c>
    </row>
    <row r="1280" spans="1:7" x14ac:dyDescent="0.25">
      <c r="A1280" s="15" t="s">
        <v>34</v>
      </c>
      <c r="B1280" s="16">
        <v>42443</v>
      </c>
      <c r="C1280" s="17">
        <v>0.6431</v>
      </c>
      <c r="D1280" s="17">
        <v>0.47849999999999998</v>
      </c>
      <c r="E1280" s="11">
        <f t="shared" si="57"/>
        <v>0.47549999999999998</v>
      </c>
      <c r="F1280" s="11">
        <f t="shared" si="58"/>
        <v>0.60397176270062036</v>
      </c>
      <c r="G1280" s="13">
        <f t="shared" si="59"/>
        <v>3.9128237299379642E-2</v>
      </c>
    </row>
    <row r="1281" spans="1:7" x14ac:dyDescent="0.25">
      <c r="A1281" s="15" t="s">
        <v>34</v>
      </c>
      <c r="B1281" s="16">
        <v>42444</v>
      </c>
      <c r="C1281" s="17">
        <v>-0.96619999999999995</v>
      </c>
      <c r="D1281" s="17">
        <v>-1.5751999999999999</v>
      </c>
      <c r="E1281" s="11">
        <f t="shared" si="57"/>
        <v>-1.5781999999999998</v>
      </c>
      <c r="F1281" s="11">
        <f t="shared" si="58"/>
        <v>-1.6780775168908424</v>
      </c>
      <c r="G1281" s="13">
        <f t="shared" si="59"/>
        <v>0.71187751689084244</v>
      </c>
    </row>
    <row r="1282" spans="1:7" x14ac:dyDescent="0.25">
      <c r="A1282" s="15" t="s">
        <v>34</v>
      </c>
      <c r="B1282" s="16">
        <v>42445</v>
      </c>
      <c r="C1282" s="17">
        <v>0.96619999999999995</v>
      </c>
      <c r="D1282" s="17">
        <v>1.0163</v>
      </c>
      <c r="E1282" s="11">
        <f t="shared" si="57"/>
        <v>1.0133000000000001</v>
      </c>
      <c r="F1282" s="11">
        <f t="shared" si="58"/>
        <v>1.201569319580539</v>
      </c>
      <c r="G1282" s="13">
        <f t="shared" si="59"/>
        <v>-0.23536931958053908</v>
      </c>
    </row>
    <row r="1283" spans="1:7" x14ac:dyDescent="0.25">
      <c r="A1283" s="15" t="s">
        <v>34</v>
      </c>
      <c r="B1283" s="16">
        <v>42446</v>
      </c>
      <c r="C1283" s="17">
        <v>1.5899000000000001</v>
      </c>
      <c r="D1283" s="17">
        <v>0.40610000000000002</v>
      </c>
      <c r="E1283" s="11">
        <f t="shared" ref="E1283:E1346" si="60">D1283-$K$1</f>
        <v>0.40310000000000001</v>
      </c>
      <c r="F1283" s="11">
        <f t="shared" ref="F1283:F1346" si="61">K$2+K$3*E1283</f>
        <v>0.52352166393136401</v>
      </c>
      <c r="G1283" s="13">
        <f t="shared" ref="G1283:G1346" si="62">C1283-F1283</f>
        <v>1.0663783360686361</v>
      </c>
    </row>
    <row r="1284" spans="1:7" x14ac:dyDescent="0.25">
      <c r="A1284" s="15" t="s">
        <v>34</v>
      </c>
      <c r="B1284" s="16">
        <v>42447</v>
      </c>
      <c r="C1284" s="17">
        <v>0.62890000000000001</v>
      </c>
      <c r="D1284" s="17">
        <v>0.86829999999999996</v>
      </c>
      <c r="E1284" s="11">
        <f t="shared" si="60"/>
        <v>0.86529999999999996</v>
      </c>
      <c r="F1284" s="11">
        <f t="shared" si="61"/>
        <v>1.0371133165715618</v>
      </c>
      <c r="G1284" s="13">
        <f t="shared" si="62"/>
        <v>-0.40821331657156179</v>
      </c>
    </row>
    <row r="1285" spans="1:7" x14ac:dyDescent="0.25">
      <c r="A1285" s="15" t="s">
        <v>34</v>
      </c>
      <c r="B1285" s="16">
        <v>42450</v>
      </c>
      <c r="C1285" s="17">
        <v>0.313</v>
      </c>
      <c r="D1285" s="17">
        <v>2.2599999999999999E-2</v>
      </c>
      <c r="E1285" s="11">
        <f t="shared" si="60"/>
        <v>1.9599999999999999E-2</v>
      </c>
      <c r="F1285" s="11">
        <f t="shared" si="61"/>
        <v>9.7380602080399364E-2</v>
      </c>
      <c r="G1285" s="13">
        <f t="shared" si="62"/>
        <v>0.21561939791960064</v>
      </c>
    </row>
    <row r="1286" spans="1:7" x14ac:dyDescent="0.25">
      <c r="A1286" s="15" t="s">
        <v>34</v>
      </c>
      <c r="B1286" s="16">
        <v>42451</v>
      </c>
      <c r="C1286" s="17">
        <v>-0.94189999999999996</v>
      </c>
      <c r="D1286" s="17">
        <v>-0.30709999999999998</v>
      </c>
      <c r="E1286" s="11">
        <f t="shared" si="60"/>
        <v>-0.31009999999999999</v>
      </c>
      <c r="F1286" s="11">
        <f t="shared" si="61"/>
        <v>-0.268978480298383</v>
      </c>
      <c r="G1286" s="13">
        <f t="shared" si="62"/>
        <v>-0.67292151970161695</v>
      </c>
    </row>
    <row r="1287" spans="1:7" x14ac:dyDescent="0.25">
      <c r="A1287" s="15" t="s">
        <v>34</v>
      </c>
      <c r="B1287" s="16">
        <v>42452</v>
      </c>
      <c r="C1287" s="17">
        <v>0.62890000000000001</v>
      </c>
      <c r="D1287" s="17">
        <v>-0.22320000000000001</v>
      </c>
      <c r="E1287" s="11">
        <f t="shared" si="60"/>
        <v>-0.22620000000000001</v>
      </c>
      <c r="F1287" s="11">
        <f t="shared" si="61"/>
        <v>-0.17574970561964526</v>
      </c>
      <c r="G1287" s="13">
        <f t="shared" si="62"/>
        <v>0.80464970561964533</v>
      </c>
    </row>
    <row r="1288" spans="1:7" x14ac:dyDescent="0.25">
      <c r="A1288" s="15" t="s">
        <v>34</v>
      </c>
      <c r="B1288" s="16">
        <v>42453</v>
      </c>
      <c r="C1288" s="17">
        <v>-0.62890000000000001</v>
      </c>
      <c r="D1288" s="17">
        <v>-0.25940000000000002</v>
      </c>
      <c r="E1288" s="11">
        <f t="shared" si="60"/>
        <v>-0.26240000000000002</v>
      </c>
      <c r="F1288" s="11">
        <f t="shared" si="61"/>
        <v>-0.21597475500427349</v>
      </c>
      <c r="G1288" s="13">
        <f t="shared" si="62"/>
        <v>-0.41292524499572653</v>
      </c>
    </row>
    <row r="1289" spans="1:7" x14ac:dyDescent="0.25">
      <c r="A1289" s="15" t="s">
        <v>34</v>
      </c>
      <c r="B1289" s="16">
        <v>42454</v>
      </c>
      <c r="C1289" s="17">
        <v>-0.316</v>
      </c>
      <c r="D1289" s="17">
        <v>-0.44030000000000002</v>
      </c>
      <c r="E1289" s="11">
        <f t="shared" si="60"/>
        <v>-0.44330000000000003</v>
      </c>
      <c r="F1289" s="11">
        <f t="shared" si="61"/>
        <v>-0.41698888300646253</v>
      </c>
      <c r="G1289" s="13">
        <f t="shared" si="62"/>
        <v>0.10098888300646253</v>
      </c>
    </row>
    <row r="1290" spans="1:7" x14ac:dyDescent="0.25">
      <c r="A1290" s="15" t="s">
        <v>34</v>
      </c>
      <c r="B1290" s="16">
        <v>42457</v>
      </c>
      <c r="C1290" s="17">
        <v>0.63090000000000002</v>
      </c>
      <c r="D1290" s="17">
        <v>-0.16689999999999999</v>
      </c>
      <c r="E1290" s="11">
        <f t="shared" si="60"/>
        <v>-0.1699</v>
      </c>
      <c r="F1290" s="11">
        <f t="shared" si="61"/>
        <v>-0.11318975312366268</v>
      </c>
      <c r="G1290" s="13">
        <f t="shared" si="62"/>
        <v>0.74408975312366266</v>
      </c>
    </row>
    <row r="1291" spans="1:7" x14ac:dyDescent="0.25">
      <c r="A1291" s="15" t="s">
        <v>34</v>
      </c>
      <c r="B1291" s="16">
        <v>42458</v>
      </c>
      <c r="C1291" s="17">
        <v>0</v>
      </c>
      <c r="D1291" s="17">
        <v>-0.84470000000000001</v>
      </c>
      <c r="E1291" s="11">
        <f t="shared" si="60"/>
        <v>-0.84770000000000001</v>
      </c>
      <c r="F1291" s="11">
        <f t="shared" si="61"/>
        <v>-0.86635379933639756</v>
      </c>
      <c r="G1291" s="13">
        <f t="shared" si="62"/>
        <v>0.86635379933639756</v>
      </c>
    </row>
    <row r="1292" spans="1:7" x14ac:dyDescent="0.25">
      <c r="A1292" s="15" t="s">
        <v>34</v>
      </c>
      <c r="B1292" s="16">
        <v>42459</v>
      </c>
      <c r="C1292" s="17">
        <v>1.5601</v>
      </c>
      <c r="D1292" s="17">
        <v>1.3794</v>
      </c>
      <c r="E1292" s="11">
        <f t="shared" si="60"/>
        <v>1.3764000000000001</v>
      </c>
      <c r="F1292" s="11">
        <f t="shared" si="61"/>
        <v>1.6050421215572932</v>
      </c>
      <c r="G1292" s="13">
        <f t="shared" si="62"/>
        <v>-4.4942121557293158E-2</v>
      </c>
    </row>
    <row r="1293" spans="1:7" x14ac:dyDescent="0.25">
      <c r="A1293" s="15" t="s">
        <v>34</v>
      </c>
      <c r="B1293" s="16">
        <v>42460</v>
      </c>
      <c r="C1293" s="17">
        <v>0.30909999999999999</v>
      </c>
      <c r="D1293" s="17">
        <v>8.9099999999999999E-2</v>
      </c>
      <c r="E1293" s="11">
        <f t="shared" si="60"/>
        <v>8.6099999999999996E-2</v>
      </c>
      <c r="F1293" s="11">
        <f t="shared" si="61"/>
        <v>0.1712746845134871</v>
      </c>
      <c r="G1293" s="13">
        <f t="shared" si="62"/>
        <v>0.13782531548651289</v>
      </c>
    </row>
    <row r="1294" spans="1:7" x14ac:dyDescent="0.25">
      <c r="A1294" s="15" t="s">
        <v>34</v>
      </c>
      <c r="B1294" s="16">
        <v>42461</v>
      </c>
      <c r="C1294" s="17">
        <v>-2.1842000000000001</v>
      </c>
      <c r="D1294" s="17">
        <v>-1.0031000000000001</v>
      </c>
      <c r="E1294" s="11">
        <f t="shared" si="60"/>
        <v>-1.0061</v>
      </c>
      <c r="F1294" s="11">
        <f t="shared" si="61"/>
        <v>-1.042366170124384</v>
      </c>
      <c r="G1294" s="13">
        <f t="shared" si="62"/>
        <v>-1.1418338298756161</v>
      </c>
    </row>
    <row r="1295" spans="1:7" x14ac:dyDescent="0.25">
      <c r="A1295" s="15" t="s">
        <v>34</v>
      </c>
      <c r="B1295" s="16">
        <v>42466</v>
      </c>
      <c r="C1295" s="17">
        <v>-3.2054</v>
      </c>
      <c r="D1295" s="17">
        <v>-1.6801999999999999</v>
      </c>
      <c r="E1295" s="11">
        <f t="shared" si="60"/>
        <v>-1.6831999999999998</v>
      </c>
      <c r="F1295" s="11">
        <f t="shared" si="61"/>
        <v>-1.7947523838904547</v>
      </c>
      <c r="G1295" s="13">
        <f t="shared" si="62"/>
        <v>-1.4106476161095454</v>
      </c>
    </row>
    <row r="1296" spans="1:7" x14ac:dyDescent="0.25">
      <c r="A1296" s="15" t="s">
        <v>34</v>
      </c>
      <c r="B1296" s="16">
        <v>42467</v>
      </c>
      <c r="C1296" s="17">
        <v>0.64939999999999998</v>
      </c>
      <c r="D1296" s="17">
        <v>-0.27110000000000001</v>
      </c>
      <c r="E1296" s="11">
        <f t="shared" si="60"/>
        <v>-0.27410000000000001</v>
      </c>
      <c r="F1296" s="11">
        <f t="shared" si="61"/>
        <v>-0.22897566875565883</v>
      </c>
      <c r="G1296" s="13">
        <f t="shared" si="62"/>
        <v>0.87837566875565876</v>
      </c>
    </row>
    <row r="1297" spans="1:7" x14ac:dyDescent="0.25">
      <c r="A1297" s="15" t="s">
        <v>34</v>
      </c>
      <c r="B1297" s="16">
        <v>42468</v>
      </c>
      <c r="C1297" s="17">
        <v>1.9231</v>
      </c>
      <c r="D1297" s="17">
        <v>0.6018</v>
      </c>
      <c r="E1297" s="11">
        <f t="shared" si="60"/>
        <v>0.5988</v>
      </c>
      <c r="F1297" s="11">
        <f t="shared" si="61"/>
        <v>0.7409813922344507</v>
      </c>
      <c r="G1297" s="13">
        <f t="shared" si="62"/>
        <v>1.1821186077655494</v>
      </c>
    </row>
    <row r="1298" spans="1:7" x14ac:dyDescent="0.25">
      <c r="A1298" s="15" t="s">
        <v>34</v>
      </c>
      <c r="B1298" s="16">
        <v>42471</v>
      </c>
      <c r="C1298" s="17">
        <v>0.63290000000000002</v>
      </c>
      <c r="D1298" s="17">
        <v>0.24660000000000001</v>
      </c>
      <c r="E1298" s="11">
        <f t="shared" si="60"/>
        <v>0.24360000000000001</v>
      </c>
      <c r="F1298" s="11">
        <f t="shared" si="61"/>
        <v>0.34628698501290545</v>
      </c>
      <c r="G1298" s="13">
        <f t="shared" si="62"/>
        <v>0.28661301498709457</v>
      </c>
    </row>
    <row r="1299" spans="1:7" x14ac:dyDescent="0.25">
      <c r="A1299" s="15" t="s">
        <v>34</v>
      </c>
      <c r="B1299" s="16">
        <v>42472</v>
      </c>
      <c r="C1299" s="17">
        <v>0</v>
      </c>
      <c r="D1299" s="17">
        <v>-0.36749999999999999</v>
      </c>
      <c r="E1299" s="11">
        <f t="shared" si="60"/>
        <v>-0.3705</v>
      </c>
      <c r="F1299" s="11">
        <f t="shared" si="61"/>
        <v>-0.33609430855339806</v>
      </c>
      <c r="G1299" s="13">
        <f t="shared" si="62"/>
        <v>0.33609430855339806</v>
      </c>
    </row>
    <row r="1300" spans="1:7" x14ac:dyDescent="0.25">
      <c r="A1300" s="15" t="s">
        <v>34</v>
      </c>
      <c r="B1300" s="16">
        <v>42473</v>
      </c>
      <c r="C1300" s="17">
        <v>1.8751</v>
      </c>
      <c r="D1300" s="17">
        <v>1.4072</v>
      </c>
      <c r="E1300" s="11">
        <f t="shared" si="60"/>
        <v>1.4042000000000001</v>
      </c>
      <c r="F1300" s="11">
        <f t="shared" si="61"/>
        <v>1.6359331815819527</v>
      </c>
      <c r="G1300" s="13">
        <f t="shared" si="62"/>
        <v>0.23916681841804732</v>
      </c>
    </row>
    <row r="1301" spans="1:7" x14ac:dyDescent="0.25">
      <c r="A1301" s="15" t="s">
        <v>34</v>
      </c>
      <c r="B1301" s="16">
        <v>42474</v>
      </c>
      <c r="C1301" s="17">
        <v>0</v>
      </c>
      <c r="D1301" s="17">
        <v>0.18049999999999999</v>
      </c>
      <c r="E1301" s="11">
        <f t="shared" si="60"/>
        <v>0.17749999999999999</v>
      </c>
      <c r="F1301" s="11">
        <f t="shared" si="61"/>
        <v>0.27283737826362575</v>
      </c>
      <c r="G1301" s="13">
        <f t="shared" si="62"/>
        <v>-0.27283737826362575</v>
      </c>
    </row>
    <row r="1302" spans="1:7" x14ac:dyDescent="0.25">
      <c r="A1302" s="15" t="s">
        <v>34</v>
      </c>
      <c r="B1302" s="16">
        <v>42475</v>
      </c>
      <c r="C1302" s="17">
        <v>-1.2461</v>
      </c>
      <c r="D1302" s="17">
        <v>0.37630000000000002</v>
      </c>
      <c r="E1302" s="11">
        <f t="shared" si="60"/>
        <v>0.37330000000000002</v>
      </c>
      <c r="F1302" s="11">
        <f t="shared" si="61"/>
        <v>0.49040822548766455</v>
      </c>
      <c r="G1302" s="13">
        <f t="shared" si="62"/>
        <v>-1.7365082254876645</v>
      </c>
    </row>
    <row r="1303" spans="1:7" x14ac:dyDescent="0.25">
      <c r="A1303" s="15" t="s">
        <v>34</v>
      </c>
      <c r="B1303" s="16">
        <v>42478</v>
      </c>
      <c r="C1303" s="17">
        <v>-0.94489999999999996</v>
      </c>
      <c r="D1303" s="17">
        <v>-0.39589999999999997</v>
      </c>
      <c r="E1303" s="11">
        <f t="shared" si="60"/>
        <v>-0.39889999999999998</v>
      </c>
      <c r="F1303" s="11">
        <f t="shared" si="61"/>
        <v>-0.36765208210376932</v>
      </c>
      <c r="G1303" s="13">
        <f t="shared" si="62"/>
        <v>-0.57724791789623064</v>
      </c>
    </row>
    <row r="1304" spans="1:7" x14ac:dyDescent="0.25">
      <c r="A1304" s="15" t="s">
        <v>34</v>
      </c>
      <c r="B1304" s="16">
        <v>42479</v>
      </c>
      <c r="C1304" s="17">
        <v>-0.317</v>
      </c>
      <c r="D1304" s="17">
        <v>-0.37330000000000002</v>
      </c>
      <c r="E1304" s="11">
        <f t="shared" si="60"/>
        <v>-0.37630000000000002</v>
      </c>
      <c r="F1304" s="11">
        <f t="shared" si="61"/>
        <v>-0.34253920596861476</v>
      </c>
      <c r="G1304" s="13">
        <f t="shared" si="62"/>
        <v>2.5539205968614753E-2</v>
      </c>
    </row>
    <row r="1305" spans="1:7" x14ac:dyDescent="0.25">
      <c r="A1305" s="15" t="s">
        <v>34</v>
      </c>
      <c r="B1305" s="16">
        <v>42480</v>
      </c>
      <c r="C1305" s="17">
        <v>-2.2473000000000001</v>
      </c>
      <c r="D1305" s="17">
        <v>-1.3907</v>
      </c>
      <c r="E1305" s="11">
        <f t="shared" si="60"/>
        <v>-1.3936999999999999</v>
      </c>
      <c r="F1305" s="11">
        <f t="shared" si="61"/>
        <v>-1.473063107734381</v>
      </c>
      <c r="G1305" s="13">
        <f t="shared" si="62"/>
        <v>-0.77423689226561909</v>
      </c>
    </row>
    <row r="1306" spans="1:7" x14ac:dyDescent="0.25">
      <c r="A1306" s="15" t="s">
        <v>34</v>
      </c>
      <c r="B1306" s="16">
        <v>42481</v>
      </c>
      <c r="C1306" s="17">
        <v>1.9293</v>
      </c>
      <c r="D1306" s="17">
        <v>0.63419999999999999</v>
      </c>
      <c r="E1306" s="11">
        <f t="shared" si="60"/>
        <v>0.63119999999999998</v>
      </c>
      <c r="F1306" s="11">
        <f t="shared" si="61"/>
        <v>0.7769839226229025</v>
      </c>
      <c r="G1306" s="13">
        <f t="shared" si="62"/>
        <v>1.1523160773770975</v>
      </c>
    </row>
    <row r="1307" spans="1:7" x14ac:dyDescent="0.25">
      <c r="A1307" s="15" t="s">
        <v>34</v>
      </c>
      <c r="B1307" s="16">
        <v>42482</v>
      </c>
      <c r="C1307" s="17">
        <v>-0.31900000000000001</v>
      </c>
      <c r="D1307" s="17">
        <v>-0.38469999999999999</v>
      </c>
      <c r="E1307" s="11">
        <f t="shared" si="60"/>
        <v>-0.38769999999999999</v>
      </c>
      <c r="F1307" s="11">
        <f t="shared" si="61"/>
        <v>-0.35520676295714404</v>
      </c>
      <c r="G1307" s="13">
        <f t="shared" si="62"/>
        <v>3.6206762957144034E-2</v>
      </c>
    </row>
    <row r="1308" spans="1:7" x14ac:dyDescent="0.25">
      <c r="A1308" s="15" t="s">
        <v>34</v>
      </c>
      <c r="B1308" s="16">
        <v>42485</v>
      </c>
      <c r="C1308" s="17">
        <v>0.63690000000000002</v>
      </c>
      <c r="D1308" s="17">
        <v>0.28699999999999998</v>
      </c>
      <c r="E1308" s="11">
        <f t="shared" si="60"/>
        <v>0.28399999999999997</v>
      </c>
      <c r="F1308" s="11">
        <f t="shared" si="61"/>
        <v>0.39117902907751811</v>
      </c>
      <c r="G1308" s="13">
        <f t="shared" si="62"/>
        <v>0.24572097092248191</v>
      </c>
    </row>
    <row r="1309" spans="1:7" x14ac:dyDescent="0.25">
      <c r="A1309" s="15" t="s">
        <v>34</v>
      </c>
      <c r="B1309" s="16">
        <v>42486</v>
      </c>
      <c r="C1309" s="17">
        <v>0.317</v>
      </c>
      <c r="D1309" s="17">
        <v>0.24840000000000001</v>
      </c>
      <c r="E1309" s="11">
        <f t="shared" si="60"/>
        <v>0.24540000000000001</v>
      </c>
      <c r="F1309" s="11">
        <f t="shared" si="61"/>
        <v>0.34828712559004166</v>
      </c>
      <c r="G1309" s="13">
        <f t="shared" si="62"/>
        <v>-3.1287125590041653E-2</v>
      </c>
    </row>
    <row r="1310" spans="1:7" x14ac:dyDescent="0.25">
      <c r="A1310" s="15" t="s">
        <v>34</v>
      </c>
      <c r="B1310" s="16">
        <v>42487</v>
      </c>
      <c r="C1310" s="17">
        <v>-0.95389999999999997</v>
      </c>
      <c r="D1310" s="17">
        <v>-0.216</v>
      </c>
      <c r="E1310" s="11">
        <f t="shared" si="60"/>
        <v>-0.219</v>
      </c>
      <c r="F1310" s="11">
        <f t="shared" si="61"/>
        <v>-0.16774914331110041</v>
      </c>
      <c r="G1310" s="13">
        <f t="shared" si="62"/>
        <v>-0.7861508566888995</v>
      </c>
    </row>
    <row r="1311" spans="1:7" x14ac:dyDescent="0.25">
      <c r="A1311" s="15" t="s">
        <v>34</v>
      </c>
      <c r="B1311" s="16">
        <v>42488</v>
      </c>
      <c r="C1311" s="17">
        <v>-2.2618</v>
      </c>
      <c r="D1311" s="17">
        <v>-1.0468999999999999</v>
      </c>
      <c r="E1311" s="11">
        <f t="shared" si="60"/>
        <v>-1.0498999999999998</v>
      </c>
      <c r="F1311" s="11">
        <f t="shared" si="61"/>
        <v>-1.0910362575013648</v>
      </c>
      <c r="G1311" s="13">
        <f t="shared" si="62"/>
        <v>-1.1707637424986352</v>
      </c>
    </row>
    <row r="1312" spans="1:7" x14ac:dyDescent="0.25">
      <c r="A1312" s="15" t="s">
        <v>34</v>
      </c>
      <c r="B1312" s="16">
        <v>42489</v>
      </c>
      <c r="C1312" s="17">
        <v>-1.9802999999999999</v>
      </c>
      <c r="D1312" s="17">
        <v>-1.139</v>
      </c>
      <c r="E1312" s="11">
        <f t="shared" si="60"/>
        <v>-1.1419999999999999</v>
      </c>
      <c r="F1312" s="11">
        <f t="shared" si="61"/>
        <v>-1.1933767836981677</v>
      </c>
      <c r="G1312" s="13">
        <f t="shared" si="62"/>
        <v>-0.78692321630183226</v>
      </c>
    </row>
    <row r="1313" spans="1:7" x14ac:dyDescent="0.25">
      <c r="A1313" s="15" t="s">
        <v>34</v>
      </c>
      <c r="B1313" s="16">
        <v>42493</v>
      </c>
      <c r="C1313" s="17">
        <v>-1.6807000000000001</v>
      </c>
      <c r="D1313" s="17">
        <v>-1.0049999999999999</v>
      </c>
      <c r="E1313" s="11">
        <f t="shared" si="60"/>
        <v>-1.0079999999999998</v>
      </c>
      <c r="F1313" s="11">
        <f t="shared" si="61"/>
        <v>-1.0444774296224719</v>
      </c>
      <c r="G1313" s="13">
        <f t="shared" si="62"/>
        <v>-0.63622257037752816</v>
      </c>
    </row>
    <row r="1314" spans="1:7" x14ac:dyDescent="0.25">
      <c r="A1314" s="15" t="s">
        <v>34</v>
      </c>
      <c r="B1314" s="16">
        <v>42494</v>
      </c>
      <c r="C1314" s="17">
        <v>-0.33960000000000001</v>
      </c>
      <c r="D1314" s="17">
        <v>-1.3186</v>
      </c>
      <c r="E1314" s="11">
        <f t="shared" si="60"/>
        <v>-1.3215999999999999</v>
      </c>
      <c r="F1314" s="11">
        <f t="shared" si="61"/>
        <v>-1.3929463657279806</v>
      </c>
      <c r="G1314" s="13">
        <f t="shared" si="62"/>
        <v>1.0533463657279807</v>
      </c>
    </row>
    <row r="1315" spans="1:7" x14ac:dyDescent="0.25">
      <c r="A1315" s="15" t="s">
        <v>34</v>
      </c>
      <c r="B1315" s="16">
        <v>42495</v>
      </c>
      <c r="C1315" s="17">
        <v>0.33960000000000001</v>
      </c>
      <c r="D1315" s="17">
        <v>-0.21410000000000001</v>
      </c>
      <c r="E1315" s="11">
        <f t="shared" si="60"/>
        <v>-0.21710000000000002</v>
      </c>
      <c r="F1315" s="11">
        <f t="shared" si="61"/>
        <v>-0.1656378838130122</v>
      </c>
      <c r="G1315" s="13">
        <f t="shared" si="62"/>
        <v>0.50523788381301227</v>
      </c>
    </row>
    <row r="1316" spans="1:7" x14ac:dyDescent="0.25">
      <c r="A1316" s="15" t="s">
        <v>34</v>
      </c>
      <c r="B1316" s="16">
        <v>42496</v>
      </c>
      <c r="C1316" s="17">
        <v>0.33839999999999998</v>
      </c>
      <c r="D1316" s="17">
        <v>-0.26390000000000002</v>
      </c>
      <c r="E1316" s="11">
        <f t="shared" si="60"/>
        <v>-0.26690000000000003</v>
      </c>
      <c r="F1316" s="11">
        <f t="shared" si="61"/>
        <v>-0.22097510644711399</v>
      </c>
      <c r="G1316" s="13">
        <f t="shared" si="62"/>
        <v>0.55937510644711397</v>
      </c>
    </row>
    <row r="1317" spans="1:7" x14ac:dyDescent="0.25">
      <c r="A1317" s="15" t="s">
        <v>34</v>
      </c>
      <c r="B1317" s="16">
        <v>42499</v>
      </c>
      <c r="C1317" s="17">
        <v>-0.33839999999999998</v>
      </c>
      <c r="D1317" s="17">
        <v>-0.1794</v>
      </c>
      <c r="E1317" s="11">
        <f t="shared" si="60"/>
        <v>-0.18240000000000001</v>
      </c>
      <c r="F1317" s="11">
        <f t="shared" si="61"/>
        <v>-0.12707961824266412</v>
      </c>
      <c r="G1317" s="13">
        <f t="shared" si="62"/>
        <v>-0.21132038175733586</v>
      </c>
    </row>
    <row r="1318" spans="1:7" x14ac:dyDescent="0.25">
      <c r="A1318" s="15" t="s">
        <v>34</v>
      </c>
      <c r="B1318" s="16">
        <v>42500</v>
      </c>
      <c r="C1318" s="17">
        <v>-0.33960000000000001</v>
      </c>
      <c r="D1318" s="17">
        <v>0.30030000000000001</v>
      </c>
      <c r="E1318" s="11">
        <f t="shared" si="60"/>
        <v>0.29730000000000001</v>
      </c>
      <c r="F1318" s="11">
        <f t="shared" si="61"/>
        <v>0.40595784556413567</v>
      </c>
      <c r="G1318" s="13">
        <f t="shared" si="62"/>
        <v>-0.74555784556413562</v>
      </c>
    </row>
    <row r="1319" spans="1:7" x14ac:dyDescent="0.25">
      <c r="A1319" s="15" t="s">
        <v>34</v>
      </c>
      <c r="B1319" s="16">
        <v>42501</v>
      </c>
      <c r="C1319" s="17">
        <v>0</v>
      </c>
      <c r="D1319" s="17">
        <v>-0.2545</v>
      </c>
      <c r="E1319" s="11">
        <f t="shared" si="60"/>
        <v>-0.25750000000000001</v>
      </c>
      <c r="F1319" s="11">
        <f t="shared" si="61"/>
        <v>-0.21052992787762487</v>
      </c>
      <c r="G1319" s="13">
        <f t="shared" si="62"/>
        <v>0.21052992787762487</v>
      </c>
    </row>
    <row r="1320" spans="1:7" x14ac:dyDescent="0.25">
      <c r="A1320" s="15" t="s">
        <v>34</v>
      </c>
      <c r="B1320" s="16">
        <v>42502</v>
      </c>
      <c r="C1320" s="17">
        <v>-0.68259999999999998</v>
      </c>
      <c r="D1320" s="17">
        <v>-0.3387</v>
      </c>
      <c r="E1320" s="11">
        <f t="shared" si="60"/>
        <v>-0.3417</v>
      </c>
      <c r="F1320" s="11">
        <f t="shared" si="61"/>
        <v>-0.30409205931921868</v>
      </c>
      <c r="G1320" s="13">
        <f t="shared" si="62"/>
        <v>-0.37850794068078131</v>
      </c>
    </row>
    <row r="1321" spans="1:7" x14ac:dyDescent="0.25">
      <c r="A1321" s="15" t="s">
        <v>34</v>
      </c>
      <c r="B1321" s="16">
        <v>42503</v>
      </c>
      <c r="C1321" s="17">
        <v>-1.3793</v>
      </c>
      <c r="D1321" s="17">
        <v>-0.67269999999999996</v>
      </c>
      <c r="E1321" s="11">
        <f t="shared" si="60"/>
        <v>-0.67569999999999997</v>
      </c>
      <c r="F1321" s="11">
        <f t="shared" si="61"/>
        <v>-0.67522925529893751</v>
      </c>
      <c r="G1321" s="13">
        <f t="shared" si="62"/>
        <v>-0.70407074470106246</v>
      </c>
    </row>
    <row r="1322" spans="1:7" x14ac:dyDescent="0.25">
      <c r="A1322" s="15" t="s">
        <v>34</v>
      </c>
      <c r="B1322" s="16">
        <v>42506</v>
      </c>
      <c r="C1322" s="17">
        <v>0.34660000000000002</v>
      </c>
      <c r="D1322" s="17">
        <v>0.1726</v>
      </c>
      <c r="E1322" s="11">
        <f t="shared" si="60"/>
        <v>0.1696</v>
      </c>
      <c r="F1322" s="11">
        <f t="shared" si="61"/>
        <v>0.26405898350841683</v>
      </c>
      <c r="G1322" s="13">
        <f t="shared" si="62"/>
        <v>8.2541016491583186E-2</v>
      </c>
    </row>
    <row r="1323" spans="1:7" x14ac:dyDescent="0.25">
      <c r="A1323" s="15" t="s">
        <v>34</v>
      </c>
      <c r="B1323" s="16">
        <v>42507</v>
      </c>
      <c r="C1323" s="17">
        <v>1.7153</v>
      </c>
      <c r="D1323" s="17">
        <v>0.89929999999999999</v>
      </c>
      <c r="E1323" s="11">
        <f t="shared" si="60"/>
        <v>0.89629999999999999</v>
      </c>
      <c r="F1323" s="11">
        <f t="shared" si="61"/>
        <v>1.0715601820666854</v>
      </c>
      <c r="G1323" s="13">
        <f t="shared" si="62"/>
        <v>0.6437398179333147</v>
      </c>
    </row>
    <row r="1324" spans="1:7" x14ac:dyDescent="0.25">
      <c r="A1324" s="15" t="s">
        <v>34</v>
      </c>
      <c r="B1324" s="16">
        <v>42508</v>
      </c>
      <c r="C1324" s="17">
        <v>0</v>
      </c>
      <c r="D1324" s="17">
        <v>0.2356</v>
      </c>
      <c r="E1324" s="11">
        <f t="shared" si="60"/>
        <v>0.2326</v>
      </c>
      <c r="F1324" s="11">
        <f t="shared" si="61"/>
        <v>0.33406390370818412</v>
      </c>
      <c r="G1324" s="13">
        <f t="shared" si="62"/>
        <v>-0.33406390370818412</v>
      </c>
    </row>
    <row r="1325" spans="1:7" x14ac:dyDescent="0.25">
      <c r="A1325" s="15" t="s">
        <v>34</v>
      </c>
      <c r="B1325" s="16">
        <v>42509</v>
      </c>
      <c r="C1325" s="17">
        <v>0</v>
      </c>
      <c r="D1325" s="17">
        <v>-0.78369999999999995</v>
      </c>
      <c r="E1325" s="11">
        <f t="shared" si="60"/>
        <v>-0.78669999999999995</v>
      </c>
      <c r="F1325" s="11">
        <f t="shared" si="61"/>
        <v>-0.79857125755567038</v>
      </c>
      <c r="G1325" s="13">
        <f t="shared" si="62"/>
        <v>0.79857125755567038</v>
      </c>
    </row>
    <row r="1326" spans="1:7" x14ac:dyDescent="0.25">
      <c r="A1326" s="15" t="s">
        <v>34</v>
      </c>
      <c r="B1326" s="16">
        <v>42510</v>
      </c>
      <c r="C1326" s="17">
        <v>1.0152000000000001</v>
      </c>
      <c r="D1326" s="17">
        <v>0.43480000000000002</v>
      </c>
      <c r="E1326" s="11">
        <f t="shared" si="60"/>
        <v>0.43180000000000002</v>
      </c>
      <c r="F1326" s="11">
        <f t="shared" si="61"/>
        <v>0.55541279424459133</v>
      </c>
      <c r="G1326" s="13">
        <f t="shared" si="62"/>
        <v>0.45978720575540877</v>
      </c>
    </row>
    <row r="1327" spans="1:7" x14ac:dyDescent="0.25">
      <c r="A1327" s="15" t="s">
        <v>34</v>
      </c>
      <c r="B1327" s="16">
        <v>42513</v>
      </c>
      <c r="C1327" s="17">
        <v>3.6368</v>
      </c>
      <c r="D1327" s="17">
        <v>2.5880000000000001</v>
      </c>
      <c r="E1327" s="11">
        <f t="shared" si="60"/>
        <v>2.585</v>
      </c>
      <c r="F1327" s="11">
        <f t="shared" si="61"/>
        <v>2.9480254001833059</v>
      </c>
      <c r="G1327" s="13">
        <f t="shared" si="62"/>
        <v>0.68877459981669409</v>
      </c>
    </row>
    <row r="1328" spans="1:7" x14ac:dyDescent="0.25">
      <c r="A1328" s="15" t="s">
        <v>34</v>
      </c>
      <c r="B1328" s="16">
        <v>42514</v>
      </c>
      <c r="C1328" s="17">
        <v>-1.9673</v>
      </c>
      <c r="D1328" s="17">
        <v>-0.52600000000000002</v>
      </c>
      <c r="E1328" s="11">
        <f t="shared" si="60"/>
        <v>-0.52900000000000003</v>
      </c>
      <c r="F1328" s="11">
        <f t="shared" si="61"/>
        <v>-0.51221779826233649</v>
      </c>
      <c r="G1328" s="13">
        <f t="shared" si="62"/>
        <v>-1.4550822017376634</v>
      </c>
    </row>
    <row r="1329" spans="1:7" x14ac:dyDescent="0.25">
      <c r="A1329" s="15" t="s">
        <v>34</v>
      </c>
      <c r="B1329" s="16">
        <v>42515</v>
      </c>
      <c r="C1329" s="17">
        <v>2.2913999999999999</v>
      </c>
      <c r="D1329" s="17">
        <v>1.1444000000000001</v>
      </c>
      <c r="E1329" s="11">
        <f t="shared" si="60"/>
        <v>1.1414000000000002</v>
      </c>
      <c r="F1329" s="11">
        <f t="shared" si="61"/>
        <v>1.3439126573200662</v>
      </c>
      <c r="G1329" s="13">
        <f t="shared" si="62"/>
        <v>0.94748734267993373</v>
      </c>
    </row>
    <row r="1330" spans="1:7" x14ac:dyDescent="0.25">
      <c r="A1330" s="15" t="s">
        <v>34</v>
      </c>
      <c r="B1330" s="16">
        <v>42516</v>
      </c>
      <c r="C1330" s="17">
        <v>0.3231</v>
      </c>
      <c r="D1330" s="17">
        <v>-2.4799999999999999E-2</v>
      </c>
      <c r="E1330" s="11">
        <f t="shared" si="60"/>
        <v>-2.7799999999999998E-2</v>
      </c>
      <c r="F1330" s="11">
        <f t="shared" si="61"/>
        <v>4.4710233549145856E-2</v>
      </c>
      <c r="G1330" s="13">
        <f t="shared" si="62"/>
        <v>0.27838976645085411</v>
      </c>
    </row>
    <row r="1331" spans="1:7" x14ac:dyDescent="0.25">
      <c r="A1331" s="15" t="s">
        <v>34</v>
      </c>
      <c r="B1331" s="16">
        <v>42517</v>
      </c>
      <c r="C1331" s="17">
        <v>0.96309999999999996</v>
      </c>
      <c r="D1331" s="17">
        <v>0.82440000000000002</v>
      </c>
      <c r="E1331" s="11">
        <f t="shared" si="60"/>
        <v>0.82140000000000002</v>
      </c>
      <c r="F1331" s="11">
        <f t="shared" si="61"/>
        <v>0.98833211027362866</v>
      </c>
      <c r="G1331" s="13">
        <f t="shared" si="62"/>
        <v>-2.5232110273628705E-2</v>
      </c>
    </row>
    <row r="1332" spans="1:7" x14ac:dyDescent="0.25">
      <c r="A1332" s="15" t="s">
        <v>34</v>
      </c>
      <c r="B1332" s="16">
        <v>42520</v>
      </c>
      <c r="C1332" s="17">
        <v>0.31900000000000001</v>
      </c>
      <c r="D1332" s="17">
        <v>0.85009999999999997</v>
      </c>
      <c r="E1332" s="11">
        <f t="shared" si="60"/>
        <v>0.84709999999999996</v>
      </c>
      <c r="F1332" s="11">
        <f t="shared" si="61"/>
        <v>1.0168896729582957</v>
      </c>
      <c r="G1332" s="13">
        <f t="shared" si="62"/>
        <v>-0.69788967295829574</v>
      </c>
    </row>
    <row r="1333" spans="1:7" x14ac:dyDescent="0.25">
      <c r="A1333" s="15" t="s">
        <v>34</v>
      </c>
      <c r="B1333" s="16">
        <v>42521</v>
      </c>
      <c r="C1333" s="17">
        <v>-0.31900000000000001</v>
      </c>
      <c r="D1333" s="17">
        <v>-3.3E-3</v>
      </c>
      <c r="E1333" s="11">
        <f t="shared" si="60"/>
        <v>-6.3E-3</v>
      </c>
      <c r="F1333" s="11">
        <f t="shared" si="61"/>
        <v>6.8600801553828347E-2</v>
      </c>
      <c r="G1333" s="13">
        <f t="shared" si="62"/>
        <v>-0.38760080155382837</v>
      </c>
    </row>
    <row r="1334" spans="1:7" x14ac:dyDescent="0.25">
      <c r="A1334" s="15" t="s">
        <v>34</v>
      </c>
      <c r="B1334" s="16">
        <v>42522</v>
      </c>
      <c r="C1334" s="17">
        <v>1.5848</v>
      </c>
      <c r="D1334" s="17">
        <v>0.71870000000000001</v>
      </c>
      <c r="E1334" s="11">
        <f t="shared" si="60"/>
        <v>0.7157</v>
      </c>
      <c r="F1334" s="11">
        <f t="shared" si="61"/>
        <v>0.87087941082735232</v>
      </c>
      <c r="G1334" s="13">
        <f t="shared" si="62"/>
        <v>0.71392058917264767</v>
      </c>
    </row>
    <row r="1335" spans="1:7" x14ac:dyDescent="0.25">
      <c r="A1335" s="15" t="s">
        <v>34</v>
      </c>
      <c r="B1335" s="16">
        <v>42523</v>
      </c>
      <c r="C1335" s="17">
        <v>0</v>
      </c>
      <c r="D1335" s="17">
        <v>-0.47970000000000002</v>
      </c>
      <c r="E1335" s="11">
        <f t="shared" si="60"/>
        <v>-0.48270000000000002</v>
      </c>
      <c r="F1335" s="11">
        <f t="shared" si="61"/>
        <v>-0.46076973786155506</v>
      </c>
      <c r="G1335" s="13">
        <f t="shared" si="62"/>
        <v>0.46076973786155506</v>
      </c>
    </row>
    <row r="1336" spans="1:7" x14ac:dyDescent="0.25">
      <c r="A1336" s="15" t="s">
        <v>34</v>
      </c>
      <c r="B1336" s="16">
        <v>42524</v>
      </c>
      <c r="C1336" s="17">
        <v>0.93899999999999995</v>
      </c>
      <c r="D1336" s="17">
        <v>0.36559999999999998</v>
      </c>
      <c r="E1336" s="11">
        <f t="shared" si="60"/>
        <v>0.36259999999999998</v>
      </c>
      <c r="F1336" s="11">
        <f t="shared" si="61"/>
        <v>0.47851850094579923</v>
      </c>
      <c r="G1336" s="13">
        <f t="shared" si="62"/>
        <v>0.46048149905420072</v>
      </c>
    </row>
    <row r="1337" spans="1:7" x14ac:dyDescent="0.25">
      <c r="A1337" s="15" t="s">
        <v>34</v>
      </c>
      <c r="B1337" s="16">
        <v>42525</v>
      </c>
      <c r="C1337" s="17">
        <v>-0.312</v>
      </c>
      <c r="D1337" s="17">
        <v>4.9000000000000002E-2</v>
      </c>
      <c r="E1337" s="11">
        <f t="shared" si="60"/>
        <v>4.5999999999999999E-2</v>
      </c>
      <c r="F1337" s="11">
        <f t="shared" si="61"/>
        <v>0.12671599721173044</v>
      </c>
      <c r="G1337" s="13">
        <f t="shared" si="62"/>
        <v>-0.43871599721173044</v>
      </c>
    </row>
    <row r="1338" spans="1:7" x14ac:dyDescent="0.25">
      <c r="A1338" s="15" t="s">
        <v>34</v>
      </c>
      <c r="B1338" s="16">
        <v>42527</v>
      </c>
      <c r="C1338" s="17">
        <v>0.62309999999999999</v>
      </c>
      <c r="D1338" s="17">
        <v>6.4500000000000002E-2</v>
      </c>
      <c r="E1338" s="11">
        <f t="shared" si="60"/>
        <v>6.1499999999999999E-2</v>
      </c>
      <c r="F1338" s="11">
        <f t="shared" si="61"/>
        <v>0.14393942995929224</v>
      </c>
      <c r="G1338" s="13">
        <f t="shared" si="62"/>
        <v>0.47916057004070778</v>
      </c>
    </row>
    <row r="1339" spans="1:7" x14ac:dyDescent="0.25">
      <c r="A1339" s="15" t="s">
        <v>34</v>
      </c>
      <c r="B1339" s="16">
        <v>42528</v>
      </c>
      <c r="C1339" s="17">
        <v>0.61919999999999997</v>
      </c>
      <c r="D1339" s="17">
        <v>0.95840000000000003</v>
      </c>
      <c r="E1339" s="11">
        <f t="shared" si="60"/>
        <v>0.95540000000000003</v>
      </c>
      <c r="F1339" s="11">
        <f t="shared" si="61"/>
        <v>1.1372314643493242</v>
      </c>
      <c r="G1339" s="13">
        <f t="shared" si="62"/>
        <v>-0.51803146434932423</v>
      </c>
    </row>
    <row r="1340" spans="1:7" x14ac:dyDescent="0.25">
      <c r="A1340" s="15" t="s">
        <v>34</v>
      </c>
      <c r="B1340" s="16">
        <v>42529</v>
      </c>
      <c r="C1340" s="17">
        <v>2.1375000000000002</v>
      </c>
      <c r="D1340" s="17">
        <v>0.40910000000000002</v>
      </c>
      <c r="E1340" s="11">
        <f t="shared" si="60"/>
        <v>0.40610000000000002</v>
      </c>
      <c r="F1340" s="11">
        <f t="shared" si="61"/>
        <v>0.52685523155992442</v>
      </c>
      <c r="G1340" s="13">
        <f t="shared" si="62"/>
        <v>1.6106447684400758</v>
      </c>
    </row>
    <row r="1341" spans="1:7" x14ac:dyDescent="0.25">
      <c r="A1341" s="15" t="s">
        <v>34</v>
      </c>
      <c r="B1341" s="16">
        <v>42534</v>
      </c>
      <c r="C1341" s="17">
        <v>-2.1375000000000002</v>
      </c>
      <c r="D1341" s="17">
        <v>-2.0781999999999998</v>
      </c>
      <c r="E1341" s="11">
        <f t="shared" si="60"/>
        <v>-2.0811999999999999</v>
      </c>
      <c r="F1341" s="11">
        <f t="shared" si="61"/>
        <v>-2.237005689279461</v>
      </c>
      <c r="G1341" s="13">
        <f t="shared" si="62"/>
        <v>9.9505689279460796E-2</v>
      </c>
    </row>
    <row r="1342" spans="1:7" x14ac:dyDescent="0.25">
      <c r="A1342" s="15" t="s">
        <v>34</v>
      </c>
      <c r="B1342" s="16">
        <v>42535</v>
      </c>
      <c r="C1342" s="17">
        <v>0</v>
      </c>
      <c r="D1342" s="17">
        <v>0.46629999999999999</v>
      </c>
      <c r="E1342" s="11">
        <f t="shared" si="60"/>
        <v>0.46329999999999999</v>
      </c>
      <c r="F1342" s="11">
        <f t="shared" si="61"/>
        <v>0.59041525434447495</v>
      </c>
      <c r="G1342" s="13">
        <f t="shared" si="62"/>
        <v>-0.59041525434447495</v>
      </c>
    </row>
    <row r="1343" spans="1:7" x14ac:dyDescent="0.25">
      <c r="A1343" s="15" t="s">
        <v>34</v>
      </c>
      <c r="B1343" s="16">
        <v>42536</v>
      </c>
      <c r="C1343" s="17">
        <v>0.61539999999999995</v>
      </c>
      <c r="D1343" s="17">
        <v>0.35210000000000002</v>
      </c>
      <c r="E1343" s="11">
        <f t="shared" si="60"/>
        <v>0.34910000000000002</v>
      </c>
      <c r="F1343" s="11">
        <f t="shared" si="61"/>
        <v>0.46351744661727773</v>
      </c>
      <c r="G1343" s="13">
        <f t="shared" si="62"/>
        <v>0.15188255338272222</v>
      </c>
    </row>
    <row r="1344" spans="1:7" x14ac:dyDescent="0.25">
      <c r="A1344" s="15" t="s">
        <v>34</v>
      </c>
      <c r="B1344" s="16">
        <v>42537</v>
      </c>
      <c r="C1344" s="17">
        <v>-1.5456000000000001</v>
      </c>
      <c r="D1344" s="17">
        <v>-1.3126</v>
      </c>
      <c r="E1344" s="11">
        <f t="shared" si="60"/>
        <v>-1.3155999999999999</v>
      </c>
      <c r="F1344" s="11">
        <f t="shared" si="61"/>
        <v>-1.3862792304708598</v>
      </c>
      <c r="G1344" s="13">
        <f t="shared" si="62"/>
        <v>-0.15932076952914032</v>
      </c>
    </row>
    <row r="1345" spans="1:7" x14ac:dyDescent="0.25">
      <c r="A1345" s="15" t="s">
        <v>34</v>
      </c>
      <c r="B1345" s="16">
        <v>42538</v>
      </c>
      <c r="C1345" s="17">
        <v>1.5456000000000001</v>
      </c>
      <c r="D1345" s="17">
        <v>0.86670000000000003</v>
      </c>
      <c r="E1345" s="11">
        <f t="shared" si="60"/>
        <v>0.86370000000000002</v>
      </c>
      <c r="F1345" s="11">
        <f t="shared" si="61"/>
        <v>1.0353354138363295</v>
      </c>
      <c r="G1345" s="13">
        <f t="shared" si="62"/>
        <v>0.51026458616367054</v>
      </c>
    </row>
    <row r="1346" spans="1:7" x14ac:dyDescent="0.25">
      <c r="A1346" s="15" t="s">
        <v>34</v>
      </c>
      <c r="B1346" s="16">
        <v>42541</v>
      </c>
      <c r="C1346" s="17">
        <v>0</v>
      </c>
      <c r="D1346" s="17">
        <v>0.67279999999999995</v>
      </c>
      <c r="E1346" s="11">
        <f t="shared" si="60"/>
        <v>0.66979999999999995</v>
      </c>
      <c r="F1346" s="11">
        <f t="shared" si="61"/>
        <v>0.8198758261103789</v>
      </c>
      <c r="G1346" s="13">
        <f t="shared" si="62"/>
        <v>-0.8198758261103789</v>
      </c>
    </row>
    <row r="1347" spans="1:7" x14ac:dyDescent="0.25">
      <c r="A1347" s="15" t="s">
        <v>34</v>
      </c>
      <c r="B1347" s="16">
        <v>42542</v>
      </c>
      <c r="C1347" s="17">
        <v>1.5221</v>
      </c>
      <c r="D1347" s="17">
        <v>0.68089999999999995</v>
      </c>
      <c r="E1347" s="11">
        <f t="shared" ref="E1347:E1410" si="63">D1347-$K$1</f>
        <v>0.67789999999999995</v>
      </c>
      <c r="F1347" s="11">
        <f t="shared" ref="F1347:F1410" si="64">K$2+K$3*E1347</f>
        <v>0.82887645870749194</v>
      </c>
      <c r="G1347" s="13">
        <f t="shared" ref="G1347:G1410" si="65">C1347-F1347</f>
        <v>0.69322354129250807</v>
      </c>
    </row>
    <row r="1348" spans="1:7" x14ac:dyDescent="0.25">
      <c r="A1348" s="15" t="s">
        <v>34</v>
      </c>
      <c r="B1348" s="16">
        <v>42543</v>
      </c>
      <c r="C1348" s="17">
        <v>0.30170000000000002</v>
      </c>
      <c r="D1348" s="17">
        <v>0.3609</v>
      </c>
      <c r="E1348" s="11">
        <f t="shared" si="63"/>
        <v>0.3579</v>
      </c>
      <c r="F1348" s="11">
        <f t="shared" si="64"/>
        <v>0.47329591166105472</v>
      </c>
      <c r="G1348" s="13">
        <f t="shared" si="65"/>
        <v>-0.1715959116610547</v>
      </c>
    </row>
    <row r="1349" spans="1:7" x14ac:dyDescent="0.25">
      <c r="A1349" s="15" t="s">
        <v>34</v>
      </c>
      <c r="B1349" s="16">
        <v>42544</v>
      </c>
      <c r="C1349" s="17">
        <v>-1.2121</v>
      </c>
      <c r="D1349" s="17">
        <v>-0.45500000000000002</v>
      </c>
      <c r="E1349" s="11">
        <f t="shared" si="63"/>
        <v>-0.45800000000000002</v>
      </c>
      <c r="F1349" s="11">
        <f t="shared" si="64"/>
        <v>-0.43332336438640828</v>
      </c>
      <c r="G1349" s="13">
        <f t="shared" si="65"/>
        <v>-0.77877663561359167</v>
      </c>
    </row>
    <row r="1350" spans="1:7" x14ac:dyDescent="0.25">
      <c r="A1350" s="15" t="s">
        <v>34</v>
      </c>
      <c r="B1350" s="16">
        <v>42545</v>
      </c>
      <c r="C1350" s="17">
        <v>-3.0962000000000001</v>
      </c>
      <c r="D1350" s="17">
        <v>-2.3283999999999998</v>
      </c>
      <c r="E1350" s="11">
        <f t="shared" si="63"/>
        <v>-2.3313999999999999</v>
      </c>
      <c r="F1350" s="11">
        <f t="shared" si="64"/>
        <v>-2.515025229501394</v>
      </c>
      <c r="G1350" s="13">
        <f t="shared" si="65"/>
        <v>-0.58117477049860611</v>
      </c>
    </row>
    <row r="1351" spans="1:7" x14ac:dyDescent="0.25">
      <c r="A1351" s="15" t="s">
        <v>34</v>
      </c>
      <c r="B1351" s="16">
        <v>42548</v>
      </c>
      <c r="C1351" s="17">
        <v>1.5601</v>
      </c>
      <c r="D1351" s="17">
        <v>-0.214</v>
      </c>
      <c r="E1351" s="11">
        <f t="shared" si="63"/>
        <v>-0.217</v>
      </c>
      <c r="F1351" s="11">
        <f t="shared" si="64"/>
        <v>-0.16552676489206014</v>
      </c>
      <c r="G1351" s="13">
        <f t="shared" si="65"/>
        <v>1.7256267648920602</v>
      </c>
    </row>
    <row r="1352" spans="1:7" x14ac:dyDescent="0.25">
      <c r="A1352" s="15" t="s">
        <v>34</v>
      </c>
      <c r="B1352" s="16">
        <v>42549</v>
      </c>
      <c r="C1352" s="17">
        <v>0.96</v>
      </c>
      <c r="D1352" s="17">
        <v>0.54990000000000006</v>
      </c>
      <c r="E1352" s="11">
        <f t="shared" si="63"/>
        <v>0.54690000000000005</v>
      </c>
      <c r="F1352" s="11">
        <f t="shared" si="64"/>
        <v>0.6833106722603568</v>
      </c>
      <c r="G1352" s="13">
        <f t="shared" si="65"/>
        <v>0.27668932773964316</v>
      </c>
    </row>
    <row r="1353" spans="1:7" x14ac:dyDescent="0.25">
      <c r="A1353" s="15" t="s">
        <v>34</v>
      </c>
      <c r="B1353" s="16">
        <v>42550</v>
      </c>
      <c r="C1353" s="17">
        <v>1.2658</v>
      </c>
      <c r="D1353" s="17">
        <v>0.94840000000000002</v>
      </c>
      <c r="E1353" s="11">
        <f t="shared" si="63"/>
        <v>0.94540000000000002</v>
      </c>
      <c r="F1353" s="11">
        <f t="shared" si="64"/>
        <v>1.1261195722541231</v>
      </c>
      <c r="G1353" s="13">
        <f t="shared" si="65"/>
        <v>0.13968042774587697</v>
      </c>
    </row>
    <row r="1354" spans="1:7" x14ac:dyDescent="0.25">
      <c r="A1354" s="15" t="s">
        <v>34</v>
      </c>
      <c r="B1354" s="16">
        <v>42551</v>
      </c>
      <c r="C1354" s="17">
        <v>2.1774</v>
      </c>
      <c r="D1354" s="17">
        <v>0.92759999999999998</v>
      </c>
      <c r="E1354" s="11">
        <f t="shared" si="63"/>
        <v>0.92459999999999998</v>
      </c>
      <c r="F1354" s="11">
        <f t="shared" si="64"/>
        <v>1.1030068366961046</v>
      </c>
      <c r="G1354" s="13">
        <f t="shared" si="65"/>
        <v>1.0743931633038954</v>
      </c>
    </row>
    <row r="1355" spans="1:7" x14ac:dyDescent="0.25">
      <c r="A1355" s="15" t="s">
        <v>34</v>
      </c>
      <c r="B1355" s="16">
        <v>42552</v>
      </c>
      <c r="C1355" s="17">
        <v>2.1309999999999998</v>
      </c>
      <c r="D1355" s="17">
        <v>0.82350000000000001</v>
      </c>
      <c r="E1355" s="11">
        <f t="shared" si="63"/>
        <v>0.82050000000000001</v>
      </c>
      <c r="F1355" s="11">
        <f t="shared" si="64"/>
        <v>0.98733203998506058</v>
      </c>
      <c r="G1355" s="13">
        <f t="shared" si="65"/>
        <v>1.1436679600149393</v>
      </c>
    </row>
    <row r="1356" spans="1:7" x14ac:dyDescent="0.25">
      <c r="A1356" s="15" t="s">
        <v>34</v>
      </c>
      <c r="B1356" s="16">
        <v>42555</v>
      </c>
      <c r="C1356" s="17">
        <v>0</v>
      </c>
      <c r="D1356" s="17">
        <v>0.25530000000000003</v>
      </c>
      <c r="E1356" s="11">
        <f t="shared" si="63"/>
        <v>0.25230000000000002</v>
      </c>
      <c r="F1356" s="11">
        <f t="shared" si="64"/>
        <v>0.35595433113573044</v>
      </c>
      <c r="G1356" s="13">
        <f t="shared" si="65"/>
        <v>-0.35595433113573044</v>
      </c>
    </row>
    <row r="1357" spans="1:7" x14ac:dyDescent="0.25">
      <c r="A1357" s="15" t="s">
        <v>34</v>
      </c>
      <c r="B1357" s="16">
        <v>42556</v>
      </c>
      <c r="C1357" s="17">
        <v>-1.2121</v>
      </c>
      <c r="D1357" s="17">
        <v>-0.50939999999999996</v>
      </c>
      <c r="E1357" s="11">
        <f t="shared" si="63"/>
        <v>-0.51239999999999997</v>
      </c>
      <c r="F1357" s="11">
        <f t="shared" si="64"/>
        <v>-0.49377205738430252</v>
      </c>
      <c r="G1357" s="13">
        <f t="shared" si="65"/>
        <v>-0.71832794261569743</v>
      </c>
    </row>
    <row r="1358" spans="1:7" x14ac:dyDescent="0.25">
      <c r="A1358" s="15" t="s">
        <v>34</v>
      </c>
      <c r="B1358" s="16">
        <v>42557</v>
      </c>
      <c r="C1358" s="17">
        <v>-1.5361</v>
      </c>
      <c r="D1358" s="17">
        <v>-1.623</v>
      </c>
      <c r="E1358" s="11">
        <f t="shared" si="63"/>
        <v>-1.6259999999999999</v>
      </c>
      <c r="F1358" s="11">
        <f t="shared" si="64"/>
        <v>-1.7311923611059039</v>
      </c>
      <c r="G1358" s="13">
        <f t="shared" si="65"/>
        <v>0.19509236110590389</v>
      </c>
    </row>
    <row r="1359" spans="1:7" x14ac:dyDescent="0.25">
      <c r="A1359" s="15" t="s">
        <v>34</v>
      </c>
      <c r="B1359" s="16">
        <v>42558</v>
      </c>
      <c r="C1359" s="17">
        <v>1.8405</v>
      </c>
      <c r="D1359" s="17">
        <v>0.75690000000000002</v>
      </c>
      <c r="E1359" s="11">
        <f t="shared" si="63"/>
        <v>0.75390000000000001</v>
      </c>
      <c r="F1359" s="11">
        <f t="shared" si="64"/>
        <v>0.91332683863102082</v>
      </c>
      <c r="G1359" s="13">
        <f t="shared" si="65"/>
        <v>0.9271731613689792</v>
      </c>
    </row>
    <row r="1360" spans="1:7" x14ac:dyDescent="0.25">
      <c r="A1360" s="15" t="s">
        <v>34</v>
      </c>
      <c r="B1360" s="16">
        <v>42562</v>
      </c>
      <c r="C1360" s="17">
        <v>3.2888000000000002</v>
      </c>
      <c r="D1360" s="17">
        <v>1.6705000000000001</v>
      </c>
      <c r="E1360" s="11">
        <f t="shared" si="63"/>
        <v>1.6675000000000002</v>
      </c>
      <c r="F1360" s="11">
        <f t="shared" si="64"/>
        <v>1.9285093004485994</v>
      </c>
      <c r="G1360" s="13">
        <f t="shared" si="65"/>
        <v>1.3602906995514008</v>
      </c>
    </row>
    <row r="1361" spans="1:7" x14ac:dyDescent="0.25">
      <c r="A1361" s="15" t="s">
        <v>34</v>
      </c>
      <c r="B1361" s="16">
        <v>42563</v>
      </c>
      <c r="C1361" s="17">
        <v>0.58650000000000002</v>
      </c>
      <c r="D1361" s="17">
        <v>0.62390000000000001</v>
      </c>
      <c r="E1361" s="11">
        <f t="shared" si="63"/>
        <v>0.62090000000000001</v>
      </c>
      <c r="F1361" s="11">
        <f t="shared" si="64"/>
        <v>0.7655386737648453</v>
      </c>
      <c r="G1361" s="13">
        <f t="shared" si="65"/>
        <v>-0.17903867376484528</v>
      </c>
    </row>
    <row r="1362" spans="1:7" x14ac:dyDescent="0.25">
      <c r="A1362" s="15" t="s">
        <v>34</v>
      </c>
      <c r="B1362" s="16">
        <v>42564</v>
      </c>
      <c r="C1362" s="17">
        <v>-1.4728000000000001</v>
      </c>
      <c r="D1362" s="17">
        <v>0.18410000000000001</v>
      </c>
      <c r="E1362" s="11">
        <f t="shared" si="63"/>
        <v>0.18110000000000001</v>
      </c>
      <c r="F1362" s="11">
        <f t="shared" si="64"/>
        <v>0.27683765941789817</v>
      </c>
      <c r="G1362" s="13">
        <f t="shared" si="65"/>
        <v>-1.7496376594178984</v>
      </c>
    </row>
    <row r="1363" spans="1:7" x14ac:dyDescent="0.25">
      <c r="A1363" s="15" t="s">
        <v>34</v>
      </c>
      <c r="B1363" s="16">
        <v>42565</v>
      </c>
      <c r="C1363" s="17">
        <v>0.29630000000000001</v>
      </c>
      <c r="D1363" s="17">
        <v>9.7199999999999995E-2</v>
      </c>
      <c r="E1363" s="11">
        <f t="shared" si="63"/>
        <v>9.4199999999999992E-2</v>
      </c>
      <c r="F1363" s="11">
        <f t="shared" si="64"/>
        <v>0.18027531711060002</v>
      </c>
      <c r="G1363" s="13">
        <f t="shared" si="65"/>
        <v>0.11602468288939999</v>
      </c>
    </row>
    <row r="1364" spans="1:7" x14ac:dyDescent="0.25">
      <c r="A1364" s="15" t="s">
        <v>34</v>
      </c>
      <c r="B1364" s="16">
        <v>42566</v>
      </c>
      <c r="C1364" s="17">
        <v>0.2954</v>
      </c>
      <c r="D1364" s="17">
        <v>0.93720000000000003</v>
      </c>
      <c r="E1364" s="11">
        <f t="shared" si="63"/>
        <v>0.93420000000000003</v>
      </c>
      <c r="F1364" s="11">
        <f t="shared" si="64"/>
        <v>1.1136742531074979</v>
      </c>
      <c r="G1364" s="13">
        <f t="shared" si="65"/>
        <v>-0.81827425310749791</v>
      </c>
    </row>
    <row r="1365" spans="1:7" x14ac:dyDescent="0.25">
      <c r="A1365" s="15" t="s">
        <v>34</v>
      </c>
      <c r="B1365" s="16">
        <v>42569</v>
      </c>
      <c r="C1365" s="17">
        <v>0</v>
      </c>
      <c r="D1365" s="17">
        <v>0.65</v>
      </c>
      <c r="E1365" s="11">
        <f t="shared" si="63"/>
        <v>0.64700000000000002</v>
      </c>
      <c r="F1365" s="11">
        <f t="shared" si="64"/>
        <v>0.79454071213332034</v>
      </c>
      <c r="G1365" s="13">
        <f t="shared" si="65"/>
        <v>-0.79454071213332034</v>
      </c>
    </row>
    <row r="1366" spans="1:7" x14ac:dyDescent="0.25">
      <c r="A1366" s="15" t="s">
        <v>34</v>
      </c>
      <c r="B1366" s="16">
        <v>42570</v>
      </c>
      <c r="C1366" s="17">
        <v>0.58819999999999995</v>
      </c>
      <c r="D1366" s="17">
        <v>0.29549999999999998</v>
      </c>
      <c r="E1366" s="11">
        <f t="shared" si="63"/>
        <v>0.29249999999999998</v>
      </c>
      <c r="F1366" s="11">
        <f t="shared" si="64"/>
        <v>0.4006241373584391</v>
      </c>
      <c r="G1366" s="13">
        <f t="shared" si="65"/>
        <v>0.18757586264156084</v>
      </c>
    </row>
    <row r="1367" spans="1:7" x14ac:dyDescent="0.25">
      <c r="A1367" s="15" t="s">
        <v>34</v>
      </c>
      <c r="B1367" s="16">
        <v>42571</v>
      </c>
      <c r="C1367" s="17">
        <v>-0.29370000000000002</v>
      </c>
      <c r="D1367" s="17">
        <v>-0.3014</v>
      </c>
      <c r="E1367" s="11">
        <f t="shared" si="63"/>
        <v>-0.3044</v>
      </c>
      <c r="F1367" s="11">
        <f t="shared" si="64"/>
        <v>-0.26264470180411836</v>
      </c>
      <c r="G1367" s="13">
        <f t="shared" si="65"/>
        <v>-3.1055298195881653E-2</v>
      </c>
    </row>
    <row r="1368" spans="1:7" x14ac:dyDescent="0.25">
      <c r="A1368" s="15" t="s">
        <v>34</v>
      </c>
      <c r="B1368" s="16">
        <v>42572</v>
      </c>
      <c r="C1368" s="17">
        <v>1.1696</v>
      </c>
      <c r="D1368" s="17">
        <v>0.54120000000000001</v>
      </c>
      <c r="E1368" s="11">
        <f t="shared" si="63"/>
        <v>0.53820000000000001</v>
      </c>
      <c r="F1368" s="11">
        <f t="shared" si="64"/>
        <v>0.67364332613753175</v>
      </c>
      <c r="G1368" s="13">
        <f t="shared" si="65"/>
        <v>0.49595667386246822</v>
      </c>
    </row>
    <row r="1369" spans="1:7" x14ac:dyDescent="0.25">
      <c r="A1369" s="15" t="s">
        <v>34</v>
      </c>
      <c r="B1369" s="16">
        <v>42573</v>
      </c>
      <c r="C1369" s="17">
        <v>-0.58309999999999995</v>
      </c>
      <c r="D1369" s="17">
        <v>-0.48060000000000003</v>
      </c>
      <c r="E1369" s="11">
        <f t="shared" si="63"/>
        <v>-0.48360000000000003</v>
      </c>
      <c r="F1369" s="11">
        <f t="shared" si="64"/>
        <v>-0.46176980815012325</v>
      </c>
      <c r="G1369" s="13">
        <f t="shared" si="65"/>
        <v>-0.1213301918498767</v>
      </c>
    </row>
    <row r="1370" spans="1:7" x14ac:dyDescent="0.25">
      <c r="A1370" s="15" t="s">
        <v>34</v>
      </c>
      <c r="B1370" s="16">
        <v>42576</v>
      </c>
      <c r="C1370" s="17">
        <v>0.29199999999999998</v>
      </c>
      <c r="D1370" s="17">
        <v>-0.23849999999999999</v>
      </c>
      <c r="E1370" s="11">
        <f t="shared" si="63"/>
        <v>-0.24149999999999999</v>
      </c>
      <c r="F1370" s="11">
        <f t="shared" si="64"/>
        <v>-0.19275090052530303</v>
      </c>
      <c r="G1370" s="13">
        <f t="shared" si="65"/>
        <v>0.48475090052530301</v>
      </c>
    </row>
    <row r="1371" spans="1:7" x14ac:dyDescent="0.25">
      <c r="A1371" s="15" t="s">
        <v>34</v>
      </c>
      <c r="B1371" s="16">
        <v>42577</v>
      </c>
      <c r="C1371" s="17">
        <v>0.87080000000000002</v>
      </c>
      <c r="D1371" s="17">
        <v>0.36770000000000003</v>
      </c>
      <c r="E1371" s="11">
        <f t="shared" si="63"/>
        <v>0.36470000000000002</v>
      </c>
      <c r="F1371" s="11">
        <f t="shared" si="64"/>
        <v>0.48085199828579156</v>
      </c>
      <c r="G1371" s="13">
        <f t="shared" si="65"/>
        <v>0.38994800171420846</v>
      </c>
    </row>
    <row r="1372" spans="1:7" x14ac:dyDescent="0.25">
      <c r="A1372" s="15" t="s">
        <v>34</v>
      </c>
      <c r="B1372" s="16">
        <v>42578</v>
      </c>
      <c r="C1372" s="17">
        <v>1.1494</v>
      </c>
      <c r="D1372" s="17">
        <v>0.42680000000000001</v>
      </c>
      <c r="E1372" s="11">
        <f t="shared" si="63"/>
        <v>0.42380000000000001</v>
      </c>
      <c r="F1372" s="11">
        <f t="shared" si="64"/>
        <v>0.54652328056843047</v>
      </c>
      <c r="G1372" s="13">
        <f t="shared" si="65"/>
        <v>0.60287671943156951</v>
      </c>
    </row>
    <row r="1373" spans="1:7" x14ac:dyDescent="0.25">
      <c r="A1373" s="15" t="s">
        <v>34</v>
      </c>
      <c r="B1373" s="16">
        <v>42579</v>
      </c>
      <c r="C1373" s="17">
        <v>0.85350000000000004</v>
      </c>
      <c r="D1373" s="17">
        <v>0.14610000000000001</v>
      </c>
      <c r="E1373" s="11">
        <f t="shared" si="63"/>
        <v>0.1431</v>
      </c>
      <c r="F1373" s="11">
        <f t="shared" si="64"/>
        <v>0.23461246945613373</v>
      </c>
      <c r="G1373" s="13">
        <f t="shared" si="65"/>
        <v>0.61888753054386636</v>
      </c>
    </row>
    <row r="1374" spans="1:7" x14ac:dyDescent="0.25">
      <c r="A1374" s="15" t="s">
        <v>34</v>
      </c>
      <c r="B1374" s="16">
        <v>42580</v>
      </c>
      <c r="C1374" s="17">
        <v>-2.2924000000000002</v>
      </c>
      <c r="D1374" s="17">
        <v>-1.0213000000000001</v>
      </c>
      <c r="E1374" s="11">
        <f t="shared" si="63"/>
        <v>-1.0243</v>
      </c>
      <c r="F1374" s="11">
        <f t="shared" si="64"/>
        <v>-1.0625898137376502</v>
      </c>
      <c r="G1374" s="13">
        <f t="shared" si="65"/>
        <v>-1.2298101862623501</v>
      </c>
    </row>
    <row r="1375" spans="1:7" x14ac:dyDescent="0.25">
      <c r="A1375" s="15" t="s">
        <v>34</v>
      </c>
      <c r="B1375" s="16">
        <v>42583</v>
      </c>
      <c r="C1375" s="17">
        <v>2.5752000000000002</v>
      </c>
      <c r="D1375" s="17">
        <v>1.0662</v>
      </c>
      <c r="E1375" s="11">
        <f t="shared" si="63"/>
        <v>1.0632000000000001</v>
      </c>
      <c r="F1375" s="11">
        <f t="shared" si="64"/>
        <v>1.257017661135593</v>
      </c>
      <c r="G1375" s="13">
        <f t="shared" si="65"/>
        <v>1.3181823388644072</v>
      </c>
    </row>
    <row r="1376" spans="1:7" x14ac:dyDescent="0.25">
      <c r="A1376" s="15" t="s">
        <v>34</v>
      </c>
      <c r="B1376" s="16">
        <v>42584</v>
      </c>
      <c r="C1376" s="17">
        <v>-0.56659999999999999</v>
      </c>
      <c r="D1376" s="17">
        <v>-0.13170000000000001</v>
      </c>
      <c r="E1376" s="11">
        <f t="shared" si="63"/>
        <v>-0.13470000000000001</v>
      </c>
      <c r="F1376" s="11">
        <f t="shared" si="64"/>
        <v>-7.4075892948554614E-2</v>
      </c>
      <c r="G1376" s="13">
        <f t="shared" si="65"/>
        <v>-0.49252410705144539</v>
      </c>
    </row>
    <row r="1377" spans="1:7" x14ac:dyDescent="0.25">
      <c r="A1377" s="15" t="s">
        <v>34</v>
      </c>
      <c r="B1377" s="16">
        <v>42585</v>
      </c>
      <c r="C1377" s="17">
        <v>-2.0087000000000002</v>
      </c>
      <c r="D1377" s="17">
        <v>-0.74209999999999998</v>
      </c>
      <c r="E1377" s="11">
        <f t="shared" si="63"/>
        <v>-0.74509999999999998</v>
      </c>
      <c r="F1377" s="11">
        <f t="shared" si="64"/>
        <v>-0.75234578643963357</v>
      </c>
      <c r="G1377" s="13">
        <f t="shared" si="65"/>
        <v>-1.2563542135603667</v>
      </c>
    </row>
    <row r="1378" spans="1:7" x14ac:dyDescent="0.25">
      <c r="A1378" s="15" t="s">
        <v>34</v>
      </c>
      <c r="B1378" s="16">
        <v>42586</v>
      </c>
      <c r="C1378" s="17">
        <v>1.1528</v>
      </c>
      <c r="D1378" s="17">
        <v>0.25519999999999998</v>
      </c>
      <c r="E1378" s="11">
        <f t="shared" si="63"/>
        <v>0.25219999999999998</v>
      </c>
      <c r="F1378" s="11">
        <f t="shared" si="64"/>
        <v>0.35584321221477838</v>
      </c>
      <c r="G1378" s="13">
        <f t="shared" si="65"/>
        <v>0.79695678778522172</v>
      </c>
    </row>
    <row r="1379" spans="1:7" x14ac:dyDescent="0.25">
      <c r="A1379" s="15" t="s">
        <v>34</v>
      </c>
      <c r="B1379" s="16">
        <v>42587</v>
      </c>
      <c r="C1379" s="17">
        <v>1.4225000000000001</v>
      </c>
      <c r="D1379" s="17">
        <v>0.74419999999999997</v>
      </c>
      <c r="E1379" s="11">
        <f t="shared" si="63"/>
        <v>0.74119999999999997</v>
      </c>
      <c r="F1379" s="11">
        <f t="shared" si="64"/>
        <v>0.89921473567011523</v>
      </c>
      <c r="G1379" s="13">
        <f t="shared" si="65"/>
        <v>0.52328526432988487</v>
      </c>
    </row>
    <row r="1380" spans="1:7" x14ac:dyDescent="0.25">
      <c r="A1380" s="15" t="s">
        <v>34</v>
      </c>
      <c r="B1380" s="16">
        <v>42590</v>
      </c>
      <c r="C1380" s="17">
        <v>0.56340000000000001</v>
      </c>
      <c r="D1380" s="17">
        <v>0.63739999999999997</v>
      </c>
      <c r="E1380" s="11">
        <f t="shared" si="63"/>
        <v>0.63439999999999996</v>
      </c>
      <c r="F1380" s="11">
        <f t="shared" si="64"/>
        <v>0.7805397280933668</v>
      </c>
      <c r="G1380" s="13">
        <f t="shared" si="65"/>
        <v>-0.21713972809336679</v>
      </c>
    </row>
    <row r="1381" spans="1:7" x14ac:dyDescent="0.25">
      <c r="A1381" s="15" t="s">
        <v>34</v>
      </c>
      <c r="B1381" s="16">
        <v>42591</v>
      </c>
      <c r="C1381" s="17">
        <v>0.28050000000000003</v>
      </c>
      <c r="D1381" s="17">
        <v>5.2699999999999997E-2</v>
      </c>
      <c r="E1381" s="11">
        <f t="shared" si="63"/>
        <v>4.9699999999999994E-2</v>
      </c>
      <c r="F1381" s="11">
        <f t="shared" si="64"/>
        <v>0.13082739728695486</v>
      </c>
      <c r="G1381" s="13">
        <f t="shared" si="65"/>
        <v>0.14967260271304517</v>
      </c>
    </row>
    <row r="1382" spans="1:7" x14ac:dyDescent="0.25">
      <c r="A1382" s="15" t="s">
        <v>34</v>
      </c>
      <c r="B1382" s="16">
        <v>42592</v>
      </c>
      <c r="C1382" s="17">
        <v>0.55869999999999997</v>
      </c>
      <c r="D1382" s="17">
        <v>0.49399999999999999</v>
      </c>
      <c r="E1382" s="11">
        <f t="shared" si="63"/>
        <v>0.49099999999999999</v>
      </c>
      <c r="F1382" s="11">
        <f t="shared" si="64"/>
        <v>0.62119519544818225</v>
      </c>
      <c r="G1382" s="13">
        <f t="shared" si="65"/>
        <v>-6.2495195448182272E-2</v>
      </c>
    </row>
    <row r="1383" spans="1:7" x14ac:dyDescent="0.25">
      <c r="A1383" s="15" t="s">
        <v>34</v>
      </c>
      <c r="B1383" s="16">
        <v>42593</v>
      </c>
      <c r="C1383" s="17">
        <v>-1.6854</v>
      </c>
      <c r="D1383" s="17">
        <v>-0.74829999999999997</v>
      </c>
      <c r="E1383" s="11">
        <f t="shared" si="63"/>
        <v>-0.75129999999999997</v>
      </c>
      <c r="F1383" s="11">
        <f t="shared" si="64"/>
        <v>-0.75923515953865828</v>
      </c>
      <c r="G1383" s="13">
        <f t="shared" si="65"/>
        <v>-0.92616484046134173</v>
      </c>
    </row>
    <row r="1384" spans="1:7" x14ac:dyDescent="0.25">
      <c r="A1384" s="15" t="s">
        <v>34</v>
      </c>
      <c r="B1384" s="16">
        <v>42594</v>
      </c>
      <c r="C1384" s="17">
        <v>0.56499999999999995</v>
      </c>
      <c r="D1384" s="17">
        <v>0.20300000000000001</v>
      </c>
      <c r="E1384" s="11">
        <f t="shared" si="63"/>
        <v>0.2</v>
      </c>
      <c r="F1384" s="11">
        <f t="shared" si="64"/>
        <v>0.29783913547782837</v>
      </c>
      <c r="G1384" s="13">
        <f t="shared" si="65"/>
        <v>0.26716086452217158</v>
      </c>
    </row>
    <row r="1385" spans="1:7" x14ac:dyDescent="0.25">
      <c r="A1385" s="15" t="s">
        <v>34</v>
      </c>
      <c r="B1385" s="16">
        <v>42597</v>
      </c>
      <c r="C1385" s="17">
        <v>0.84150000000000003</v>
      </c>
      <c r="D1385" s="17">
        <v>-2.0500000000000001E-2</v>
      </c>
      <c r="E1385" s="11">
        <f t="shared" si="63"/>
        <v>-2.35E-2</v>
      </c>
      <c r="F1385" s="11">
        <f t="shared" si="64"/>
        <v>4.9488347150082351E-2</v>
      </c>
      <c r="G1385" s="13">
        <f t="shared" si="65"/>
        <v>0.7920116528499177</v>
      </c>
    </row>
    <row r="1386" spans="1:7" x14ac:dyDescent="0.25">
      <c r="A1386" s="15" t="s">
        <v>34</v>
      </c>
      <c r="B1386" s="16">
        <v>42598</v>
      </c>
      <c r="C1386" s="17">
        <v>-1.9746999999999999</v>
      </c>
      <c r="D1386" s="17">
        <v>-0.41789999999999999</v>
      </c>
      <c r="E1386" s="11">
        <f t="shared" si="63"/>
        <v>-0.4209</v>
      </c>
      <c r="F1386" s="11">
        <f t="shared" si="64"/>
        <v>-0.39209824471321192</v>
      </c>
      <c r="G1386" s="13">
        <f t="shared" si="65"/>
        <v>-1.5826017552867879</v>
      </c>
    </row>
    <row r="1387" spans="1:7" x14ac:dyDescent="0.25">
      <c r="A1387" s="15" t="s">
        <v>34</v>
      </c>
      <c r="B1387" s="16">
        <v>42599</v>
      </c>
      <c r="C1387" s="17">
        <v>0.85109999999999997</v>
      </c>
      <c r="D1387" s="17">
        <v>8.0500000000000002E-2</v>
      </c>
      <c r="E1387" s="11">
        <f t="shared" si="63"/>
        <v>7.7499999999999999E-2</v>
      </c>
      <c r="F1387" s="11">
        <f t="shared" si="64"/>
        <v>0.16171845731161411</v>
      </c>
      <c r="G1387" s="13">
        <f t="shared" si="65"/>
        <v>0.68938154268838581</v>
      </c>
    </row>
    <row r="1388" spans="1:7" x14ac:dyDescent="0.25">
      <c r="A1388" s="15" t="s">
        <v>34</v>
      </c>
      <c r="B1388" s="16">
        <v>42600</v>
      </c>
      <c r="C1388" s="17">
        <v>-0.56659999999999999</v>
      </c>
      <c r="D1388" s="17">
        <v>5.2600000000000001E-2</v>
      </c>
      <c r="E1388" s="11">
        <f t="shared" si="63"/>
        <v>4.9599999999999998E-2</v>
      </c>
      <c r="F1388" s="11">
        <f t="shared" si="64"/>
        <v>0.13071627836600286</v>
      </c>
      <c r="G1388" s="13">
        <f t="shared" si="65"/>
        <v>-0.69731627836600285</v>
      </c>
    </row>
    <row r="1389" spans="1:7" x14ac:dyDescent="0.25">
      <c r="A1389" s="15" t="s">
        <v>34</v>
      </c>
      <c r="B1389" s="16">
        <v>42601</v>
      </c>
      <c r="C1389" s="17">
        <v>-0.85589999999999999</v>
      </c>
      <c r="D1389" s="17">
        <v>-0.97189999999999999</v>
      </c>
      <c r="E1389" s="11">
        <f t="shared" si="63"/>
        <v>-0.97489999999999999</v>
      </c>
      <c r="F1389" s="11">
        <f t="shared" si="64"/>
        <v>-1.0076970667873564</v>
      </c>
      <c r="G1389" s="13">
        <f t="shared" si="65"/>
        <v>0.15179706678735638</v>
      </c>
    </row>
    <row r="1390" spans="1:7" x14ac:dyDescent="0.25">
      <c r="A1390" s="15" t="s">
        <v>34</v>
      </c>
      <c r="B1390" s="16">
        <v>42604</v>
      </c>
      <c r="C1390" s="17">
        <v>-0.86329999999999996</v>
      </c>
      <c r="D1390" s="17">
        <v>-0.58240000000000003</v>
      </c>
      <c r="E1390" s="11">
        <f t="shared" si="63"/>
        <v>-0.58540000000000003</v>
      </c>
      <c r="F1390" s="11">
        <f t="shared" si="64"/>
        <v>-0.57488886967927111</v>
      </c>
      <c r="G1390" s="13">
        <f t="shared" si="65"/>
        <v>-0.28841113032072885</v>
      </c>
    </row>
    <row r="1391" spans="1:7" x14ac:dyDescent="0.25">
      <c r="A1391" s="15" t="s">
        <v>34</v>
      </c>
      <c r="B1391" s="16">
        <v>42605</v>
      </c>
      <c r="C1391" s="17">
        <v>0.57640000000000002</v>
      </c>
      <c r="D1391" s="17">
        <v>0.5454</v>
      </c>
      <c r="E1391" s="11">
        <f t="shared" si="63"/>
        <v>0.54239999999999999</v>
      </c>
      <c r="F1391" s="11">
        <f t="shared" si="64"/>
        <v>0.67831032081751619</v>
      </c>
      <c r="G1391" s="13">
        <f t="shared" si="65"/>
        <v>-0.10191032081751616</v>
      </c>
    </row>
    <row r="1392" spans="1:7" x14ac:dyDescent="0.25">
      <c r="A1392" s="15" t="s">
        <v>34</v>
      </c>
      <c r="B1392" s="16">
        <v>42606</v>
      </c>
      <c r="C1392" s="17">
        <v>-0.2878</v>
      </c>
      <c r="D1392" s="17">
        <v>-0.1502</v>
      </c>
      <c r="E1392" s="11">
        <f t="shared" si="63"/>
        <v>-0.1532</v>
      </c>
      <c r="F1392" s="11">
        <f t="shared" si="64"/>
        <v>-9.463289332467674E-2</v>
      </c>
      <c r="G1392" s="13">
        <f t="shared" si="65"/>
        <v>-0.19316710667532327</v>
      </c>
    </row>
    <row r="1393" spans="1:7" x14ac:dyDescent="0.25">
      <c r="A1393" s="15" t="s">
        <v>34</v>
      </c>
      <c r="B1393" s="16">
        <v>42607</v>
      </c>
      <c r="C1393" s="17">
        <v>1.9972000000000001</v>
      </c>
      <c r="D1393" s="17">
        <v>1.0819000000000001</v>
      </c>
      <c r="E1393" s="11">
        <f t="shared" si="63"/>
        <v>1.0789000000000002</v>
      </c>
      <c r="F1393" s="11">
        <f t="shared" si="64"/>
        <v>1.2744633317250589</v>
      </c>
      <c r="G1393" s="13">
        <f t="shared" si="65"/>
        <v>0.72273666827494121</v>
      </c>
    </row>
    <row r="1394" spans="1:7" x14ac:dyDescent="0.25">
      <c r="A1394" s="15" t="s">
        <v>34</v>
      </c>
      <c r="B1394" s="16">
        <v>42608</v>
      </c>
      <c r="C1394" s="17">
        <v>0</v>
      </c>
      <c r="D1394" s="17">
        <v>0.17810000000000001</v>
      </c>
      <c r="E1394" s="11">
        <f t="shared" si="63"/>
        <v>0.17510000000000001</v>
      </c>
      <c r="F1394" s="11">
        <f t="shared" si="64"/>
        <v>0.27017052416077747</v>
      </c>
      <c r="G1394" s="13">
        <f t="shared" si="65"/>
        <v>-0.27017052416077747</v>
      </c>
    </row>
    <row r="1395" spans="1:7" x14ac:dyDescent="0.25">
      <c r="A1395" s="15" t="s">
        <v>34</v>
      </c>
      <c r="B1395" s="16">
        <v>42611</v>
      </c>
      <c r="C1395" s="17">
        <v>-0.28289999999999998</v>
      </c>
      <c r="D1395" s="17">
        <v>-0.23630000000000001</v>
      </c>
      <c r="E1395" s="11">
        <f t="shared" si="63"/>
        <v>-0.23930000000000001</v>
      </c>
      <c r="F1395" s="11">
        <f t="shared" si="64"/>
        <v>-0.1903062842643588</v>
      </c>
      <c r="G1395" s="13">
        <f t="shared" si="65"/>
        <v>-9.259371573564118E-2</v>
      </c>
    </row>
    <row r="1396" spans="1:7" x14ac:dyDescent="0.25">
      <c r="A1396" s="15" t="s">
        <v>34</v>
      </c>
      <c r="B1396" s="16">
        <v>42612</v>
      </c>
      <c r="C1396" s="17">
        <v>-1.1395999999999999</v>
      </c>
      <c r="D1396" s="17">
        <v>4.3E-3</v>
      </c>
      <c r="E1396" s="11">
        <f t="shared" si="63"/>
        <v>1.2999999999999999E-3</v>
      </c>
      <c r="F1396" s="11">
        <f t="shared" si="64"/>
        <v>7.7045839546181244E-2</v>
      </c>
      <c r="G1396" s="13">
        <f t="shared" si="65"/>
        <v>-1.2166458395461812</v>
      </c>
    </row>
    <row r="1397" spans="1:7" x14ac:dyDescent="0.25">
      <c r="A1397" s="15" t="s">
        <v>34</v>
      </c>
      <c r="B1397" s="16">
        <v>42613</v>
      </c>
      <c r="C1397" s="17">
        <v>0.85589999999999999</v>
      </c>
      <c r="D1397" s="17">
        <v>-0.45889999999999997</v>
      </c>
      <c r="E1397" s="11">
        <f t="shared" si="63"/>
        <v>-0.46189999999999998</v>
      </c>
      <c r="F1397" s="11">
        <f t="shared" si="64"/>
        <v>-0.43765700230353666</v>
      </c>
      <c r="G1397" s="13">
        <f t="shared" si="65"/>
        <v>1.2935570023035368</v>
      </c>
    </row>
    <row r="1398" spans="1:7" x14ac:dyDescent="0.25">
      <c r="A1398" s="15" t="s">
        <v>34</v>
      </c>
      <c r="B1398" s="16">
        <v>42614</v>
      </c>
      <c r="C1398" s="17">
        <v>-1.4306000000000001</v>
      </c>
      <c r="D1398" s="17">
        <v>-0.74929999999999997</v>
      </c>
      <c r="E1398" s="11">
        <f t="shared" si="63"/>
        <v>-0.75229999999999997</v>
      </c>
      <c r="F1398" s="11">
        <f t="shared" si="64"/>
        <v>-0.76034634874817841</v>
      </c>
      <c r="G1398" s="13">
        <f t="shared" si="65"/>
        <v>-0.67025365125182168</v>
      </c>
    </row>
    <row r="1399" spans="1:7" x14ac:dyDescent="0.25">
      <c r="A1399" s="15" t="s">
        <v>34</v>
      </c>
      <c r="B1399" s="16">
        <v>42615</v>
      </c>
      <c r="C1399" s="17">
        <v>0.57469999999999999</v>
      </c>
      <c r="D1399" s="17">
        <v>-0.1512</v>
      </c>
      <c r="E1399" s="11">
        <f t="shared" si="63"/>
        <v>-0.1542</v>
      </c>
      <c r="F1399" s="11">
        <f t="shared" si="64"/>
        <v>-9.5744082534196848E-2</v>
      </c>
      <c r="G1399" s="13">
        <f t="shared" si="65"/>
        <v>0.67044408253419685</v>
      </c>
    </row>
    <row r="1400" spans="1:7" x14ac:dyDescent="0.25">
      <c r="A1400" s="15" t="s">
        <v>34</v>
      </c>
      <c r="B1400" s="16">
        <v>42618</v>
      </c>
      <c r="C1400" s="17">
        <v>1.1395999999999999</v>
      </c>
      <c r="D1400" s="17">
        <v>1.1349</v>
      </c>
      <c r="E1400" s="11">
        <f t="shared" si="63"/>
        <v>1.1319000000000001</v>
      </c>
      <c r="F1400" s="11">
        <f t="shared" si="64"/>
        <v>1.333356359829625</v>
      </c>
      <c r="G1400" s="13">
        <f t="shared" si="65"/>
        <v>-0.19375635982962502</v>
      </c>
    </row>
    <row r="1401" spans="1:7" x14ac:dyDescent="0.25">
      <c r="A1401" s="15" t="s">
        <v>34</v>
      </c>
      <c r="B1401" s="16">
        <v>42619</v>
      </c>
      <c r="C1401" s="17">
        <v>1.4065000000000001</v>
      </c>
      <c r="D1401" s="17">
        <v>1.0039</v>
      </c>
      <c r="E1401" s="11">
        <f t="shared" si="63"/>
        <v>1.0009000000000001</v>
      </c>
      <c r="F1401" s="11">
        <f t="shared" si="64"/>
        <v>1.1877905733824896</v>
      </c>
      <c r="G1401" s="13">
        <f t="shared" si="65"/>
        <v>0.21870942661751047</v>
      </c>
    </row>
    <row r="1402" spans="1:7" x14ac:dyDescent="0.25">
      <c r="A1402" s="15" t="s">
        <v>34</v>
      </c>
      <c r="B1402" s="16">
        <v>42620</v>
      </c>
      <c r="C1402" s="17">
        <v>2.7549999999999999</v>
      </c>
      <c r="D1402" s="17">
        <v>0.83750000000000002</v>
      </c>
      <c r="E1402" s="11">
        <f t="shared" si="63"/>
        <v>0.83450000000000002</v>
      </c>
      <c r="F1402" s="11">
        <f t="shared" si="64"/>
        <v>1.0028886889183422</v>
      </c>
      <c r="G1402" s="13">
        <f t="shared" si="65"/>
        <v>1.7521113110816577</v>
      </c>
    </row>
    <row r="1403" spans="1:7" x14ac:dyDescent="0.25">
      <c r="A1403" s="15" t="s">
        <v>34</v>
      </c>
      <c r="B1403" s="16">
        <v>42621</v>
      </c>
      <c r="C1403" s="17">
        <v>-0.54500000000000004</v>
      </c>
      <c r="D1403" s="17">
        <v>4.1200000000000001E-2</v>
      </c>
      <c r="E1403" s="11">
        <f t="shared" si="63"/>
        <v>3.8199999999999998E-2</v>
      </c>
      <c r="F1403" s="11">
        <f t="shared" si="64"/>
        <v>0.11804872137747352</v>
      </c>
      <c r="G1403" s="13">
        <f t="shared" si="65"/>
        <v>-0.66304872137747362</v>
      </c>
    </row>
    <row r="1404" spans="1:7" x14ac:dyDescent="0.25">
      <c r="A1404" s="15" t="s">
        <v>34</v>
      </c>
      <c r="B1404" s="16">
        <v>42622</v>
      </c>
      <c r="C1404" s="17">
        <v>-1.9311</v>
      </c>
      <c r="D1404" s="17">
        <v>-1.0637000000000001</v>
      </c>
      <c r="E1404" s="11">
        <f t="shared" si="63"/>
        <v>-1.0667</v>
      </c>
      <c r="F1404" s="11">
        <f t="shared" si="64"/>
        <v>-1.109704236221303</v>
      </c>
      <c r="G1404" s="13">
        <f t="shared" si="65"/>
        <v>-0.82139576377869705</v>
      </c>
    </row>
    <row r="1405" spans="1:7" x14ac:dyDescent="0.25">
      <c r="A1405" s="15" t="s">
        <v>34</v>
      </c>
      <c r="B1405" s="16">
        <v>42623</v>
      </c>
      <c r="C1405" s="17">
        <v>-0.83919999999999995</v>
      </c>
      <c r="D1405" s="17">
        <v>-1.2205999999999999</v>
      </c>
      <c r="E1405" s="11">
        <f t="shared" si="63"/>
        <v>-1.2235999999999998</v>
      </c>
      <c r="F1405" s="11">
        <f t="shared" si="64"/>
        <v>-1.284049823195009</v>
      </c>
      <c r="G1405" s="13">
        <f t="shared" si="65"/>
        <v>0.4448498231950091</v>
      </c>
    </row>
    <row r="1406" spans="1:7" x14ac:dyDescent="0.25">
      <c r="A1406" s="15" t="s">
        <v>34</v>
      </c>
      <c r="B1406" s="16">
        <v>42625</v>
      </c>
      <c r="C1406" s="17">
        <v>-1.6998</v>
      </c>
      <c r="D1406" s="17">
        <v>-1.1847000000000001</v>
      </c>
      <c r="E1406" s="11">
        <f t="shared" si="63"/>
        <v>-1.1877</v>
      </c>
      <c r="F1406" s="11">
        <f t="shared" si="64"/>
        <v>-1.244158130573237</v>
      </c>
      <c r="G1406" s="13">
        <f t="shared" si="65"/>
        <v>-0.45564186942676299</v>
      </c>
    </row>
    <row r="1407" spans="1:7" x14ac:dyDescent="0.25">
      <c r="A1407" s="15" t="s">
        <v>34</v>
      </c>
      <c r="B1407" s="16">
        <v>42626</v>
      </c>
      <c r="C1407" s="17">
        <v>0</v>
      </c>
      <c r="D1407" s="17">
        <v>-6.9699999999999998E-2</v>
      </c>
      <c r="E1407" s="11">
        <f t="shared" si="63"/>
        <v>-7.2700000000000001E-2</v>
      </c>
      <c r="F1407" s="11">
        <f t="shared" si="64"/>
        <v>-5.1821619583073686E-3</v>
      </c>
      <c r="G1407" s="13">
        <f t="shared" si="65"/>
        <v>5.1821619583073686E-3</v>
      </c>
    </row>
    <row r="1408" spans="1:7" x14ac:dyDescent="0.25">
      <c r="A1408" s="15" t="s">
        <v>34</v>
      </c>
      <c r="B1408" s="16">
        <v>42627</v>
      </c>
      <c r="C1408" s="17">
        <v>-0.86080000000000001</v>
      </c>
      <c r="D1408" s="17">
        <v>-0.43190000000000001</v>
      </c>
      <c r="E1408" s="11">
        <f t="shared" si="63"/>
        <v>-0.43490000000000001</v>
      </c>
      <c r="F1408" s="11">
        <f t="shared" si="64"/>
        <v>-0.40765489364649354</v>
      </c>
      <c r="G1408" s="13">
        <f t="shared" si="65"/>
        <v>-0.45314510635350647</v>
      </c>
    </row>
    <row r="1409" spans="1:7" x14ac:dyDescent="0.25">
      <c r="A1409" s="15" t="s">
        <v>34</v>
      </c>
      <c r="B1409" s="16">
        <v>42632</v>
      </c>
      <c r="C1409" s="17">
        <v>5.0572999999999997</v>
      </c>
      <c r="D1409" s="17">
        <v>2.7759</v>
      </c>
      <c r="E1409" s="11">
        <f t="shared" si="63"/>
        <v>2.7728999999999999</v>
      </c>
      <c r="F1409" s="11">
        <f t="shared" si="64"/>
        <v>3.1568178526521358</v>
      </c>
      <c r="G1409" s="13">
        <f t="shared" si="65"/>
        <v>1.9004821473478639</v>
      </c>
    </row>
    <row r="1410" spans="1:7" x14ac:dyDescent="0.25">
      <c r="A1410" s="15" t="s">
        <v>34</v>
      </c>
      <c r="B1410" s="16">
        <v>42633</v>
      </c>
      <c r="C1410" s="17">
        <v>0.27360000000000001</v>
      </c>
      <c r="D1410" s="17">
        <v>9.5000000000000001E-2</v>
      </c>
      <c r="E1410" s="11">
        <f t="shared" si="63"/>
        <v>9.1999999999999998E-2</v>
      </c>
      <c r="F1410" s="11">
        <f t="shared" si="64"/>
        <v>0.1778307008496558</v>
      </c>
      <c r="G1410" s="13">
        <f t="shared" si="65"/>
        <v>9.5769299150344211E-2</v>
      </c>
    </row>
    <row r="1411" spans="1:7" x14ac:dyDescent="0.25">
      <c r="A1411" s="15" t="s">
        <v>34</v>
      </c>
      <c r="B1411" s="16">
        <v>42634</v>
      </c>
      <c r="C1411" s="17">
        <v>0.54500000000000004</v>
      </c>
      <c r="D1411" s="17">
        <v>0.7278</v>
      </c>
      <c r="E1411" s="11">
        <f t="shared" ref="E1411:E1474" si="66">D1411-$K$1</f>
        <v>0.7248</v>
      </c>
      <c r="F1411" s="11">
        <f t="shared" ref="F1411:F1474" si="67">K$2+K$3*E1411</f>
        <v>0.88099123263398538</v>
      </c>
      <c r="G1411" s="13">
        <f t="shared" ref="G1411:G1474" si="68">C1411-F1411</f>
        <v>-0.33599123263398534</v>
      </c>
    </row>
    <row r="1412" spans="1:7" x14ac:dyDescent="0.25">
      <c r="A1412" s="15" t="s">
        <v>34</v>
      </c>
      <c r="B1412" s="16">
        <v>42635</v>
      </c>
      <c r="C1412" s="17">
        <v>0.81189999999999996</v>
      </c>
      <c r="D1412" s="17">
        <v>7.3200000000000001E-2</v>
      </c>
      <c r="E1412" s="11">
        <f t="shared" si="66"/>
        <v>7.0199999999999999E-2</v>
      </c>
      <c r="F1412" s="11">
        <f t="shared" si="67"/>
        <v>0.15360677608211726</v>
      </c>
      <c r="G1412" s="13">
        <f t="shared" si="68"/>
        <v>0.6582932239178827</v>
      </c>
    </row>
    <row r="1413" spans="1:7" x14ac:dyDescent="0.25">
      <c r="A1413" s="15" t="s">
        <v>34</v>
      </c>
      <c r="B1413" s="16">
        <v>42636</v>
      </c>
      <c r="C1413" s="17">
        <v>1.0724</v>
      </c>
      <c r="D1413" s="17">
        <v>0.53310000000000002</v>
      </c>
      <c r="E1413" s="11">
        <f t="shared" si="66"/>
        <v>0.53010000000000002</v>
      </c>
      <c r="F1413" s="11">
        <f t="shared" si="67"/>
        <v>0.66464269354041872</v>
      </c>
      <c r="G1413" s="13">
        <f t="shared" si="68"/>
        <v>0.4077573064595813</v>
      </c>
    </row>
    <row r="1414" spans="1:7" x14ac:dyDescent="0.25">
      <c r="A1414" s="15" t="s">
        <v>34</v>
      </c>
      <c r="B1414" s="16">
        <v>42639</v>
      </c>
      <c r="C1414" s="17">
        <v>-2.4293</v>
      </c>
      <c r="D1414" s="17">
        <v>-0.97519999999999996</v>
      </c>
      <c r="E1414" s="11">
        <f t="shared" si="66"/>
        <v>-0.97819999999999996</v>
      </c>
      <c r="F1414" s="11">
        <f t="shared" si="67"/>
        <v>-1.0113639911787726</v>
      </c>
      <c r="G1414" s="13">
        <f t="shared" si="68"/>
        <v>-1.4179360088212274</v>
      </c>
    </row>
    <row r="1415" spans="1:7" x14ac:dyDescent="0.25">
      <c r="A1415" s="15" t="s">
        <v>34</v>
      </c>
      <c r="B1415" s="16">
        <v>42642</v>
      </c>
      <c r="C1415" s="17">
        <v>1.3569</v>
      </c>
      <c r="D1415" s="17">
        <v>0.82730000000000004</v>
      </c>
      <c r="E1415" s="11">
        <f t="shared" si="66"/>
        <v>0.82430000000000003</v>
      </c>
      <c r="F1415" s="11">
        <f t="shared" si="67"/>
        <v>0.99155455898123701</v>
      </c>
      <c r="G1415" s="13">
        <f t="shared" si="68"/>
        <v>0.36534544101876298</v>
      </c>
    </row>
    <row r="1416" spans="1:7" x14ac:dyDescent="0.25">
      <c r="A1416" s="15" t="s">
        <v>34</v>
      </c>
      <c r="B1416" s="16">
        <v>42643</v>
      </c>
      <c r="C1416" s="17">
        <v>-1.6305000000000001</v>
      </c>
      <c r="D1416" s="17">
        <v>-1.1287</v>
      </c>
      <c r="E1416" s="11">
        <f t="shared" si="66"/>
        <v>-1.1316999999999999</v>
      </c>
      <c r="F1416" s="11">
        <f t="shared" si="67"/>
        <v>-1.1819315348401105</v>
      </c>
      <c r="G1416" s="13">
        <f t="shared" si="68"/>
        <v>-0.44856846515988957</v>
      </c>
    </row>
    <row r="1417" spans="1:7" x14ac:dyDescent="0.25">
      <c r="A1417" s="15" t="s">
        <v>34</v>
      </c>
      <c r="B1417" s="16">
        <v>42646</v>
      </c>
      <c r="C1417" s="17">
        <v>1.8996999999999999</v>
      </c>
      <c r="D1417" s="17">
        <v>0.73199999999999998</v>
      </c>
      <c r="E1417" s="11">
        <f t="shared" si="66"/>
        <v>0.72899999999999998</v>
      </c>
      <c r="F1417" s="11">
        <f t="shared" si="67"/>
        <v>0.88565822731396993</v>
      </c>
      <c r="G1417" s="13">
        <f t="shared" si="68"/>
        <v>1.01404177268603</v>
      </c>
    </row>
    <row r="1418" spans="1:7" x14ac:dyDescent="0.25">
      <c r="A1418" s="15" t="s">
        <v>34</v>
      </c>
      <c r="B1418" s="16">
        <v>42647</v>
      </c>
      <c r="C1418" s="17">
        <v>0.53620000000000001</v>
      </c>
      <c r="D1418" s="17">
        <v>0.57840000000000003</v>
      </c>
      <c r="E1418" s="11">
        <f t="shared" si="66"/>
        <v>0.57540000000000002</v>
      </c>
      <c r="F1418" s="11">
        <f t="shared" si="67"/>
        <v>0.71497956473168001</v>
      </c>
      <c r="G1418" s="13">
        <f t="shared" si="68"/>
        <v>-0.17877956473168</v>
      </c>
    </row>
    <row r="1419" spans="1:7" x14ac:dyDescent="0.25">
      <c r="A1419" s="15" t="s">
        <v>34</v>
      </c>
      <c r="B1419" s="16">
        <v>42648</v>
      </c>
      <c r="C1419" s="17">
        <v>-0.53620000000000001</v>
      </c>
      <c r="D1419" s="17">
        <v>-0.16689999999999999</v>
      </c>
      <c r="E1419" s="11">
        <f t="shared" si="66"/>
        <v>-0.1699</v>
      </c>
      <c r="F1419" s="11">
        <f t="shared" si="67"/>
        <v>-0.11318975312366268</v>
      </c>
      <c r="G1419" s="13">
        <f t="shared" si="68"/>
        <v>-0.42301024687633731</v>
      </c>
    </row>
    <row r="1420" spans="1:7" x14ac:dyDescent="0.25">
      <c r="A1420" s="15" t="s">
        <v>34</v>
      </c>
      <c r="B1420" s="16">
        <v>42649</v>
      </c>
      <c r="C1420" s="17">
        <v>0.80320000000000003</v>
      </c>
      <c r="D1420" s="17">
        <v>0.12970000000000001</v>
      </c>
      <c r="E1420" s="11">
        <f t="shared" si="66"/>
        <v>0.12670000000000001</v>
      </c>
      <c r="F1420" s="11">
        <f t="shared" si="67"/>
        <v>0.21638896642000383</v>
      </c>
      <c r="G1420" s="13">
        <f t="shared" si="68"/>
        <v>0.5868110335799962</v>
      </c>
    </row>
    <row r="1421" spans="1:7" x14ac:dyDescent="0.25">
      <c r="A1421" s="15" t="s">
        <v>34</v>
      </c>
      <c r="B1421" s="16">
        <v>42650</v>
      </c>
      <c r="C1421" s="17">
        <v>0.26629999999999998</v>
      </c>
      <c r="D1421" s="17">
        <v>-0.19950000000000001</v>
      </c>
      <c r="E1421" s="11">
        <f t="shared" si="66"/>
        <v>-0.20250000000000001</v>
      </c>
      <c r="F1421" s="11">
        <f t="shared" si="67"/>
        <v>-0.1494145213540185</v>
      </c>
      <c r="G1421" s="13">
        <f t="shared" si="68"/>
        <v>0.41571452135401848</v>
      </c>
    </row>
    <row r="1422" spans="1:7" x14ac:dyDescent="0.25">
      <c r="A1422" s="15" t="s">
        <v>34</v>
      </c>
      <c r="B1422" s="16">
        <v>42654</v>
      </c>
      <c r="C1422" s="17">
        <v>-0.26629999999999998</v>
      </c>
      <c r="D1422" s="17">
        <v>-0.49759999999999999</v>
      </c>
      <c r="E1422" s="11">
        <f t="shared" si="66"/>
        <v>-0.50059999999999993</v>
      </c>
      <c r="F1422" s="11">
        <f t="shared" si="67"/>
        <v>-0.48066002471196512</v>
      </c>
      <c r="G1422" s="13">
        <f t="shared" si="68"/>
        <v>0.21436002471196514</v>
      </c>
    </row>
    <row r="1423" spans="1:7" x14ac:dyDescent="0.25">
      <c r="A1423" s="15" t="s">
        <v>34</v>
      </c>
      <c r="B1423" s="16">
        <v>42655</v>
      </c>
      <c r="C1423" s="17">
        <v>1.0609999999999999</v>
      </c>
      <c r="D1423" s="17">
        <v>0.35489999999999999</v>
      </c>
      <c r="E1423" s="11">
        <f t="shared" si="66"/>
        <v>0.35189999999999999</v>
      </c>
      <c r="F1423" s="11">
        <f t="shared" si="67"/>
        <v>0.46662877640393402</v>
      </c>
      <c r="G1423" s="13">
        <f t="shared" si="68"/>
        <v>0.59437122359606587</v>
      </c>
    </row>
    <row r="1424" spans="1:7" x14ac:dyDescent="0.25">
      <c r="A1424" s="15" t="s">
        <v>34</v>
      </c>
      <c r="B1424" s="16">
        <v>42656</v>
      </c>
      <c r="C1424" s="17">
        <v>-0.52910000000000001</v>
      </c>
      <c r="D1424" s="17">
        <v>-0.36199999999999999</v>
      </c>
      <c r="E1424" s="11">
        <f t="shared" si="66"/>
        <v>-0.36499999999999999</v>
      </c>
      <c r="F1424" s="11">
        <f t="shared" si="67"/>
        <v>-0.32998276790103737</v>
      </c>
      <c r="G1424" s="13">
        <f t="shared" si="68"/>
        <v>-0.19911723209896265</v>
      </c>
    </row>
    <row r="1425" spans="1:7" x14ac:dyDescent="0.25">
      <c r="A1425" s="15" t="s">
        <v>34</v>
      </c>
      <c r="B1425" s="16">
        <v>42657</v>
      </c>
      <c r="C1425" s="17">
        <v>-0.2656</v>
      </c>
      <c r="D1425" s="17">
        <v>-0.58750000000000002</v>
      </c>
      <c r="E1425" s="11">
        <f t="shared" si="66"/>
        <v>-0.59050000000000002</v>
      </c>
      <c r="F1425" s="11">
        <f t="shared" si="67"/>
        <v>-0.58055593464782362</v>
      </c>
      <c r="G1425" s="13">
        <f t="shared" si="68"/>
        <v>0.31495593464782362</v>
      </c>
    </row>
    <row r="1426" spans="1:7" x14ac:dyDescent="0.25">
      <c r="A1426" s="15" t="s">
        <v>34</v>
      </c>
      <c r="B1426" s="16">
        <v>42660</v>
      </c>
      <c r="C1426" s="17">
        <v>-0.80110000000000003</v>
      </c>
      <c r="D1426" s="17">
        <v>0.1205</v>
      </c>
      <c r="E1426" s="11">
        <f t="shared" si="66"/>
        <v>0.11749999999999999</v>
      </c>
      <c r="F1426" s="11">
        <f t="shared" si="67"/>
        <v>0.20616602569241876</v>
      </c>
      <c r="G1426" s="13">
        <f t="shared" si="68"/>
        <v>-1.0072660256924189</v>
      </c>
    </row>
    <row r="1427" spans="1:7" x14ac:dyDescent="0.25">
      <c r="A1427" s="15" t="s">
        <v>34</v>
      </c>
      <c r="B1427" s="16">
        <v>42661</v>
      </c>
      <c r="C1427" s="17">
        <v>0.26769999999999999</v>
      </c>
      <c r="D1427" s="17">
        <v>0.50390000000000001</v>
      </c>
      <c r="E1427" s="11">
        <f t="shared" si="66"/>
        <v>0.50090000000000001</v>
      </c>
      <c r="F1427" s="11">
        <f t="shared" si="67"/>
        <v>0.63219596862243133</v>
      </c>
      <c r="G1427" s="13">
        <f t="shared" si="68"/>
        <v>-0.36449596862243133</v>
      </c>
    </row>
    <row r="1428" spans="1:7" x14ac:dyDescent="0.25">
      <c r="A1428" s="15" t="s">
        <v>34</v>
      </c>
      <c r="B1428" s="16">
        <v>42662</v>
      </c>
      <c r="C1428" s="17">
        <v>1.3280000000000001</v>
      </c>
      <c r="D1428" s="17">
        <v>0.66369999999999996</v>
      </c>
      <c r="E1428" s="11">
        <f t="shared" si="66"/>
        <v>0.66069999999999995</v>
      </c>
      <c r="F1428" s="11">
        <f t="shared" si="67"/>
        <v>0.80976400430374584</v>
      </c>
      <c r="G1428" s="13">
        <f t="shared" si="68"/>
        <v>0.51823599569625423</v>
      </c>
    </row>
    <row r="1429" spans="1:7" x14ac:dyDescent="0.25">
      <c r="A1429" s="15" t="s">
        <v>34</v>
      </c>
      <c r="B1429" s="16">
        <v>42663</v>
      </c>
      <c r="C1429" s="17">
        <v>0.52629999999999999</v>
      </c>
      <c r="D1429" s="17">
        <v>0.35749999999999998</v>
      </c>
      <c r="E1429" s="11">
        <f t="shared" si="66"/>
        <v>0.35449999999999998</v>
      </c>
      <c r="F1429" s="11">
        <f t="shared" si="67"/>
        <v>0.46951786834868631</v>
      </c>
      <c r="G1429" s="13">
        <f t="shared" si="68"/>
        <v>5.6782131651313683E-2</v>
      </c>
    </row>
    <row r="1430" spans="1:7" x14ac:dyDescent="0.25">
      <c r="A1430" s="15" t="s">
        <v>34</v>
      </c>
      <c r="B1430" s="16">
        <v>42664</v>
      </c>
      <c r="C1430" s="17">
        <v>-1.0553999999999999</v>
      </c>
      <c r="D1430" s="17">
        <v>-0.11459999999999999</v>
      </c>
      <c r="E1430" s="11">
        <f t="shared" si="66"/>
        <v>-0.1176</v>
      </c>
      <c r="F1430" s="11">
        <f t="shared" si="67"/>
        <v>-5.5074557465760579E-2</v>
      </c>
      <c r="G1430" s="13">
        <f t="shared" si="68"/>
        <v>-1.0003254425342394</v>
      </c>
    </row>
    <row r="1431" spans="1:7" x14ac:dyDescent="0.25">
      <c r="A1431" s="15" t="s">
        <v>34</v>
      </c>
      <c r="B1431" s="16">
        <v>42667</v>
      </c>
      <c r="C1431" s="17">
        <v>1.3174999999999999</v>
      </c>
      <c r="D1431" s="17">
        <v>0.17100000000000001</v>
      </c>
      <c r="E1431" s="11">
        <f t="shared" si="66"/>
        <v>0.16800000000000001</v>
      </c>
      <c r="F1431" s="11">
        <f t="shared" si="67"/>
        <v>0.26228108077318463</v>
      </c>
      <c r="G1431" s="13">
        <f t="shared" si="68"/>
        <v>1.0552189192268153</v>
      </c>
    </row>
    <row r="1432" spans="1:7" x14ac:dyDescent="0.25">
      <c r="A1432" s="15" t="s">
        <v>34</v>
      </c>
      <c r="B1432" s="16">
        <v>42668</v>
      </c>
      <c r="C1432" s="17">
        <v>1.0417000000000001</v>
      </c>
      <c r="D1432" s="17">
        <v>0.67510000000000003</v>
      </c>
      <c r="E1432" s="11">
        <f t="shared" si="66"/>
        <v>0.67210000000000003</v>
      </c>
      <c r="F1432" s="11">
        <f t="shared" si="67"/>
        <v>0.82243156129227535</v>
      </c>
      <c r="G1432" s="13">
        <f t="shared" si="68"/>
        <v>0.21926843870772472</v>
      </c>
    </row>
    <row r="1433" spans="1:7" x14ac:dyDescent="0.25">
      <c r="A1433" s="15" t="s">
        <v>34</v>
      </c>
      <c r="B1433" s="16">
        <v>42669</v>
      </c>
      <c r="C1433" s="17">
        <v>-0.7802</v>
      </c>
      <c r="D1433" s="17">
        <v>-0.24959999999999999</v>
      </c>
      <c r="E1433" s="11">
        <f t="shared" si="66"/>
        <v>-0.25259999999999999</v>
      </c>
      <c r="F1433" s="11">
        <f t="shared" si="67"/>
        <v>-0.2050851007509763</v>
      </c>
      <c r="G1433" s="13">
        <f t="shared" si="68"/>
        <v>-0.5751148992490237</v>
      </c>
    </row>
    <row r="1434" spans="1:7" x14ac:dyDescent="0.25">
      <c r="A1434" s="15" t="s">
        <v>34</v>
      </c>
      <c r="B1434" s="16">
        <v>42670</v>
      </c>
      <c r="C1434" s="17">
        <v>-1.579</v>
      </c>
      <c r="D1434" s="17">
        <v>-0.67200000000000004</v>
      </c>
      <c r="E1434" s="11">
        <f t="shared" si="66"/>
        <v>-0.67500000000000004</v>
      </c>
      <c r="F1434" s="11">
        <f t="shared" si="67"/>
        <v>-0.67445142285227355</v>
      </c>
      <c r="G1434" s="13">
        <f t="shared" si="68"/>
        <v>-0.90454857714772641</v>
      </c>
    </row>
    <row r="1435" spans="1:7" x14ac:dyDescent="0.25">
      <c r="A1435" s="15" t="s">
        <v>34</v>
      </c>
      <c r="B1435" s="16">
        <v>42671</v>
      </c>
      <c r="C1435" s="17">
        <v>0.52910000000000001</v>
      </c>
      <c r="D1435" s="17">
        <v>7.9200000000000007E-2</v>
      </c>
      <c r="E1435" s="11">
        <f t="shared" si="66"/>
        <v>7.6200000000000004E-2</v>
      </c>
      <c r="F1435" s="11">
        <f t="shared" si="67"/>
        <v>0.16027391133923796</v>
      </c>
      <c r="G1435" s="13">
        <f t="shared" si="68"/>
        <v>0.36882608866076205</v>
      </c>
    </row>
    <row r="1436" spans="1:7" x14ac:dyDescent="0.25">
      <c r="A1436" s="15" t="s">
        <v>34</v>
      </c>
      <c r="B1436" s="16">
        <v>42674</v>
      </c>
      <c r="C1436" s="17">
        <v>-0.52910000000000001</v>
      </c>
      <c r="D1436" s="17">
        <v>-0.1807</v>
      </c>
      <c r="E1436" s="11">
        <f t="shared" si="66"/>
        <v>-0.1837</v>
      </c>
      <c r="F1436" s="11">
        <f t="shared" si="67"/>
        <v>-0.12852416421504032</v>
      </c>
      <c r="G1436" s="13">
        <f t="shared" si="68"/>
        <v>-0.4005758357849597</v>
      </c>
    </row>
    <row r="1437" spans="1:7" x14ac:dyDescent="0.25">
      <c r="A1437" s="15" t="s">
        <v>34</v>
      </c>
      <c r="B1437" s="16">
        <v>42675</v>
      </c>
      <c r="C1437" s="17">
        <v>0.52910000000000001</v>
      </c>
      <c r="D1437" s="17">
        <v>-0.18770000000000001</v>
      </c>
      <c r="E1437" s="11">
        <f t="shared" si="66"/>
        <v>-0.19070000000000001</v>
      </c>
      <c r="F1437" s="11">
        <f t="shared" si="67"/>
        <v>-0.1363024886816811</v>
      </c>
      <c r="G1437" s="13">
        <f t="shared" si="68"/>
        <v>0.66540248868168117</v>
      </c>
    </row>
    <row r="1438" spans="1:7" x14ac:dyDescent="0.25">
      <c r="A1438" s="15" t="s">
        <v>34</v>
      </c>
      <c r="B1438" s="16">
        <v>42676</v>
      </c>
      <c r="C1438" s="17">
        <v>-1.8642000000000001</v>
      </c>
      <c r="D1438" s="17">
        <v>-1.4519</v>
      </c>
      <c r="E1438" s="11">
        <f t="shared" si="66"/>
        <v>-1.4548999999999999</v>
      </c>
      <c r="F1438" s="11">
        <f t="shared" si="67"/>
        <v>-1.5410678873570121</v>
      </c>
      <c r="G1438" s="13">
        <f t="shared" si="68"/>
        <v>-0.32313211264298802</v>
      </c>
    </row>
    <row r="1439" spans="1:7" x14ac:dyDescent="0.25">
      <c r="A1439" s="15" t="s">
        <v>34</v>
      </c>
      <c r="B1439" s="16">
        <v>42677</v>
      </c>
      <c r="C1439" s="17">
        <v>-0.80969999999999998</v>
      </c>
      <c r="D1439" s="17">
        <v>-0.78839999999999999</v>
      </c>
      <c r="E1439" s="11">
        <f t="shared" si="66"/>
        <v>-0.79139999999999999</v>
      </c>
      <c r="F1439" s="11">
        <f t="shared" si="67"/>
        <v>-0.80379384684041499</v>
      </c>
      <c r="G1439" s="13">
        <f t="shared" si="68"/>
        <v>-5.9061531595849814E-3</v>
      </c>
    </row>
    <row r="1440" spans="1:7" x14ac:dyDescent="0.25">
      <c r="A1440" s="15" t="s">
        <v>34</v>
      </c>
      <c r="B1440" s="16">
        <v>42678</v>
      </c>
      <c r="C1440" s="17">
        <v>0</v>
      </c>
      <c r="D1440" s="17">
        <v>9.7000000000000003E-3</v>
      </c>
      <c r="E1440" s="11">
        <f t="shared" si="66"/>
        <v>6.7000000000000002E-3</v>
      </c>
      <c r="F1440" s="11">
        <f t="shared" si="67"/>
        <v>8.3046261277589864E-2</v>
      </c>
      <c r="G1440" s="13">
        <f t="shared" si="68"/>
        <v>-8.3046261277589864E-2</v>
      </c>
    </row>
    <row r="1441" spans="1:7" x14ac:dyDescent="0.25">
      <c r="A1441" s="15" t="s">
        <v>34</v>
      </c>
      <c r="B1441" s="16">
        <v>42681</v>
      </c>
      <c r="C1441" s="17">
        <v>2.4098000000000002</v>
      </c>
      <c r="D1441" s="17">
        <v>1.333</v>
      </c>
      <c r="E1441" s="11">
        <f t="shared" si="66"/>
        <v>1.33</v>
      </c>
      <c r="F1441" s="11">
        <f t="shared" si="67"/>
        <v>1.5534829422355598</v>
      </c>
      <c r="G1441" s="13">
        <f t="shared" si="68"/>
        <v>0.85631705776444034</v>
      </c>
    </row>
    <row r="1442" spans="1:7" x14ac:dyDescent="0.25">
      <c r="A1442" s="15" t="s">
        <v>34</v>
      </c>
      <c r="B1442" s="16">
        <v>42682</v>
      </c>
      <c r="C1442" s="17">
        <v>-0.26490000000000002</v>
      </c>
      <c r="D1442" s="17">
        <v>0.29980000000000001</v>
      </c>
      <c r="E1442" s="11">
        <f t="shared" si="66"/>
        <v>0.29680000000000001</v>
      </c>
      <c r="F1442" s="11">
        <f t="shared" si="67"/>
        <v>0.4054022509593756</v>
      </c>
      <c r="G1442" s="13">
        <f t="shared" si="68"/>
        <v>-0.67030225095937568</v>
      </c>
    </row>
    <row r="1443" spans="1:7" x14ac:dyDescent="0.25">
      <c r="A1443" s="15" t="s">
        <v>34</v>
      </c>
      <c r="B1443" s="16">
        <v>42683</v>
      </c>
      <c r="C1443" s="17">
        <v>-3.5091000000000001</v>
      </c>
      <c r="D1443" s="17">
        <v>-3.0203000000000002</v>
      </c>
      <c r="E1443" s="11">
        <f t="shared" si="66"/>
        <v>-3.0233000000000003</v>
      </c>
      <c r="F1443" s="11">
        <f t="shared" si="67"/>
        <v>-3.2838570435683629</v>
      </c>
      <c r="G1443" s="13">
        <f t="shared" si="68"/>
        <v>-0.22524295643163716</v>
      </c>
    </row>
    <row r="1444" spans="1:7" x14ac:dyDescent="0.25">
      <c r="A1444" s="15" t="s">
        <v>34</v>
      </c>
      <c r="B1444" s="16">
        <v>42684</v>
      </c>
      <c r="C1444" s="17">
        <v>1.9048</v>
      </c>
      <c r="D1444" s="17">
        <v>2.3098999999999998</v>
      </c>
      <c r="E1444" s="11">
        <f t="shared" si="66"/>
        <v>2.3068999999999997</v>
      </c>
      <c r="F1444" s="11">
        <f t="shared" si="67"/>
        <v>2.6390036810157613</v>
      </c>
      <c r="G1444" s="13">
        <f t="shared" si="68"/>
        <v>-0.73420368101576128</v>
      </c>
    </row>
    <row r="1445" spans="1:7" x14ac:dyDescent="0.25">
      <c r="A1445" s="15" t="s">
        <v>34</v>
      </c>
      <c r="B1445" s="16">
        <v>42685</v>
      </c>
      <c r="C1445" s="17">
        <v>-2.1798999999999999</v>
      </c>
      <c r="D1445" s="17">
        <v>-2.1472000000000002</v>
      </c>
      <c r="E1445" s="11">
        <f t="shared" si="66"/>
        <v>-2.1502000000000003</v>
      </c>
      <c r="F1445" s="11">
        <f t="shared" si="67"/>
        <v>-2.3136777447363497</v>
      </c>
      <c r="G1445" s="13">
        <f t="shared" si="68"/>
        <v>0.13377774473634974</v>
      </c>
    </row>
    <row r="1446" spans="1:7" x14ac:dyDescent="0.25">
      <c r="A1446" s="15" t="s">
        <v>34</v>
      </c>
      <c r="B1446" s="16">
        <v>42688</v>
      </c>
      <c r="C1446" s="17">
        <v>-0.55249999999999999</v>
      </c>
      <c r="D1446" s="17">
        <v>-0.19400000000000001</v>
      </c>
      <c r="E1446" s="11">
        <f t="shared" si="66"/>
        <v>-0.19700000000000001</v>
      </c>
      <c r="F1446" s="11">
        <f t="shared" si="67"/>
        <v>-0.14330298070165787</v>
      </c>
      <c r="G1446" s="13">
        <f t="shared" si="68"/>
        <v>-0.40919701929834212</v>
      </c>
    </row>
    <row r="1447" spans="1:7" x14ac:dyDescent="0.25">
      <c r="A1447" s="15" t="s">
        <v>34</v>
      </c>
      <c r="B1447" s="16">
        <v>42689</v>
      </c>
      <c r="C1447" s="17">
        <v>-0.27739999999999998</v>
      </c>
      <c r="D1447" s="17">
        <v>-0.10489999999999999</v>
      </c>
      <c r="E1447" s="11">
        <f t="shared" si="66"/>
        <v>-0.1079</v>
      </c>
      <c r="F1447" s="11">
        <f t="shared" si="67"/>
        <v>-4.4296022133415464E-2</v>
      </c>
      <c r="G1447" s="13">
        <f t="shared" si="68"/>
        <v>-0.23310397786658452</v>
      </c>
    </row>
    <row r="1448" spans="1:7" x14ac:dyDescent="0.25">
      <c r="A1448" s="15" t="s">
        <v>34</v>
      </c>
      <c r="B1448" s="16">
        <v>42690</v>
      </c>
      <c r="C1448" s="17">
        <v>0</v>
      </c>
      <c r="D1448" s="17">
        <v>0.34860000000000002</v>
      </c>
      <c r="E1448" s="11">
        <f t="shared" si="66"/>
        <v>0.34560000000000002</v>
      </c>
      <c r="F1448" s="11">
        <f t="shared" si="67"/>
        <v>0.45962828438395731</v>
      </c>
      <c r="G1448" s="13">
        <f t="shared" si="68"/>
        <v>-0.45962828438395731</v>
      </c>
    </row>
    <row r="1449" spans="1:7" x14ac:dyDescent="0.25">
      <c r="A1449" s="15" t="s">
        <v>34</v>
      </c>
      <c r="B1449" s="16">
        <v>42691</v>
      </c>
      <c r="C1449" s="17">
        <v>0.82989999999999997</v>
      </c>
      <c r="D1449" s="17">
        <v>0.36799999999999999</v>
      </c>
      <c r="E1449" s="11">
        <f t="shared" si="66"/>
        <v>0.36499999999999999</v>
      </c>
      <c r="F1449" s="11">
        <f t="shared" si="67"/>
        <v>0.48118535504864751</v>
      </c>
      <c r="G1449" s="13">
        <f t="shared" si="68"/>
        <v>0.34871464495135246</v>
      </c>
    </row>
    <row r="1450" spans="1:7" x14ac:dyDescent="0.25">
      <c r="A1450" s="15" t="s">
        <v>34</v>
      </c>
      <c r="B1450" s="16">
        <v>42692</v>
      </c>
      <c r="C1450" s="17">
        <v>-0.27589999999999998</v>
      </c>
      <c r="D1450" s="17">
        <v>0.15029999999999999</v>
      </c>
      <c r="E1450" s="11">
        <f t="shared" si="66"/>
        <v>0.14729999999999999</v>
      </c>
      <c r="F1450" s="11">
        <f t="shared" si="67"/>
        <v>0.23927946413611823</v>
      </c>
      <c r="G1450" s="13">
        <f t="shared" si="68"/>
        <v>-0.51517946413611826</v>
      </c>
    </row>
    <row r="1451" spans="1:7" x14ac:dyDescent="0.25">
      <c r="A1451" s="15" t="s">
        <v>34</v>
      </c>
      <c r="B1451" s="16">
        <v>42695</v>
      </c>
      <c r="C1451" s="17">
        <v>0</v>
      </c>
      <c r="D1451" s="17">
        <v>0.35809999999999997</v>
      </c>
      <c r="E1451" s="11">
        <f t="shared" si="66"/>
        <v>0.35509999999999997</v>
      </c>
      <c r="F1451" s="11">
        <f t="shared" si="67"/>
        <v>0.47018458187439838</v>
      </c>
      <c r="G1451" s="13">
        <f t="shared" si="68"/>
        <v>-0.47018458187439838</v>
      </c>
    </row>
    <row r="1452" spans="1:7" x14ac:dyDescent="0.25">
      <c r="A1452" s="15" t="s">
        <v>34</v>
      </c>
      <c r="B1452" s="16">
        <v>42696</v>
      </c>
      <c r="C1452" s="17">
        <v>1.6438999999999999</v>
      </c>
      <c r="D1452" s="17">
        <v>1.0155000000000001</v>
      </c>
      <c r="E1452" s="11">
        <f t="shared" si="66"/>
        <v>1.0125000000000002</v>
      </c>
      <c r="F1452" s="11">
        <f t="shared" si="67"/>
        <v>1.200680368212923</v>
      </c>
      <c r="G1452" s="13">
        <f t="shared" si="68"/>
        <v>0.44321963178707691</v>
      </c>
    </row>
    <row r="1453" spans="1:7" x14ac:dyDescent="0.25">
      <c r="A1453" s="15" t="s">
        <v>34</v>
      </c>
      <c r="B1453" s="16">
        <v>42697</v>
      </c>
      <c r="C1453" s="17">
        <v>0.81189999999999996</v>
      </c>
      <c r="D1453" s="17">
        <v>0.48970000000000002</v>
      </c>
      <c r="E1453" s="11">
        <f t="shared" si="66"/>
        <v>0.48670000000000002</v>
      </c>
      <c r="F1453" s="11">
        <f t="shared" si="67"/>
        <v>0.61641708184724575</v>
      </c>
      <c r="G1453" s="13">
        <f t="shared" si="68"/>
        <v>0.1954829181527542</v>
      </c>
    </row>
    <row r="1454" spans="1:7" x14ac:dyDescent="0.25">
      <c r="A1454" s="15" t="s">
        <v>34</v>
      </c>
      <c r="B1454" s="16">
        <v>42698</v>
      </c>
      <c r="C1454" s="17">
        <v>-1.3569</v>
      </c>
      <c r="D1454" s="17">
        <v>-0.28499999999999998</v>
      </c>
      <c r="E1454" s="11">
        <f t="shared" si="66"/>
        <v>-0.28799999999999998</v>
      </c>
      <c r="F1454" s="11">
        <f t="shared" si="67"/>
        <v>-0.2444211987679884</v>
      </c>
      <c r="G1454" s="13">
        <f t="shared" si="68"/>
        <v>-1.1124788012320117</v>
      </c>
    </row>
    <row r="1455" spans="1:7" x14ac:dyDescent="0.25">
      <c r="A1455" s="15" t="s">
        <v>34</v>
      </c>
      <c r="B1455" s="16">
        <v>42699</v>
      </c>
      <c r="C1455" s="17">
        <v>-0.54790000000000005</v>
      </c>
      <c r="D1455" s="17">
        <v>7.5999999999999998E-2</v>
      </c>
      <c r="E1455" s="11">
        <f t="shared" si="66"/>
        <v>7.2999999999999995E-2</v>
      </c>
      <c r="F1455" s="11">
        <f t="shared" si="67"/>
        <v>0.15671810586877358</v>
      </c>
      <c r="G1455" s="13">
        <f t="shared" si="68"/>
        <v>-0.7046181058687736</v>
      </c>
    </row>
    <row r="1456" spans="1:7" x14ac:dyDescent="0.25">
      <c r="A1456" s="15" t="s">
        <v>34</v>
      </c>
      <c r="B1456" s="16">
        <v>42702</v>
      </c>
      <c r="C1456" s="17">
        <v>1.0929</v>
      </c>
      <c r="D1456" s="17">
        <v>0.68730000000000002</v>
      </c>
      <c r="E1456" s="11">
        <f t="shared" si="66"/>
        <v>0.68430000000000002</v>
      </c>
      <c r="F1456" s="11">
        <f t="shared" si="67"/>
        <v>0.83598806964842076</v>
      </c>
      <c r="G1456" s="13">
        <f t="shared" si="68"/>
        <v>0.25691193035157922</v>
      </c>
    </row>
    <row r="1457" spans="1:7" x14ac:dyDescent="0.25">
      <c r="A1457" s="15" t="s">
        <v>34</v>
      </c>
      <c r="B1457" s="16">
        <v>42703</v>
      </c>
      <c r="C1457" s="17">
        <v>-1.0929</v>
      </c>
      <c r="D1457" s="17">
        <v>-0.32429999999999998</v>
      </c>
      <c r="E1457" s="11">
        <f t="shared" si="66"/>
        <v>-0.32729999999999998</v>
      </c>
      <c r="F1457" s="11">
        <f t="shared" si="67"/>
        <v>-0.28809093470212899</v>
      </c>
      <c r="G1457" s="13">
        <f t="shared" si="68"/>
        <v>-0.804809065297871</v>
      </c>
    </row>
    <row r="1458" spans="1:7" x14ac:dyDescent="0.25">
      <c r="A1458" s="15" t="s">
        <v>34</v>
      </c>
      <c r="B1458" s="16">
        <v>42704</v>
      </c>
      <c r="C1458" s="17">
        <v>0.54790000000000005</v>
      </c>
      <c r="D1458" s="17">
        <v>0.52439999999999998</v>
      </c>
      <c r="E1458" s="11">
        <f t="shared" si="66"/>
        <v>0.52139999999999997</v>
      </c>
      <c r="F1458" s="11">
        <f t="shared" si="67"/>
        <v>0.65497534741759367</v>
      </c>
      <c r="G1458" s="13">
        <f t="shared" si="68"/>
        <v>-0.10707534741759361</v>
      </c>
    </row>
    <row r="1459" spans="1:7" x14ac:dyDescent="0.25">
      <c r="A1459" s="15" t="s">
        <v>34</v>
      </c>
      <c r="B1459" s="16">
        <v>42705</v>
      </c>
      <c r="C1459" s="17">
        <v>0</v>
      </c>
      <c r="D1459" s="17">
        <v>0.24660000000000001</v>
      </c>
      <c r="E1459" s="11">
        <f t="shared" si="66"/>
        <v>0.24360000000000001</v>
      </c>
      <c r="F1459" s="11">
        <f t="shared" si="67"/>
        <v>0.34628698501290545</v>
      </c>
      <c r="G1459" s="13">
        <f t="shared" si="68"/>
        <v>-0.34628698501290545</v>
      </c>
    </row>
    <row r="1460" spans="1:7" x14ac:dyDescent="0.25">
      <c r="A1460" s="15" t="s">
        <v>34</v>
      </c>
      <c r="B1460" s="16">
        <v>42706</v>
      </c>
      <c r="C1460" s="17">
        <v>-2.7703000000000002</v>
      </c>
      <c r="D1460" s="17">
        <v>-0.80249999999999999</v>
      </c>
      <c r="E1460" s="11">
        <f t="shared" si="66"/>
        <v>-0.80549999999999999</v>
      </c>
      <c r="F1460" s="11">
        <f t="shared" si="67"/>
        <v>-0.81946161469464862</v>
      </c>
      <c r="G1460" s="13">
        <f t="shared" si="68"/>
        <v>-1.9508383853053517</v>
      </c>
    </row>
    <row r="1461" spans="1:7" x14ac:dyDescent="0.25">
      <c r="A1461" s="15" t="s">
        <v>34</v>
      </c>
      <c r="B1461" s="16">
        <v>42709</v>
      </c>
      <c r="C1461" s="17">
        <v>0.56020000000000003</v>
      </c>
      <c r="D1461" s="17">
        <v>-0.31419999999999998</v>
      </c>
      <c r="E1461" s="11">
        <f t="shared" si="66"/>
        <v>-0.31719999999999998</v>
      </c>
      <c r="F1461" s="11">
        <f t="shared" si="67"/>
        <v>-0.27686792368597579</v>
      </c>
      <c r="G1461" s="13">
        <f t="shared" si="68"/>
        <v>0.83706792368597582</v>
      </c>
    </row>
    <row r="1462" spans="1:7" x14ac:dyDescent="0.25">
      <c r="A1462" s="15" t="s">
        <v>34</v>
      </c>
      <c r="B1462" s="16">
        <v>42710</v>
      </c>
      <c r="C1462" s="17">
        <v>1.6620999999999999</v>
      </c>
      <c r="D1462" s="17">
        <v>0.97889999999999999</v>
      </c>
      <c r="E1462" s="11">
        <f t="shared" si="66"/>
        <v>0.97589999999999999</v>
      </c>
      <c r="F1462" s="11">
        <f t="shared" si="67"/>
        <v>1.1600108431444867</v>
      </c>
      <c r="G1462" s="13">
        <f t="shared" si="68"/>
        <v>0.50208915685551325</v>
      </c>
    </row>
    <row r="1463" spans="1:7" x14ac:dyDescent="0.25">
      <c r="A1463" s="15" t="s">
        <v>34</v>
      </c>
      <c r="B1463" s="16">
        <v>42711</v>
      </c>
      <c r="C1463" s="17">
        <v>-0.27510000000000001</v>
      </c>
      <c r="D1463" s="17">
        <v>0.14169999999999999</v>
      </c>
      <c r="E1463" s="11">
        <f t="shared" si="66"/>
        <v>0.13869999999999999</v>
      </c>
      <c r="F1463" s="11">
        <f t="shared" si="67"/>
        <v>0.22972323693424523</v>
      </c>
      <c r="G1463" s="13">
        <f t="shared" si="68"/>
        <v>-0.50482323693424525</v>
      </c>
    </row>
    <row r="1464" spans="1:7" x14ac:dyDescent="0.25">
      <c r="A1464" s="15" t="s">
        <v>34</v>
      </c>
      <c r="B1464" s="16">
        <v>42712</v>
      </c>
      <c r="C1464" s="17">
        <v>2.1798999999999999</v>
      </c>
      <c r="D1464" s="17">
        <v>1.2014</v>
      </c>
      <c r="E1464" s="11">
        <f t="shared" si="66"/>
        <v>1.1984000000000001</v>
      </c>
      <c r="F1464" s="11">
        <f t="shared" si="67"/>
        <v>1.4072504422627126</v>
      </c>
      <c r="G1464" s="13">
        <f t="shared" si="68"/>
        <v>0.77264955773728738</v>
      </c>
    </row>
    <row r="1465" spans="1:7" x14ac:dyDescent="0.25">
      <c r="A1465" s="15" t="s">
        <v>34</v>
      </c>
      <c r="B1465" s="16">
        <v>42713</v>
      </c>
      <c r="C1465" s="17">
        <v>0.26919999999999999</v>
      </c>
      <c r="D1465" s="17">
        <v>0.1792</v>
      </c>
      <c r="E1465" s="11">
        <f t="shared" si="66"/>
        <v>0.1762</v>
      </c>
      <c r="F1465" s="11">
        <f t="shared" si="67"/>
        <v>0.27139283229124961</v>
      </c>
      <c r="G1465" s="13">
        <f t="shared" si="68"/>
        <v>-2.1928322912496134E-3</v>
      </c>
    </row>
    <row r="1466" spans="1:7" x14ac:dyDescent="0.25">
      <c r="A1466" s="15" t="s">
        <v>34</v>
      </c>
      <c r="B1466" s="16">
        <v>42716</v>
      </c>
      <c r="C1466" s="17">
        <v>-0.53910000000000002</v>
      </c>
      <c r="D1466" s="17">
        <v>-0.45610000000000001</v>
      </c>
      <c r="E1466" s="11">
        <f t="shared" si="66"/>
        <v>-0.45910000000000001</v>
      </c>
      <c r="F1466" s="11">
        <f t="shared" si="67"/>
        <v>-0.43454567251688037</v>
      </c>
      <c r="G1466" s="13">
        <f t="shared" si="68"/>
        <v>-0.10455432748311966</v>
      </c>
    </row>
    <row r="1467" spans="1:7" x14ac:dyDescent="0.25">
      <c r="A1467" s="15" t="s">
        <v>34</v>
      </c>
      <c r="B1467" s="16">
        <v>42717</v>
      </c>
      <c r="C1467" s="17">
        <v>0.53910000000000002</v>
      </c>
      <c r="D1467" s="17">
        <v>0.34379999999999999</v>
      </c>
      <c r="E1467" s="11">
        <f t="shared" si="66"/>
        <v>0.34079999999999999</v>
      </c>
      <c r="F1467" s="11">
        <f t="shared" si="67"/>
        <v>0.45429457617826069</v>
      </c>
      <c r="G1467" s="13">
        <f t="shared" si="68"/>
        <v>8.4805423821739334E-2</v>
      </c>
    </row>
    <row r="1468" spans="1:7" x14ac:dyDescent="0.25">
      <c r="A1468" s="15" t="s">
        <v>34</v>
      </c>
      <c r="B1468" s="16">
        <v>42718</v>
      </c>
      <c r="C1468" s="17">
        <v>0.80320000000000003</v>
      </c>
      <c r="D1468" s="17">
        <v>-0.14530000000000001</v>
      </c>
      <c r="E1468" s="11">
        <f t="shared" si="66"/>
        <v>-0.14830000000000002</v>
      </c>
      <c r="F1468" s="11">
        <f t="shared" si="67"/>
        <v>-8.9188066198028174E-2</v>
      </c>
      <c r="G1468" s="13">
        <f t="shared" si="68"/>
        <v>0.89238806619802824</v>
      </c>
    </row>
    <row r="1469" spans="1:7" x14ac:dyDescent="0.25">
      <c r="A1469" s="15" t="s">
        <v>34</v>
      </c>
      <c r="B1469" s="16">
        <v>42719</v>
      </c>
      <c r="C1469" s="17">
        <v>-0.26700000000000002</v>
      </c>
      <c r="D1469" s="17">
        <v>-8.72E-2</v>
      </c>
      <c r="E1469" s="11">
        <f t="shared" si="66"/>
        <v>-9.0200000000000002E-2</v>
      </c>
      <c r="F1469" s="11">
        <f t="shared" si="67"/>
        <v>-2.4627973124909414E-2</v>
      </c>
      <c r="G1469" s="13">
        <f t="shared" si="68"/>
        <v>-0.2423720268750906</v>
      </c>
    </row>
    <row r="1470" spans="1:7" x14ac:dyDescent="0.25">
      <c r="A1470" s="15" t="s">
        <v>34</v>
      </c>
      <c r="B1470" s="16">
        <v>42720</v>
      </c>
      <c r="C1470" s="17">
        <v>-1.0752999999999999</v>
      </c>
      <c r="D1470" s="17">
        <v>-0.35930000000000001</v>
      </c>
      <c r="E1470" s="11">
        <f t="shared" si="66"/>
        <v>-0.36230000000000001</v>
      </c>
      <c r="F1470" s="11">
        <f t="shared" si="67"/>
        <v>-0.32698255703533308</v>
      </c>
      <c r="G1470" s="13">
        <f t="shared" si="68"/>
        <v>-0.74831744296466685</v>
      </c>
    </row>
    <row r="1471" spans="1:7" x14ac:dyDescent="0.25">
      <c r="A1471" s="15" t="s">
        <v>34</v>
      </c>
      <c r="B1471" s="16">
        <v>42723</v>
      </c>
      <c r="C1471" s="17">
        <v>-1.3606</v>
      </c>
      <c r="D1471" s="17">
        <v>-0.94220000000000004</v>
      </c>
      <c r="E1471" s="11">
        <f t="shared" si="66"/>
        <v>-0.94520000000000004</v>
      </c>
      <c r="F1471" s="11">
        <f t="shared" si="67"/>
        <v>-0.97469474726460903</v>
      </c>
      <c r="G1471" s="13">
        <f t="shared" si="68"/>
        <v>-0.385905252735391</v>
      </c>
    </row>
    <row r="1472" spans="1:7" x14ac:dyDescent="0.25">
      <c r="A1472" s="15" t="s">
        <v>34</v>
      </c>
      <c r="B1472" s="16">
        <v>42724</v>
      </c>
      <c r="C1472" s="17">
        <v>0</v>
      </c>
      <c r="D1472" s="17">
        <v>3.3399999999999999E-2</v>
      </c>
      <c r="E1472" s="11">
        <f t="shared" si="66"/>
        <v>3.04E-2</v>
      </c>
      <c r="F1472" s="11">
        <f t="shared" si="67"/>
        <v>0.10938144554321663</v>
      </c>
      <c r="G1472" s="13">
        <f t="shared" si="68"/>
        <v>-0.10938144554321663</v>
      </c>
    </row>
    <row r="1473" spans="1:7" x14ac:dyDescent="0.25">
      <c r="A1473" s="15" t="s">
        <v>34</v>
      </c>
      <c r="B1473" s="16">
        <v>42725</v>
      </c>
      <c r="C1473" s="17">
        <v>-1.3793</v>
      </c>
      <c r="D1473" s="17">
        <v>-0.41360000000000002</v>
      </c>
      <c r="E1473" s="11">
        <f t="shared" si="66"/>
        <v>-0.41660000000000003</v>
      </c>
      <c r="F1473" s="11">
        <f t="shared" si="67"/>
        <v>-0.38732013111227542</v>
      </c>
      <c r="G1473" s="13">
        <f t="shared" si="68"/>
        <v>-0.9919798688877246</v>
      </c>
    </row>
    <row r="1474" spans="1:7" x14ac:dyDescent="0.25">
      <c r="A1474" s="15" t="s">
        <v>34</v>
      </c>
      <c r="B1474" s="16">
        <v>42726</v>
      </c>
      <c r="C1474" s="17">
        <v>-0.55710000000000004</v>
      </c>
      <c r="D1474" s="17">
        <v>-0.93340000000000001</v>
      </c>
      <c r="E1474" s="11">
        <f t="shared" si="66"/>
        <v>-0.93640000000000001</v>
      </c>
      <c r="F1474" s="11">
        <f t="shared" si="67"/>
        <v>-0.96491628222083192</v>
      </c>
      <c r="G1474" s="13">
        <f t="shared" si="68"/>
        <v>0.40781628222083188</v>
      </c>
    </row>
    <row r="1475" spans="1:7" x14ac:dyDescent="0.25">
      <c r="A1475" s="15" t="s">
        <v>34</v>
      </c>
      <c r="B1475" s="16">
        <v>42727</v>
      </c>
      <c r="C1475" s="17">
        <v>-0.2797</v>
      </c>
      <c r="D1475" s="17">
        <v>-0.44080000000000003</v>
      </c>
      <c r="E1475" s="11">
        <f t="shared" ref="E1475:E1538" si="69">D1475-$K$1</f>
        <v>-0.44380000000000003</v>
      </c>
      <c r="F1475" s="11">
        <f t="shared" ref="F1475:F1538" si="70">K$2+K$3*E1475</f>
        <v>-0.4175444776112226</v>
      </c>
      <c r="G1475" s="13">
        <f t="shared" ref="G1475:G1538" si="71">C1475-F1475</f>
        <v>0.13784447761122259</v>
      </c>
    </row>
    <row r="1476" spans="1:7" x14ac:dyDescent="0.25">
      <c r="A1476" s="15" t="s">
        <v>34</v>
      </c>
      <c r="B1476" s="16">
        <v>42730</v>
      </c>
      <c r="C1476" s="17">
        <v>0.55869999999999997</v>
      </c>
      <c r="D1476" s="17">
        <v>0.3508</v>
      </c>
      <c r="E1476" s="11">
        <f t="shared" si="69"/>
        <v>0.3478</v>
      </c>
      <c r="F1476" s="11">
        <f t="shared" si="70"/>
        <v>0.46207290064490153</v>
      </c>
      <c r="G1476" s="13">
        <f t="shared" si="71"/>
        <v>9.6627099355098445E-2</v>
      </c>
    </row>
    <row r="1477" spans="1:7" x14ac:dyDescent="0.25">
      <c r="A1477" s="15" t="s">
        <v>34</v>
      </c>
      <c r="B1477" s="16">
        <v>42731</v>
      </c>
      <c r="C1477" s="17">
        <v>0.2782</v>
      </c>
      <c r="D1477" s="17">
        <v>-1.3899999999999999E-2</v>
      </c>
      <c r="E1477" s="11">
        <f t="shared" si="69"/>
        <v>-1.6899999999999998E-2</v>
      </c>
      <c r="F1477" s="11">
        <f t="shared" si="70"/>
        <v>5.6822195932915126E-2</v>
      </c>
      <c r="G1477" s="13">
        <f t="shared" si="71"/>
        <v>0.22137780406708488</v>
      </c>
    </row>
    <row r="1478" spans="1:7" x14ac:dyDescent="0.25">
      <c r="A1478" s="15" t="s">
        <v>34</v>
      </c>
      <c r="B1478" s="16">
        <v>42732</v>
      </c>
      <c r="C1478" s="17">
        <v>1.105</v>
      </c>
      <c r="D1478" s="17">
        <v>1.0063</v>
      </c>
      <c r="E1478" s="11">
        <f t="shared" si="69"/>
        <v>1.0033000000000001</v>
      </c>
      <c r="F1478" s="11">
        <f t="shared" si="70"/>
        <v>1.1904574274853379</v>
      </c>
      <c r="G1478" s="13">
        <f t="shared" si="71"/>
        <v>-8.5457427485337911E-2</v>
      </c>
    </row>
    <row r="1479" spans="1:7" x14ac:dyDescent="0.25">
      <c r="A1479" s="15" t="s">
        <v>34</v>
      </c>
      <c r="B1479" s="16">
        <v>42733</v>
      </c>
      <c r="C1479" s="17">
        <v>-1.105</v>
      </c>
      <c r="D1479" s="17">
        <v>-0.52639999999999998</v>
      </c>
      <c r="E1479" s="11">
        <f t="shared" si="69"/>
        <v>-0.52939999999999998</v>
      </c>
      <c r="F1479" s="11">
        <f t="shared" si="70"/>
        <v>-0.5126622739461445</v>
      </c>
      <c r="G1479" s="13">
        <f t="shared" si="71"/>
        <v>-0.59233772605385548</v>
      </c>
    </row>
    <row r="1480" spans="1:7" x14ac:dyDescent="0.25">
      <c r="A1480" s="15" t="s">
        <v>34</v>
      </c>
      <c r="B1480" s="16">
        <v>42734</v>
      </c>
      <c r="C1480" s="17">
        <v>0.82989999999999997</v>
      </c>
      <c r="D1480" s="17">
        <v>1.091</v>
      </c>
      <c r="E1480" s="11">
        <f t="shared" si="69"/>
        <v>1.0880000000000001</v>
      </c>
      <c r="F1480" s="11">
        <f t="shared" si="70"/>
        <v>1.2845751535316918</v>
      </c>
      <c r="G1480" s="13">
        <f t="shared" si="71"/>
        <v>-0.45467515353169186</v>
      </c>
    </row>
    <row r="1481" spans="1:7" x14ac:dyDescent="0.25">
      <c r="A1481" s="15" t="s">
        <v>34</v>
      </c>
      <c r="B1481" s="16">
        <v>42738</v>
      </c>
      <c r="C1481" s="17">
        <v>0.82299999999999995</v>
      </c>
      <c r="D1481" s="17">
        <v>0.2092</v>
      </c>
      <c r="E1481" s="11">
        <f t="shared" si="69"/>
        <v>0.20619999999999999</v>
      </c>
      <c r="F1481" s="11">
        <f t="shared" si="70"/>
        <v>0.30472850857685307</v>
      </c>
      <c r="G1481" s="13">
        <f t="shared" si="71"/>
        <v>0.51827149142314688</v>
      </c>
    </row>
    <row r="1482" spans="1:7" x14ac:dyDescent="0.25">
      <c r="A1482" s="15" t="s">
        <v>34</v>
      </c>
      <c r="B1482" s="16">
        <v>42739</v>
      </c>
      <c r="C1482" s="17">
        <v>0</v>
      </c>
      <c r="D1482" s="17">
        <v>0.1517</v>
      </c>
      <c r="E1482" s="11">
        <f t="shared" si="69"/>
        <v>0.1487</v>
      </c>
      <c r="F1482" s="11">
        <f t="shared" si="70"/>
        <v>0.24083512902944637</v>
      </c>
      <c r="G1482" s="13">
        <f t="shared" si="71"/>
        <v>-0.24083512902944637</v>
      </c>
    </row>
    <row r="1483" spans="1:7" x14ac:dyDescent="0.25">
      <c r="A1483" s="15" t="s">
        <v>34</v>
      </c>
      <c r="B1483" s="16">
        <v>42740</v>
      </c>
      <c r="C1483" s="17">
        <v>0.27289999999999998</v>
      </c>
      <c r="D1483" s="17">
        <v>0.76349999999999996</v>
      </c>
      <c r="E1483" s="11">
        <f t="shared" si="69"/>
        <v>0.76049999999999995</v>
      </c>
      <c r="F1483" s="11">
        <f t="shared" si="70"/>
        <v>0.92066068741385354</v>
      </c>
      <c r="G1483" s="13">
        <f t="shared" si="71"/>
        <v>-0.64776068741385351</v>
      </c>
    </row>
    <row r="1484" spans="1:7" x14ac:dyDescent="0.25">
      <c r="A1484" s="15" t="s">
        <v>34</v>
      </c>
      <c r="B1484" s="16">
        <v>42741</v>
      </c>
      <c r="C1484" s="17">
        <v>0.27210000000000001</v>
      </c>
      <c r="D1484" s="17">
        <v>0.15029999999999999</v>
      </c>
      <c r="E1484" s="11">
        <f t="shared" si="69"/>
        <v>0.14729999999999999</v>
      </c>
      <c r="F1484" s="11">
        <f t="shared" si="70"/>
        <v>0.23927946413611823</v>
      </c>
      <c r="G1484" s="13">
        <f t="shared" si="71"/>
        <v>3.2820535863881783E-2</v>
      </c>
    </row>
    <row r="1485" spans="1:7" x14ac:dyDescent="0.25">
      <c r="A1485" s="15" t="s">
        <v>34</v>
      </c>
      <c r="B1485" s="16">
        <v>42744</v>
      </c>
      <c r="C1485" s="17">
        <v>0</v>
      </c>
      <c r="D1485" s="17">
        <v>-0.31850000000000001</v>
      </c>
      <c r="E1485" s="11">
        <f t="shared" si="69"/>
        <v>-0.32150000000000001</v>
      </c>
      <c r="F1485" s="11">
        <f t="shared" si="70"/>
        <v>-0.28164603728691234</v>
      </c>
      <c r="G1485" s="13">
        <f t="shared" si="71"/>
        <v>0.28164603728691234</v>
      </c>
    </row>
    <row r="1486" spans="1:7" x14ac:dyDescent="0.25">
      <c r="A1486" s="15" t="s">
        <v>34</v>
      </c>
      <c r="B1486" s="16">
        <v>42745</v>
      </c>
      <c r="C1486" s="17">
        <v>0</v>
      </c>
      <c r="D1486" s="17">
        <v>7.7299999999999994E-2</v>
      </c>
      <c r="E1486" s="11">
        <f t="shared" si="69"/>
        <v>7.4299999999999991E-2</v>
      </c>
      <c r="F1486" s="11">
        <f t="shared" si="70"/>
        <v>0.15816265184114972</v>
      </c>
      <c r="G1486" s="13">
        <f t="shared" si="71"/>
        <v>-0.15816265184114972</v>
      </c>
    </row>
    <row r="1487" spans="1:7" x14ac:dyDescent="0.25">
      <c r="A1487" s="15" t="s">
        <v>34</v>
      </c>
      <c r="B1487" s="16">
        <v>42746</v>
      </c>
      <c r="C1487" s="17">
        <v>-1.0929</v>
      </c>
      <c r="D1487" s="17">
        <v>-4.1700000000000001E-2</v>
      </c>
      <c r="E1487" s="11">
        <f t="shared" si="69"/>
        <v>-4.4700000000000004E-2</v>
      </c>
      <c r="F1487" s="11">
        <f t="shared" si="70"/>
        <v>2.5931135908255881E-2</v>
      </c>
      <c r="G1487" s="13">
        <f t="shared" si="71"/>
        <v>-1.1188311359082559</v>
      </c>
    </row>
    <row r="1488" spans="1:7" x14ac:dyDescent="0.25">
      <c r="A1488" s="15" t="s">
        <v>34</v>
      </c>
      <c r="B1488" s="16">
        <v>42747</v>
      </c>
      <c r="C1488" s="17">
        <v>1.3643000000000001</v>
      </c>
      <c r="D1488" s="17">
        <v>0.68710000000000004</v>
      </c>
      <c r="E1488" s="11">
        <f t="shared" si="69"/>
        <v>0.68410000000000004</v>
      </c>
      <c r="F1488" s="11">
        <f t="shared" si="70"/>
        <v>0.83576583180651676</v>
      </c>
      <c r="G1488" s="13">
        <f t="shared" si="71"/>
        <v>0.52853416819348331</v>
      </c>
    </row>
    <row r="1489" spans="1:7" x14ac:dyDescent="0.25">
      <c r="A1489" s="15" t="s">
        <v>34</v>
      </c>
      <c r="B1489" s="16">
        <v>42748</v>
      </c>
      <c r="C1489" s="17">
        <v>-1.6394</v>
      </c>
      <c r="D1489" s="17">
        <v>-0.3337</v>
      </c>
      <c r="E1489" s="11">
        <f t="shared" si="69"/>
        <v>-0.3367</v>
      </c>
      <c r="F1489" s="11">
        <f t="shared" si="70"/>
        <v>-0.29853611327161811</v>
      </c>
      <c r="G1489" s="13">
        <f t="shared" si="71"/>
        <v>-1.340863886728382</v>
      </c>
    </row>
    <row r="1490" spans="1:7" x14ac:dyDescent="0.25">
      <c r="A1490" s="15" t="s">
        <v>34</v>
      </c>
      <c r="B1490" s="16">
        <v>42751</v>
      </c>
      <c r="C1490" s="17">
        <v>-1.1080000000000001</v>
      </c>
      <c r="D1490" s="17">
        <v>-0.92659999999999998</v>
      </c>
      <c r="E1490" s="11">
        <f t="shared" si="69"/>
        <v>-0.92959999999999998</v>
      </c>
      <c r="F1490" s="11">
        <f t="shared" si="70"/>
        <v>-0.95736019559609509</v>
      </c>
      <c r="G1490" s="13">
        <f t="shared" si="71"/>
        <v>-0.15063980440390501</v>
      </c>
    </row>
    <row r="1491" spans="1:7" x14ac:dyDescent="0.25">
      <c r="A1491" s="15" t="s">
        <v>34</v>
      </c>
      <c r="B1491" s="16">
        <v>42752</v>
      </c>
      <c r="C1491" s="17">
        <v>0.83220000000000005</v>
      </c>
      <c r="D1491" s="17">
        <v>0.66710000000000003</v>
      </c>
      <c r="E1491" s="11">
        <f t="shared" si="69"/>
        <v>0.66410000000000002</v>
      </c>
      <c r="F1491" s="11">
        <f t="shared" si="70"/>
        <v>0.81354204761611437</v>
      </c>
      <c r="G1491" s="13">
        <f t="shared" si="71"/>
        <v>1.8657952383885679E-2</v>
      </c>
    </row>
    <row r="1492" spans="1:7" x14ac:dyDescent="0.25">
      <c r="A1492" s="15" t="s">
        <v>34</v>
      </c>
      <c r="B1492" s="16">
        <v>42753</v>
      </c>
      <c r="C1492" s="17">
        <v>0</v>
      </c>
      <c r="D1492" s="17">
        <v>-0.13439999999999999</v>
      </c>
      <c r="E1492" s="11">
        <f t="shared" si="69"/>
        <v>-0.13739999999999999</v>
      </c>
      <c r="F1492" s="11">
        <f t="shared" si="70"/>
        <v>-7.7076103814258903E-2</v>
      </c>
      <c r="G1492" s="13">
        <f t="shared" si="71"/>
        <v>7.7076103814258903E-2</v>
      </c>
    </row>
    <row r="1493" spans="1:7" x14ac:dyDescent="0.25">
      <c r="A1493" s="15" t="s">
        <v>34</v>
      </c>
      <c r="B1493" s="16">
        <v>42754</v>
      </c>
      <c r="C1493" s="17">
        <v>-0.27660000000000001</v>
      </c>
      <c r="D1493" s="17">
        <v>-0.25559999999999999</v>
      </c>
      <c r="E1493" s="11">
        <f t="shared" si="69"/>
        <v>-0.2586</v>
      </c>
      <c r="F1493" s="11">
        <f t="shared" si="70"/>
        <v>-0.21175223600809701</v>
      </c>
      <c r="G1493" s="13">
        <f t="shared" si="71"/>
        <v>-6.4847763991903007E-2</v>
      </c>
    </row>
    <row r="1494" spans="1:7" x14ac:dyDescent="0.25">
      <c r="A1494" s="15" t="s">
        <v>34</v>
      </c>
      <c r="B1494" s="16">
        <v>42755</v>
      </c>
      <c r="C1494" s="17">
        <v>0.27660000000000001</v>
      </c>
      <c r="D1494" s="17">
        <v>0.1431</v>
      </c>
      <c r="E1494" s="11">
        <f t="shared" si="69"/>
        <v>0.1401</v>
      </c>
      <c r="F1494" s="11">
        <f t="shared" si="70"/>
        <v>0.23127890182757338</v>
      </c>
      <c r="G1494" s="13">
        <f t="shared" si="71"/>
        <v>4.5321098172426633E-2</v>
      </c>
    </row>
    <row r="1495" spans="1:7" x14ac:dyDescent="0.25">
      <c r="A1495" s="15" t="s">
        <v>34</v>
      </c>
      <c r="B1495" s="16">
        <v>42758</v>
      </c>
      <c r="C1495" s="17">
        <v>2.1859000000000002</v>
      </c>
      <c r="D1495" s="17">
        <v>0.98729999999999996</v>
      </c>
      <c r="E1495" s="11">
        <f t="shared" si="69"/>
        <v>0.98429999999999995</v>
      </c>
      <c r="F1495" s="11">
        <f t="shared" si="70"/>
        <v>1.1693448325044555</v>
      </c>
      <c r="G1495" s="13">
        <f t="shared" si="71"/>
        <v>1.0165551674955446</v>
      </c>
    </row>
    <row r="1496" spans="1:7" x14ac:dyDescent="0.25">
      <c r="A1496" s="15" t="s">
        <v>34</v>
      </c>
      <c r="B1496" s="16">
        <v>42759</v>
      </c>
      <c r="C1496" s="17">
        <v>0.26989999999999997</v>
      </c>
      <c r="D1496" s="17">
        <v>0.25330000000000003</v>
      </c>
      <c r="E1496" s="11">
        <f t="shared" si="69"/>
        <v>0.25030000000000002</v>
      </c>
      <c r="F1496" s="11">
        <f t="shared" si="70"/>
        <v>0.35373195271669022</v>
      </c>
      <c r="G1496" s="13">
        <f t="shared" si="71"/>
        <v>-8.383195271669025E-2</v>
      </c>
    </row>
    <row r="1497" spans="1:7" x14ac:dyDescent="0.25">
      <c r="A1497" s="15" t="s">
        <v>34</v>
      </c>
      <c r="B1497" s="16">
        <v>42768</v>
      </c>
      <c r="C1497" s="17">
        <v>-0.54049999999999998</v>
      </c>
      <c r="D1497" s="17">
        <v>-0.2011</v>
      </c>
      <c r="E1497" s="11">
        <f t="shared" si="69"/>
        <v>-0.2041</v>
      </c>
      <c r="F1497" s="11">
        <f t="shared" si="70"/>
        <v>-0.15119242408925065</v>
      </c>
      <c r="G1497" s="13">
        <f t="shared" si="71"/>
        <v>-0.38930757591074933</v>
      </c>
    </row>
    <row r="1498" spans="1:7" x14ac:dyDescent="0.25">
      <c r="A1498" s="15" t="s">
        <v>34</v>
      </c>
      <c r="B1498" s="16">
        <v>42769</v>
      </c>
      <c r="C1498" s="17">
        <v>0</v>
      </c>
      <c r="D1498" s="17">
        <v>0.28160000000000002</v>
      </c>
      <c r="E1498" s="11">
        <f t="shared" si="69"/>
        <v>0.27860000000000001</v>
      </c>
      <c r="F1498" s="11">
        <f t="shared" si="70"/>
        <v>0.38517860734610948</v>
      </c>
      <c r="G1498" s="13">
        <f t="shared" si="71"/>
        <v>-0.38517860734610948</v>
      </c>
    </row>
    <row r="1499" spans="1:7" x14ac:dyDescent="0.25">
      <c r="A1499" s="15" t="s">
        <v>34</v>
      </c>
      <c r="B1499" s="16">
        <v>42772</v>
      </c>
      <c r="C1499" s="17">
        <v>0</v>
      </c>
      <c r="D1499" s="17">
        <v>0.86819999999999997</v>
      </c>
      <c r="E1499" s="11">
        <f t="shared" si="69"/>
        <v>0.86519999999999997</v>
      </c>
      <c r="F1499" s="11">
        <f t="shared" si="70"/>
        <v>1.0370021976506099</v>
      </c>
      <c r="G1499" s="13">
        <f t="shared" si="71"/>
        <v>-1.0370021976506099</v>
      </c>
    </row>
    <row r="1500" spans="1:7" x14ac:dyDescent="0.25">
      <c r="A1500" s="15" t="s">
        <v>34</v>
      </c>
      <c r="B1500" s="16">
        <v>42773</v>
      </c>
      <c r="C1500" s="17">
        <v>0</v>
      </c>
      <c r="D1500" s="17">
        <v>0.1734</v>
      </c>
      <c r="E1500" s="11">
        <f t="shared" si="69"/>
        <v>0.1704</v>
      </c>
      <c r="F1500" s="11">
        <f t="shared" si="70"/>
        <v>0.26494793487603291</v>
      </c>
      <c r="G1500" s="13">
        <f t="shared" si="71"/>
        <v>-0.26494793487603291</v>
      </c>
    </row>
    <row r="1501" spans="1:7" x14ac:dyDescent="0.25">
      <c r="A1501" s="15" t="s">
        <v>34</v>
      </c>
      <c r="B1501" s="16">
        <v>42774</v>
      </c>
      <c r="C1501" s="17">
        <v>-0.54349999999999998</v>
      </c>
      <c r="D1501" s="17">
        <v>-0.11840000000000001</v>
      </c>
      <c r="E1501" s="11">
        <f t="shared" si="69"/>
        <v>-0.12140000000000001</v>
      </c>
      <c r="F1501" s="11">
        <f t="shared" si="70"/>
        <v>-5.9297076461937034E-2</v>
      </c>
      <c r="G1501" s="13">
        <f t="shared" si="71"/>
        <v>-0.48420292353806293</v>
      </c>
    </row>
    <row r="1502" spans="1:7" x14ac:dyDescent="0.25">
      <c r="A1502" s="15" t="s">
        <v>34</v>
      </c>
      <c r="B1502" s="16">
        <v>42775</v>
      </c>
      <c r="C1502" s="17">
        <v>0.27210000000000001</v>
      </c>
      <c r="D1502" s="17">
        <v>0.49059999999999998</v>
      </c>
      <c r="E1502" s="11">
        <f t="shared" si="69"/>
        <v>0.48759999999999998</v>
      </c>
      <c r="F1502" s="11">
        <f t="shared" si="70"/>
        <v>0.61741715213581383</v>
      </c>
      <c r="G1502" s="13">
        <f t="shared" si="71"/>
        <v>-0.34531715213581382</v>
      </c>
    </row>
    <row r="1503" spans="1:7" x14ac:dyDescent="0.25">
      <c r="A1503" s="15" t="s">
        <v>34</v>
      </c>
      <c r="B1503" s="16">
        <v>42776</v>
      </c>
      <c r="C1503" s="17">
        <v>0.81189999999999996</v>
      </c>
      <c r="D1503" s="17">
        <v>0.78320000000000001</v>
      </c>
      <c r="E1503" s="11">
        <f t="shared" si="69"/>
        <v>0.7802</v>
      </c>
      <c r="F1503" s="11">
        <f t="shared" si="70"/>
        <v>0.94255111484139986</v>
      </c>
      <c r="G1503" s="13">
        <f t="shared" si="71"/>
        <v>-0.13065111484139991</v>
      </c>
    </row>
    <row r="1504" spans="1:7" x14ac:dyDescent="0.25">
      <c r="A1504" s="15" t="s">
        <v>34</v>
      </c>
      <c r="B1504" s="16">
        <v>42779</v>
      </c>
      <c r="C1504" s="17">
        <v>1.0724</v>
      </c>
      <c r="D1504" s="17">
        <v>0.4617</v>
      </c>
      <c r="E1504" s="11">
        <f t="shared" si="69"/>
        <v>0.4587</v>
      </c>
      <c r="F1504" s="11">
        <f t="shared" si="70"/>
        <v>0.58530378398068239</v>
      </c>
      <c r="G1504" s="13">
        <f t="shared" si="71"/>
        <v>0.48709621601931763</v>
      </c>
    </row>
    <row r="1505" spans="1:7" x14ac:dyDescent="0.25">
      <c r="A1505" s="15" t="s">
        <v>34</v>
      </c>
      <c r="B1505" s="16">
        <v>42780</v>
      </c>
      <c r="C1505" s="17">
        <v>0</v>
      </c>
      <c r="D1505" s="17">
        <v>8.7099999999999997E-2</v>
      </c>
      <c r="E1505" s="11">
        <f t="shared" si="69"/>
        <v>8.4099999999999994E-2</v>
      </c>
      <c r="F1505" s="11">
        <f t="shared" si="70"/>
        <v>0.16905230609444688</v>
      </c>
      <c r="G1505" s="13">
        <f t="shared" si="71"/>
        <v>-0.16905230609444688</v>
      </c>
    </row>
    <row r="1506" spans="1:7" x14ac:dyDescent="0.25">
      <c r="A1506" s="15" t="s">
        <v>34</v>
      </c>
      <c r="B1506" s="16">
        <v>42781</v>
      </c>
      <c r="C1506" s="17">
        <v>0.79679999999999995</v>
      </c>
      <c r="D1506" s="17">
        <v>0.82979999999999998</v>
      </c>
      <c r="E1506" s="11">
        <f t="shared" si="69"/>
        <v>0.82679999999999998</v>
      </c>
      <c r="F1506" s="11">
        <f t="shared" si="70"/>
        <v>0.99433253200503724</v>
      </c>
      <c r="G1506" s="13">
        <f t="shared" si="71"/>
        <v>-0.19753253200503729</v>
      </c>
    </row>
    <row r="1507" spans="1:7" x14ac:dyDescent="0.25">
      <c r="A1507" s="15" t="s">
        <v>34</v>
      </c>
      <c r="B1507" s="16">
        <v>42782</v>
      </c>
      <c r="C1507" s="17">
        <v>0</v>
      </c>
      <c r="D1507" s="17">
        <v>-0.2913</v>
      </c>
      <c r="E1507" s="11">
        <f t="shared" si="69"/>
        <v>-0.29430000000000001</v>
      </c>
      <c r="F1507" s="11">
        <f t="shared" si="70"/>
        <v>-0.25142169078796517</v>
      </c>
      <c r="G1507" s="13">
        <f t="shared" si="71"/>
        <v>0.25142169078796517</v>
      </c>
    </row>
    <row r="1508" spans="1:7" x14ac:dyDescent="0.25">
      <c r="A1508" s="15" t="s">
        <v>34</v>
      </c>
      <c r="B1508" s="16">
        <v>42783</v>
      </c>
      <c r="C1508" s="17">
        <v>0.26419999999999999</v>
      </c>
      <c r="D1508" s="17">
        <v>-0.1177</v>
      </c>
      <c r="E1508" s="11">
        <f t="shared" si="69"/>
        <v>-0.1207</v>
      </c>
      <c r="F1508" s="11">
        <f t="shared" si="70"/>
        <v>-5.8519244015272961E-2</v>
      </c>
      <c r="G1508" s="13">
        <f t="shared" si="71"/>
        <v>0.32271924401527297</v>
      </c>
    </row>
    <row r="1509" spans="1:7" x14ac:dyDescent="0.25">
      <c r="A1509" s="15" t="s">
        <v>34</v>
      </c>
      <c r="B1509" s="16">
        <v>42784</v>
      </c>
      <c r="C1509" s="17">
        <v>0</v>
      </c>
      <c r="D1509" s="17">
        <v>0.20630000000000001</v>
      </c>
      <c r="E1509" s="11">
        <f t="shared" si="69"/>
        <v>0.20330000000000001</v>
      </c>
      <c r="F1509" s="11">
        <f t="shared" si="70"/>
        <v>0.30150605986924472</v>
      </c>
      <c r="G1509" s="13">
        <f t="shared" si="71"/>
        <v>-0.30150605986924472</v>
      </c>
    </row>
    <row r="1510" spans="1:7" x14ac:dyDescent="0.25">
      <c r="A1510" s="15" t="s">
        <v>34</v>
      </c>
      <c r="B1510" s="16">
        <v>42786</v>
      </c>
      <c r="C1510" s="17">
        <v>0.26350000000000001</v>
      </c>
      <c r="D1510" s="17">
        <v>-0.27360000000000001</v>
      </c>
      <c r="E1510" s="11">
        <f t="shared" si="69"/>
        <v>-0.27660000000000001</v>
      </c>
      <c r="F1510" s="11">
        <f t="shared" si="70"/>
        <v>-0.23175364177945912</v>
      </c>
      <c r="G1510" s="13">
        <f t="shared" si="71"/>
        <v>0.49525364177945913</v>
      </c>
    </row>
    <row r="1511" spans="1:7" x14ac:dyDescent="0.25">
      <c r="A1511" s="15" t="s">
        <v>34</v>
      </c>
      <c r="B1511" s="16">
        <v>42787</v>
      </c>
      <c r="C1511" s="17">
        <v>0</v>
      </c>
      <c r="D1511" s="17">
        <v>0.11</v>
      </c>
      <c r="E1511" s="11">
        <f t="shared" si="69"/>
        <v>0.107</v>
      </c>
      <c r="F1511" s="11">
        <f t="shared" si="70"/>
        <v>0.19449853899245753</v>
      </c>
      <c r="G1511" s="13">
        <f t="shared" si="71"/>
        <v>-0.19449853899245753</v>
      </c>
    </row>
    <row r="1512" spans="1:7" x14ac:dyDescent="0.25">
      <c r="A1512" s="15" t="s">
        <v>34</v>
      </c>
      <c r="B1512" s="16">
        <v>42788</v>
      </c>
      <c r="C1512" s="17">
        <v>-0.79259999999999997</v>
      </c>
      <c r="D1512" s="17">
        <v>0.152</v>
      </c>
      <c r="E1512" s="11">
        <f t="shared" si="69"/>
        <v>0.14899999999999999</v>
      </c>
      <c r="F1512" s="11">
        <f t="shared" si="70"/>
        <v>0.24116848579230243</v>
      </c>
      <c r="G1512" s="13">
        <f t="shared" si="71"/>
        <v>-1.0337684857923024</v>
      </c>
    </row>
    <row r="1513" spans="1:7" x14ac:dyDescent="0.25">
      <c r="A1513" s="15" t="s">
        <v>34</v>
      </c>
      <c r="B1513" s="16">
        <v>42789</v>
      </c>
      <c r="C1513" s="17">
        <v>0</v>
      </c>
      <c r="D1513" s="17">
        <v>-9.69E-2</v>
      </c>
      <c r="E1513" s="11">
        <f t="shared" si="69"/>
        <v>-9.9900000000000003E-2</v>
      </c>
      <c r="F1513" s="11">
        <f t="shared" si="70"/>
        <v>-3.5406508457254543E-2</v>
      </c>
      <c r="G1513" s="13">
        <f t="shared" si="71"/>
        <v>3.5406508457254543E-2</v>
      </c>
    </row>
    <row r="1514" spans="1:7" x14ac:dyDescent="0.25">
      <c r="A1514" s="15" t="s">
        <v>34</v>
      </c>
      <c r="B1514" s="16">
        <v>42790</v>
      </c>
      <c r="C1514" s="17">
        <v>0.26490000000000002</v>
      </c>
      <c r="D1514" s="17">
        <v>-0.193</v>
      </c>
      <c r="E1514" s="11">
        <f t="shared" si="69"/>
        <v>-0.19600000000000001</v>
      </c>
      <c r="F1514" s="11">
        <f t="shared" si="70"/>
        <v>-0.14219179149213773</v>
      </c>
      <c r="G1514" s="13">
        <f t="shared" si="71"/>
        <v>0.40709179149213776</v>
      </c>
    </row>
    <row r="1515" spans="1:7" x14ac:dyDescent="0.25">
      <c r="A1515" s="15" t="s">
        <v>34</v>
      </c>
      <c r="B1515" s="16">
        <v>42795</v>
      </c>
      <c r="C1515" s="17">
        <v>-1.6</v>
      </c>
      <c r="D1515" s="17">
        <v>-0.77929999999999999</v>
      </c>
      <c r="E1515" s="11">
        <f t="shared" si="69"/>
        <v>-0.7823</v>
      </c>
      <c r="F1515" s="11">
        <f t="shared" si="70"/>
        <v>-0.79368202503378193</v>
      </c>
      <c r="G1515" s="13">
        <f t="shared" si="71"/>
        <v>-0.80631797496621815</v>
      </c>
    </row>
    <row r="1516" spans="1:7" x14ac:dyDescent="0.25">
      <c r="A1516" s="15" t="s">
        <v>34</v>
      </c>
      <c r="B1516" s="16">
        <v>42796</v>
      </c>
      <c r="C1516" s="17">
        <v>0</v>
      </c>
      <c r="D1516" s="17">
        <v>0.17580000000000001</v>
      </c>
      <c r="E1516" s="11">
        <f t="shared" si="69"/>
        <v>0.17280000000000001</v>
      </c>
      <c r="F1516" s="11">
        <f t="shared" si="70"/>
        <v>0.26761478897888119</v>
      </c>
      <c r="G1516" s="13">
        <f t="shared" si="71"/>
        <v>-0.26761478897888119</v>
      </c>
    </row>
    <row r="1517" spans="1:7" x14ac:dyDescent="0.25">
      <c r="A1517" s="15" t="s">
        <v>34</v>
      </c>
      <c r="B1517" s="16">
        <v>42797</v>
      </c>
      <c r="C1517" s="17">
        <v>-1.0810999999999999</v>
      </c>
      <c r="D1517" s="17">
        <v>-0.45079999999999998</v>
      </c>
      <c r="E1517" s="11">
        <f t="shared" si="69"/>
        <v>-0.45379999999999998</v>
      </c>
      <c r="F1517" s="11">
        <f t="shared" si="70"/>
        <v>-0.42865636970642373</v>
      </c>
      <c r="G1517" s="13">
        <f t="shared" si="71"/>
        <v>-0.65244363029357622</v>
      </c>
    </row>
    <row r="1518" spans="1:7" x14ac:dyDescent="0.25">
      <c r="A1518" s="15" t="s">
        <v>34</v>
      </c>
      <c r="B1518" s="16">
        <v>42800</v>
      </c>
      <c r="C1518" s="17">
        <v>-0.27210000000000001</v>
      </c>
      <c r="D1518" s="17">
        <v>0.35610000000000003</v>
      </c>
      <c r="E1518" s="11">
        <f t="shared" si="69"/>
        <v>0.35310000000000002</v>
      </c>
      <c r="F1518" s="11">
        <f t="shared" si="70"/>
        <v>0.46796220345535816</v>
      </c>
      <c r="G1518" s="13">
        <f t="shared" si="71"/>
        <v>-0.74006220345535811</v>
      </c>
    </row>
    <row r="1519" spans="1:7" x14ac:dyDescent="0.25">
      <c r="A1519" s="15" t="s">
        <v>34</v>
      </c>
      <c r="B1519" s="16">
        <v>42801</v>
      </c>
      <c r="C1519" s="17">
        <v>1.0840000000000001</v>
      </c>
      <c r="D1519" s="17">
        <v>0.57089999999999996</v>
      </c>
      <c r="E1519" s="11">
        <f t="shared" si="69"/>
        <v>0.56789999999999996</v>
      </c>
      <c r="F1519" s="11">
        <f t="shared" si="70"/>
        <v>0.7066456456602791</v>
      </c>
      <c r="G1519" s="13">
        <f t="shared" si="71"/>
        <v>0.37735435433972098</v>
      </c>
    </row>
    <row r="1520" spans="1:7" x14ac:dyDescent="0.25">
      <c r="A1520" s="15" t="s">
        <v>34</v>
      </c>
      <c r="B1520" s="16">
        <v>42802</v>
      </c>
      <c r="C1520" s="17">
        <v>0.8054</v>
      </c>
      <c r="D1520" s="17">
        <v>0.1578</v>
      </c>
      <c r="E1520" s="11">
        <f t="shared" si="69"/>
        <v>0.15479999999999999</v>
      </c>
      <c r="F1520" s="11">
        <f t="shared" si="70"/>
        <v>0.24761338320751908</v>
      </c>
      <c r="G1520" s="13">
        <f t="shared" si="71"/>
        <v>0.55778661679248098</v>
      </c>
    </row>
    <row r="1521" spans="1:7" x14ac:dyDescent="0.25">
      <c r="A1521" s="15" t="s">
        <v>34</v>
      </c>
      <c r="B1521" s="16">
        <v>42803</v>
      </c>
      <c r="C1521" s="17">
        <v>-1.3459000000000001</v>
      </c>
      <c r="D1521" s="17">
        <v>-0.97709999999999997</v>
      </c>
      <c r="E1521" s="11">
        <f t="shared" si="69"/>
        <v>-0.98009999999999997</v>
      </c>
      <c r="F1521" s="11">
        <f t="shared" si="70"/>
        <v>-1.013475250676861</v>
      </c>
      <c r="G1521" s="13">
        <f t="shared" si="71"/>
        <v>-0.33242474932313915</v>
      </c>
    </row>
    <row r="1522" spans="1:7" x14ac:dyDescent="0.25">
      <c r="A1522" s="15" t="s">
        <v>34</v>
      </c>
      <c r="B1522" s="16">
        <v>42804</v>
      </c>
      <c r="C1522" s="17">
        <v>-0.54349999999999998</v>
      </c>
      <c r="D1522" s="17">
        <v>-0.31859999999999999</v>
      </c>
      <c r="E1522" s="11">
        <f t="shared" si="69"/>
        <v>-0.3216</v>
      </c>
      <c r="F1522" s="11">
        <f t="shared" si="70"/>
        <v>-0.28175715620786435</v>
      </c>
      <c r="G1522" s="13">
        <f t="shared" si="71"/>
        <v>-0.26174284379213564</v>
      </c>
    </row>
    <row r="1523" spans="1:7" x14ac:dyDescent="0.25">
      <c r="A1523" s="15" t="s">
        <v>34</v>
      </c>
      <c r="B1523" s="16">
        <v>42807</v>
      </c>
      <c r="C1523" s="17">
        <v>1.6216999999999999</v>
      </c>
      <c r="D1523" s="17">
        <v>0.71879999999999999</v>
      </c>
      <c r="E1523" s="11">
        <f t="shared" si="69"/>
        <v>0.71579999999999999</v>
      </c>
      <c r="F1523" s="11">
        <f t="shared" si="70"/>
        <v>0.87099052974830438</v>
      </c>
      <c r="G1523" s="13">
        <f t="shared" si="71"/>
        <v>0.75070947025169554</v>
      </c>
    </row>
    <row r="1524" spans="1:7" x14ac:dyDescent="0.25">
      <c r="A1524" s="15" t="s">
        <v>34</v>
      </c>
      <c r="B1524" s="16">
        <v>42808</v>
      </c>
      <c r="C1524" s="17">
        <v>-0.26850000000000002</v>
      </c>
      <c r="D1524" s="17">
        <v>0.48220000000000002</v>
      </c>
      <c r="E1524" s="11">
        <f t="shared" si="69"/>
        <v>0.47920000000000001</v>
      </c>
      <c r="F1524" s="11">
        <f t="shared" si="70"/>
        <v>0.60808316277584484</v>
      </c>
      <c r="G1524" s="13">
        <f t="shared" si="71"/>
        <v>-0.87658316277584492</v>
      </c>
    </row>
    <row r="1525" spans="1:7" x14ac:dyDescent="0.25">
      <c r="A1525" s="15" t="s">
        <v>34</v>
      </c>
      <c r="B1525" s="16">
        <v>42809</v>
      </c>
      <c r="C1525" s="17">
        <v>0.26850000000000002</v>
      </c>
      <c r="D1525" s="17">
        <v>-0.04</v>
      </c>
      <c r="E1525" s="11">
        <f t="shared" si="69"/>
        <v>-4.3000000000000003E-2</v>
      </c>
      <c r="F1525" s="11">
        <f t="shared" si="70"/>
        <v>2.7820157564440083E-2</v>
      </c>
      <c r="G1525" s="13">
        <f t="shared" si="71"/>
        <v>0.24067984243555993</v>
      </c>
    </row>
    <row r="1526" spans="1:7" x14ac:dyDescent="0.25">
      <c r="A1526" s="15" t="s">
        <v>34</v>
      </c>
      <c r="B1526" s="16">
        <v>42810</v>
      </c>
      <c r="C1526" s="17">
        <v>1.8593</v>
      </c>
      <c r="D1526" s="17">
        <v>0.99619999999999997</v>
      </c>
      <c r="E1526" s="11">
        <f t="shared" si="69"/>
        <v>0.99319999999999997</v>
      </c>
      <c r="F1526" s="11">
        <f t="shared" si="70"/>
        <v>1.1792344164691846</v>
      </c>
      <c r="G1526" s="13">
        <f t="shared" si="71"/>
        <v>0.68006558353081537</v>
      </c>
    </row>
    <row r="1527" spans="1:7" x14ac:dyDescent="0.25">
      <c r="A1527" s="15" t="s">
        <v>34</v>
      </c>
      <c r="B1527" s="16">
        <v>42811</v>
      </c>
      <c r="C1527" s="17">
        <v>0.78639999999999999</v>
      </c>
      <c r="D1527" s="17">
        <v>0.7177</v>
      </c>
      <c r="E1527" s="11">
        <f t="shared" si="69"/>
        <v>0.7147</v>
      </c>
      <c r="F1527" s="11">
        <f t="shared" si="70"/>
        <v>0.86976822161783218</v>
      </c>
      <c r="G1527" s="13">
        <f t="shared" si="71"/>
        <v>-8.3368221617832194E-2</v>
      </c>
    </row>
    <row r="1528" spans="1:7" x14ac:dyDescent="0.25">
      <c r="A1528" s="15" t="s">
        <v>34</v>
      </c>
      <c r="B1528" s="16">
        <v>42814</v>
      </c>
      <c r="C1528" s="17">
        <v>0</v>
      </c>
      <c r="D1528" s="17">
        <v>4.3200000000000002E-2</v>
      </c>
      <c r="E1528" s="11">
        <f t="shared" si="69"/>
        <v>4.02E-2</v>
      </c>
      <c r="F1528" s="11">
        <f t="shared" si="70"/>
        <v>0.12027109979651376</v>
      </c>
      <c r="G1528" s="13">
        <f t="shared" si="71"/>
        <v>-0.12027109979651376</v>
      </c>
    </row>
    <row r="1529" spans="1:7" x14ac:dyDescent="0.25">
      <c r="A1529" s="15" t="s">
        <v>34</v>
      </c>
      <c r="B1529" s="16">
        <v>42815</v>
      </c>
      <c r="C1529" s="17">
        <v>1.8111999999999999</v>
      </c>
      <c r="D1529" s="17">
        <v>0.59860000000000002</v>
      </c>
      <c r="E1529" s="11">
        <f t="shared" si="69"/>
        <v>0.59560000000000002</v>
      </c>
      <c r="F1529" s="11">
        <f t="shared" si="70"/>
        <v>0.7374255867639864</v>
      </c>
      <c r="G1529" s="13">
        <f t="shared" si="71"/>
        <v>1.0737744132360136</v>
      </c>
    </row>
    <row r="1530" spans="1:7" x14ac:dyDescent="0.25">
      <c r="A1530" s="15" t="s">
        <v>34</v>
      </c>
      <c r="B1530" s="16">
        <v>42816</v>
      </c>
      <c r="C1530" s="17">
        <v>-0.7722</v>
      </c>
      <c r="D1530" s="17">
        <v>-0.50090000000000001</v>
      </c>
      <c r="E1530" s="11">
        <f t="shared" si="69"/>
        <v>-0.50390000000000001</v>
      </c>
      <c r="F1530" s="11">
        <f t="shared" si="70"/>
        <v>-0.48432694910338159</v>
      </c>
      <c r="G1530" s="13">
        <f t="shared" si="71"/>
        <v>-0.28787305089661841</v>
      </c>
    </row>
    <row r="1531" spans="1:7" x14ac:dyDescent="0.25">
      <c r="A1531" s="15" t="s">
        <v>34</v>
      </c>
      <c r="B1531" s="16">
        <v>42817</v>
      </c>
      <c r="C1531" s="17">
        <v>0</v>
      </c>
      <c r="D1531" s="17">
        <v>8.14E-2</v>
      </c>
      <c r="E1531" s="11">
        <f t="shared" si="69"/>
        <v>7.8399999999999997E-2</v>
      </c>
      <c r="F1531" s="11">
        <f t="shared" si="70"/>
        <v>0.16271852760018221</v>
      </c>
      <c r="G1531" s="13">
        <f t="shared" si="71"/>
        <v>-0.16271852760018221</v>
      </c>
    </row>
    <row r="1532" spans="1:7" x14ac:dyDescent="0.25">
      <c r="A1532" s="15" t="s">
        <v>34</v>
      </c>
      <c r="B1532" s="16">
        <v>42818</v>
      </c>
      <c r="C1532" s="17">
        <v>-0.5181</v>
      </c>
      <c r="D1532" s="17">
        <v>-0.27989999999999998</v>
      </c>
      <c r="E1532" s="11">
        <f t="shared" si="69"/>
        <v>-0.28289999999999998</v>
      </c>
      <c r="F1532" s="11">
        <f t="shared" si="70"/>
        <v>-0.23875413379943583</v>
      </c>
      <c r="G1532" s="13">
        <f t="shared" si="71"/>
        <v>-0.27934586620056417</v>
      </c>
    </row>
    <row r="1533" spans="1:7" x14ac:dyDescent="0.25">
      <c r="A1533" s="15" t="s">
        <v>34</v>
      </c>
      <c r="B1533" s="16">
        <v>42821</v>
      </c>
      <c r="C1533" s="17">
        <v>0.25940000000000002</v>
      </c>
      <c r="D1533" s="17">
        <v>-0.26500000000000001</v>
      </c>
      <c r="E1533" s="11">
        <f t="shared" si="69"/>
        <v>-0.26800000000000002</v>
      </c>
      <c r="F1533" s="11">
        <f t="shared" si="70"/>
        <v>-0.22219741457758613</v>
      </c>
      <c r="G1533" s="13">
        <f t="shared" si="71"/>
        <v>0.48159741457758615</v>
      </c>
    </row>
    <row r="1534" spans="1:7" x14ac:dyDescent="0.25">
      <c r="A1534" s="15" t="s">
        <v>34</v>
      </c>
      <c r="B1534" s="16">
        <v>42822</v>
      </c>
      <c r="C1534" s="17">
        <v>0.7742</v>
      </c>
      <c r="D1534" s="17">
        <v>-3.2000000000000002E-3</v>
      </c>
      <c r="E1534" s="11">
        <f t="shared" si="69"/>
        <v>-6.2000000000000006E-3</v>
      </c>
      <c r="F1534" s="11">
        <f t="shared" si="70"/>
        <v>6.8711920474780364E-2</v>
      </c>
      <c r="G1534" s="13">
        <f t="shared" si="71"/>
        <v>0.70548807952521964</v>
      </c>
    </row>
    <row r="1535" spans="1:7" x14ac:dyDescent="0.25">
      <c r="A1535" s="15" t="s">
        <v>34</v>
      </c>
      <c r="B1535" s="16">
        <v>42823</v>
      </c>
      <c r="C1535" s="17">
        <v>-1.5544</v>
      </c>
      <c r="D1535" s="17">
        <v>-0.20469999999999999</v>
      </c>
      <c r="E1535" s="11">
        <f t="shared" si="69"/>
        <v>-0.2077</v>
      </c>
      <c r="F1535" s="11">
        <f t="shared" si="70"/>
        <v>-0.15519270524352308</v>
      </c>
      <c r="G1535" s="13">
        <f t="shared" si="71"/>
        <v>-1.3992072947564769</v>
      </c>
    </row>
    <row r="1536" spans="1:7" x14ac:dyDescent="0.25">
      <c r="A1536" s="15" t="s">
        <v>34</v>
      </c>
      <c r="B1536" s="16">
        <v>42824</v>
      </c>
      <c r="C1536" s="17">
        <v>0</v>
      </c>
      <c r="D1536" s="17">
        <v>-8.2199999999999995E-2</v>
      </c>
      <c r="E1536" s="11">
        <f t="shared" si="69"/>
        <v>-8.5199999999999998E-2</v>
      </c>
      <c r="F1536" s="11">
        <f t="shared" si="70"/>
        <v>-1.9072027077308817E-2</v>
      </c>
      <c r="G1536" s="13">
        <f t="shared" si="71"/>
        <v>1.9072027077308817E-2</v>
      </c>
    </row>
    <row r="1537" spans="1:7" x14ac:dyDescent="0.25">
      <c r="A1537" s="15" t="s">
        <v>34</v>
      </c>
      <c r="B1537" s="16">
        <v>42825</v>
      </c>
      <c r="C1537" s="17">
        <v>-1.3141</v>
      </c>
      <c r="D1537" s="17">
        <v>-0.37259999999999999</v>
      </c>
      <c r="E1537" s="11">
        <f t="shared" si="69"/>
        <v>-0.37559999999999999</v>
      </c>
      <c r="F1537" s="11">
        <f t="shared" si="70"/>
        <v>-0.34176137352195063</v>
      </c>
      <c r="G1537" s="13">
        <f t="shared" si="71"/>
        <v>-0.97233862647804936</v>
      </c>
    </row>
    <row r="1538" spans="1:7" x14ac:dyDescent="0.25">
      <c r="A1538" s="15" t="s">
        <v>34</v>
      </c>
      <c r="B1538" s="16">
        <v>42830</v>
      </c>
      <c r="C1538" s="17">
        <v>2.0943000000000001</v>
      </c>
      <c r="D1538" s="17">
        <v>1.3963000000000001</v>
      </c>
      <c r="E1538" s="11">
        <f t="shared" si="69"/>
        <v>1.3933000000000002</v>
      </c>
      <c r="F1538" s="11">
        <f t="shared" si="70"/>
        <v>1.6238212191981833</v>
      </c>
      <c r="G1538" s="13">
        <f t="shared" si="71"/>
        <v>0.47047878080181671</v>
      </c>
    </row>
    <row r="1539" spans="1:7" x14ac:dyDescent="0.25">
      <c r="A1539" s="15" t="s">
        <v>34</v>
      </c>
      <c r="B1539" s="16">
        <v>42831</v>
      </c>
      <c r="C1539" s="17">
        <v>-0.7802</v>
      </c>
      <c r="D1539" s="17">
        <v>-0.52080000000000004</v>
      </c>
      <c r="E1539" s="11">
        <f t="shared" ref="E1539:E1569" si="72">D1539-$K$1</f>
        <v>-0.52380000000000004</v>
      </c>
      <c r="F1539" s="11">
        <f t="shared" ref="F1539:F1569" si="73">K$2+K$3*E1539</f>
        <v>-0.50643961437283191</v>
      </c>
      <c r="G1539" s="13">
        <f t="shared" ref="G1539:G1569" si="74">C1539-F1539</f>
        <v>-0.27376038562716809</v>
      </c>
    </row>
    <row r="1540" spans="1:7" x14ac:dyDescent="0.25">
      <c r="A1540" s="15" t="s">
        <v>34</v>
      </c>
      <c r="B1540" s="16">
        <v>42832</v>
      </c>
      <c r="C1540" s="17">
        <v>-0.26140000000000002</v>
      </c>
      <c r="D1540" s="17">
        <v>-0.24709999999999999</v>
      </c>
      <c r="E1540" s="11">
        <f t="shared" si="72"/>
        <v>-0.25009999999999999</v>
      </c>
      <c r="F1540" s="11">
        <f t="shared" si="73"/>
        <v>-0.20230712772717602</v>
      </c>
      <c r="G1540" s="13">
        <f t="shared" si="74"/>
        <v>-5.9092872272824004E-2</v>
      </c>
    </row>
    <row r="1541" spans="1:7" x14ac:dyDescent="0.25">
      <c r="A1541" s="15" t="s">
        <v>34</v>
      </c>
      <c r="B1541" s="16">
        <v>42835</v>
      </c>
      <c r="C1541" s="17">
        <v>-0.52490000000000003</v>
      </c>
      <c r="D1541" s="17">
        <v>9.2799999999999994E-2</v>
      </c>
      <c r="E1541" s="11">
        <f t="shared" si="72"/>
        <v>8.9799999999999991E-2</v>
      </c>
      <c r="F1541" s="11">
        <f t="shared" si="73"/>
        <v>0.17538608458871152</v>
      </c>
      <c r="G1541" s="13">
        <f t="shared" si="74"/>
        <v>-0.70028608458871155</v>
      </c>
    </row>
    <row r="1542" spans="1:7" x14ac:dyDescent="0.25">
      <c r="A1542" s="15" t="s">
        <v>34</v>
      </c>
      <c r="B1542" s="16">
        <v>42836</v>
      </c>
      <c r="C1542" s="17">
        <v>0.52490000000000003</v>
      </c>
      <c r="D1542" s="17">
        <v>-0.50839999999999996</v>
      </c>
      <c r="E1542" s="11">
        <f t="shared" si="72"/>
        <v>-0.51139999999999997</v>
      </c>
      <c r="F1542" s="11">
        <f t="shared" si="73"/>
        <v>-0.49266086817478238</v>
      </c>
      <c r="G1542" s="13">
        <f t="shared" si="74"/>
        <v>1.0175608681747823</v>
      </c>
    </row>
    <row r="1543" spans="1:7" x14ac:dyDescent="0.25">
      <c r="A1543" s="15" t="s">
        <v>34</v>
      </c>
      <c r="B1543" s="16">
        <v>42837</v>
      </c>
      <c r="C1543" s="17">
        <v>0</v>
      </c>
      <c r="D1543" s="17">
        <v>-0.15</v>
      </c>
      <c r="E1543" s="11">
        <f t="shared" si="72"/>
        <v>-0.153</v>
      </c>
      <c r="F1543" s="11">
        <f t="shared" si="73"/>
        <v>-9.4410655482772707E-2</v>
      </c>
      <c r="G1543" s="13">
        <f t="shared" si="74"/>
        <v>9.4410655482772707E-2</v>
      </c>
    </row>
    <row r="1544" spans="1:7" x14ac:dyDescent="0.25">
      <c r="A1544" s="15" t="s">
        <v>34</v>
      </c>
      <c r="B1544" s="16">
        <v>42838</v>
      </c>
      <c r="C1544" s="17">
        <v>0.26140000000000002</v>
      </c>
      <c r="D1544" s="17">
        <v>0.1933</v>
      </c>
      <c r="E1544" s="11">
        <f t="shared" si="72"/>
        <v>0.1903</v>
      </c>
      <c r="F1544" s="11">
        <f t="shared" si="73"/>
        <v>0.28706060014548324</v>
      </c>
      <c r="G1544" s="13">
        <f t="shared" si="74"/>
        <v>-2.5660600145483214E-2</v>
      </c>
    </row>
    <row r="1545" spans="1:7" x14ac:dyDescent="0.25">
      <c r="A1545" s="15" t="s">
        <v>34</v>
      </c>
      <c r="B1545" s="16">
        <v>42839</v>
      </c>
      <c r="C1545" s="17">
        <v>-1.3141</v>
      </c>
      <c r="D1545" s="17">
        <v>-1.0603</v>
      </c>
      <c r="E1545" s="11">
        <f t="shared" si="72"/>
        <v>-1.0632999999999999</v>
      </c>
      <c r="F1545" s="11">
        <f t="shared" si="73"/>
        <v>-1.1059261929089346</v>
      </c>
      <c r="G1545" s="13">
        <f t="shared" si="74"/>
        <v>-0.20817380709106548</v>
      </c>
    </row>
    <row r="1546" spans="1:7" x14ac:dyDescent="0.25">
      <c r="A1546" s="15" t="s">
        <v>34</v>
      </c>
      <c r="B1546" s="16">
        <v>42842</v>
      </c>
      <c r="C1546" s="17">
        <v>-0.79679999999999995</v>
      </c>
      <c r="D1546" s="17">
        <v>-0.17</v>
      </c>
      <c r="E1546" s="11">
        <f t="shared" si="72"/>
        <v>-0.17300000000000001</v>
      </c>
      <c r="F1546" s="11">
        <f t="shared" si="73"/>
        <v>-0.11663443967317506</v>
      </c>
      <c r="G1546" s="13">
        <f t="shared" si="74"/>
        <v>-0.68016556032682485</v>
      </c>
    </row>
    <row r="1547" spans="1:7" x14ac:dyDescent="0.25">
      <c r="A1547" s="15" t="s">
        <v>34</v>
      </c>
      <c r="B1547" s="16">
        <v>42843</v>
      </c>
      <c r="C1547" s="17">
        <v>0.26629999999999998</v>
      </c>
      <c r="D1547" s="17">
        <v>0.30990000000000001</v>
      </c>
      <c r="E1547" s="11">
        <f t="shared" si="72"/>
        <v>0.30690000000000001</v>
      </c>
      <c r="F1547" s="11">
        <f t="shared" si="73"/>
        <v>0.41662526197552879</v>
      </c>
      <c r="G1547" s="13">
        <f t="shared" si="74"/>
        <v>-0.15032526197552881</v>
      </c>
    </row>
    <row r="1548" spans="1:7" x14ac:dyDescent="0.25">
      <c r="A1548" s="15" t="s">
        <v>34</v>
      </c>
      <c r="B1548" s="16">
        <v>42844</v>
      </c>
      <c r="C1548" s="17">
        <v>-0.80110000000000003</v>
      </c>
      <c r="D1548" s="17">
        <v>-1.1000000000000001</v>
      </c>
      <c r="E1548" s="11">
        <f t="shared" si="72"/>
        <v>-1.103</v>
      </c>
      <c r="F1548" s="11">
        <f t="shared" si="73"/>
        <v>-1.1500404045268833</v>
      </c>
      <c r="G1548" s="13">
        <f t="shared" si="74"/>
        <v>0.34894040452688324</v>
      </c>
    </row>
    <row r="1549" spans="1:7" x14ac:dyDescent="0.25">
      <c r="A1549" s="15" t="s">
        <v>34</v>
      </c>
      <c r="B1549" s="16">
        <v>42845</v>
      </c>
      <c r="C1549" s="17">
        <v>0.26769999999999999</v>
      </c>
      <c r="D1549" s="17">
        <v>-7.5200000000000003E-2</v>
      </c>
      <c r="E1549" s="11">
        <f t="shared" si="72"/>
        <v>-7.8200000000000006E-2</v>
      </c>
      <c r="F1549" s="11">
        <f t="shared" si="73"/>
        <v>-1.1293702610668019E-2</v>
      </c>
      <c r="G1549" s="13">
        <f t="shared" si="74"/>
        <v>0.27899370261066803</v>
      </c>
    </row>
    <row r="1550" spans="1:7" x14ac:dyDescent="0.25">
      <c r="A1550" s="15" t="s">
        <v>34</v>
      </c>
      <c r="B1550" s="16">
        <v>42846</v>
      </c>
      <c r="C1550" s="17">
        <v>1.5914999999999999</v>
      </c>
      <c r="D1550" s="17">
        <v>0.87570000000000003</v>
      </c>
      <c r="E1550" s="11">
        <f t="shared" si="72"/>
        <v>0.87270000000000003</v>
      </c>
      <c r="F1550" s="11">
        <f t="shared" si="73"/>
        <v>1.0453361167220108</v>
      </c>
      <c r="G1550" s="13">
        <f t="shared" si="74"/>
        <v>0.54616388327798915</v>
      </c>
    </row>
    <row r="1551" spans="1:7" x14ac:dyDescent="0.25">
      <c r="A1551" s="15" t="s">
        <v>34</v>
      </c>
      <c r="B1551" s="16">
        <v>42849</v>
      </c>
      <c r="C1551" s="17">
        <v>0</v>
      </c>
      <c r="D1551" s="17">
        <v>5.5999999999999999E-3</v>
      </c>
      <c r="E1551" s="11">
        <f t="shared" si="72"/>
        <v>2.5999999999999999E-3</v>
      </c>
      <c r="F1551" s="11">
        <f t="shared" si="73"/>
        <v>7.8490385518557387E-2</v>
      </c>
      <c r="G1551" s="13">
        <f t="shared" si="74"/>
        <v>-7.8490385518557387E-2</v>
      </c>
    </row>
    <row r="1552" spans="1:7" x14ac:dyDescent="0.25">
      <c r="A1552" s="15" t="s">
        <v>34</v>
      </c>
      <c r="B1552" s="16">
        <v>42850</v>
      </c>
      <c r="C1552" s="17">
        <v>1.0470999999999999</v>
      </c>
      <c r="D1552" s="17">
        <v>1.2655000000000001</v>
      </c>
      <c r="E1552" s="11">
        <f t="shared" si="72"/>
        <v>1.2625000000000002</v>
      </c>
      <c r="F1552" s="11">
        <f t="shared" si="73"/>
        <v>1.4784776705929521</v>
      </c>
      <c r="G1552" s="13">
        <f t="shared" si="74"/>
        <v>-0.43137767059295218</v>
      </c>
    </row>
    <row r="1553" spans="1:7" x14ac:dyDescent="0.25">
      <c r="A1553" s="15" t="s">
        <v>34</v>
      </c>
      <c r="B1553" s="16">
        <v>42851</v>
      </c>
      <c r="C1553" s="17">
        <v>-0.5222</v>
      </c>
      <c r="D1553" s="17">
        <v>0.1497</v>
      </c>
      <c r="E1553" s="11">
        <f t="shared" si="72"/>
        <v>0.1467</v>
      </c>
      <c r="F1553" s="11">
        <f t="shared" si="73"/>
        <v>0.23861275061040615</v>
      </c>
      <c r="G1553" s="13">
        <f t="shared" si="74"/>
        <v>-0.7608127506104061</v>
      </c>
    </row>
    <row r="1554" spans="1:7" x14ac:dyDescent="0.25">
      <c r="A1554" s="15" t="s">
        <v>34</v>
      </c>
      <c r="B1554" s="16">
        <v>42852</v>
      </c>
      <c r="C1554" s="17">
        <v>1.0417000000000001</v>
      </c>
      <c r="D1554" s="17">
        <v>4.2299999999999997E-2</v>
      </c>
      <c r="E1554" s="11">
        <f t="shared" si="72"/>
        <v>3.9299999999999995E-2</v>
      </c>
      <c r="F1554" s="11">
        <f t="shared" si="73"/>
        <v>0.11927102950794566</v>
      </c>
      <c r="G1554" s="13">
        <f t="shared" si="74"/>
        <v>0.92242897049205441</v>
      </c>
    </row>
    <row r="1555" spans="1:7" x14ac:dyDescent="0.25">
      <c r="A1555" s="15" t="s">
        <v>34</v>
      </c>
      <c r="B1555" s="16">
        <v>42853</v>
      </c>
      <c r="C1555" s="17">
        <v>0.7742</v>
      </c>
      <c r="D1555" s="17">
        <v>0.1153</v>
      </c>
      <c r="E1555" s="11">
        <f t="shared" si="72"/>
        <v>0.1123</v>
      </c>
      <c r="F1555" s="11">
        <f t="shared" si="73"/>
        <v>0.20038784180291414</v>
      </c>
      <c r="G1555" s="13">
        <f t="shared" si="74"/>
        <v>0.57381215819708586</v>
      </c>
    </row>
    <row r="1556" spans="1:7" x14ac:dyDescent="0.25">
      <c r="A1556" s="15" t="s">
        <v>34</v>
      </c>
      <c r="B1556" s="16">
        <v>42857</v>
      </c>
      <c r="C1556" s="17">
        <v>1.0229999999999999</v>
      </c>
      <c r="D1556" s="17">
        <v>0.69920000000000004</v>
      </c>
      <c r="E1556" s="11">
        <f t="shared" si="72"/>
        <v>0.69620000000000004</v>
      </c>
      <c r="F1556" s="11">
        <f t="shared" si="73"/>
        <v>0.84921122124171011</v>
      </c>
      <c r="G1556" s="13">
        <f t="shared" si="74"/>
        <v>0.1737887787582898</v>
      </c>
    </row>
    <row r="1557" spans="1:7" x14ac:dyDescent="0.25">
      <c r="A1557" s="15" t="s">
        <v>34</v>
      </c>
      <c r="B1557" s="16">
        <v>42858</v>
      </c>
      <c r="C1557" s="17">
        <v>0.76049999999999995</v>
      </c>
      <c r="D1557" s="17">
        <v>0.14130000000000001</v>
      </c>
      <c r="E1557" s="11">
        <f t="shared" si="72"/>
        <v>0.13830000000000001</v>
      </c>
      <c r="F1557" s="11">
        <f t="shared" si="73"/>
        <v>0.22927876125043717</v>
      </c>
      <c r="G1557" s="13">
        <f t="shared" si="74"/>
        <v>0.53122123874956273</v>
      </c>
    </row>
    <row r="1558" spans="1:7" x14ac:dyDescent="0.25">
      <c r="A1558" s="15" t="s">
        <v>34</v>
      </c>
      <c r="B1558" s="16">
        <v>42859</v>
      </c>
      <c r="C1558" s="17">
        <v>0</v>
      </c>
      <c r="D1558" s="17">
        <v>0.1236</v>
      </c>
      <c r="E1558" s="11">
        <f t="shared" si="72"/>
        <v>0.1206</v>
      </c>
      <c r="F1558" s="11">
        <f t="shared" si="73"/>
        <v>0.20961071224193112</v>
      </c>
      <c r="G1558" s="13">
        <f t="shared" si="74"/>
        <v>-0.20961071224193112</v>
      </c>
    </row>
    <row r="1559" spans="1:7" x14ac:dyDescent="0.25">
      <c r="A1559" s="15" t="s">
        <v>34</v>
      </c>
      <c r="B1559" s="16">
        <v>42860</v>
      </c>
      <c r="C1559" s="17">
        <v>-0.25280000000000002</v>
      </c>
      <c r="D1559" s="17">
        <v>-0.68149999999999999</v>
      </c>
      <c r="E1559" s="11">
        <f t="shared" si="72"/>
        <v>-0.6845</v>
      </c>
      <c r="F1559" s="11">
        <f t="shared" si="73"/>
        <v>-0.68500772034271462</v>
      </c>
      <c r="G1559" s="13">
        <f t="shared" si="74"/>
        <v>0.4322077203427146</v>
      </c>
    </row>
    <row r="1560" spans="1:7" x14ac:dyDescent="0.25">
      <c r="A1560" s="15" t="s">
        <v>34</v>
      </c>
      <c r="B1560" s="16">
        <v>42863</v>
      </c>
      <c r="C1560" s="17">
        <v>2.5001000000000002</v>
      </c>
      <c r="D1560" s="17">
        <v>0.37619999999999998</v>
      </c>
      <c r="E1560" s="11">
        <f t="shared" si="72"/>
        <v>0.37319999999999998</v>
      </c>
      <c r="F1560" s="11">
        <f t="shared" si="73"/>
        <v>0.49029710656671249</v>
      </c>
      <c r="G1560" s="13">
        <f t="shared" si="74"/>
        <v>2.0098028934332879</v>
      </c>
    </row>
    <row r="1561" spans="1:7" x14ac:dyDescent="0.25">
      <c r="A1561" s="15" t="s">
        <v>34</v>
      </c>
      <c r="B1561" s="16">
        <v>42864</v>
      </c>
      <c r="C1561" s="17">
        <v>0.49259999999999998</v>
      </c>
      <c r="D1561" s="17">
        <v>-0.21929999999999999</v>
      </c>
      <c r="E1561" s="11">
        <f t="shared" si="72"/>
        <v>-0.2223</v>
      </c>
      <c r="F1561" s="11">
        <f t="shared" si="73"/>
        <v>-0.17141606770251677</v>
      </c>
      <c r="G1561" s="13">
        <f t="shared" si="74"/>
        <v>0.66401606770251675</v>
      </c>
    </row>
    <row r="1562" spans="1:7" x14ac:dyDescent="0.25">
      <c r="A1562" s="15" t="s">
        <v>34</v>
      </c>
      <c r="B1562" s="16">
        <v>42865</v>
      </c>
      <c r="C1562" s="17">
        <v>0.97799999999999998</v>
      </c>
      <c r="D1562" s="17">
        <v>0.53149999999999997</v>
      </c>
      <c r="E1562" s="11">
        <f t="shared" si="72"/>
        <v>0.52849999999999997</v>
      </c>
      <c r="F1562" s="11">
        <f t="shared" si="73"/>
        <v>0.66286479080518657</v>
      </c>
      <c r="G1562" s="13">
        <f t="shared" si="74"/>
        <v>0.31513520919481341</v>
      </c>
    </row>
    <row r="1563" spans="1:7" x14ac:dyDescent="0.25">
      <c r="A1563" s="15" t="s">
        <v>34</v>
      </c>
      <c r="B1563" s="16">
        <v>42866</v>
      </c>
      <c r="C1563" s="17">
        <v>0.96850000000000003</v>
      </c>
      <c r="D1563" s="17">
        <v>0.33210000000000001</v>
      </c>
      <c r="E1563" s="11">
        <f t="shared" si="72"/>
        <v>0.3291</v>
      </c>
      <c r="F1563" s="11">
        <f t="shared" si="73"/>
        <v>0.44129366242687534</v>
      </c>
      <c r="G1563" s="13">
        <f t="shared" si="74"/>
        <v>0.52720633757312463</v>
      </c>
    </row>
    <row r="1564" spans="1:7" x14ac:dyDescent="0.25">
      <c r="A1564" s="15" t="s">
        <v>34</v>
      </c>
      <c r="B1564" s="16">
        <v>42867</v>
      </c>
      <c r="C1564" s="17">
        <v>-0.72550000000000003</v>
      </c>
      <c r="D1564" s="17">
        <v>-0.1467</v>
      </c>
      <c r="E1564" s="11">
        <f t="shared" si="72"/>
        <v>-0.1497</v>
      </c>
      <c r="F1564" s="11">
        <f t="shared" si="73"/>
        <v>-9.0743731091356319E-2</v>
      </c>
      <c r="G1564" s="13">
        <f t="shared" si="74"/>
        <v>-0.63475626890864367</v>
      </c>
    </row>
    <row r="1565" spans="1:7" x14ac:dyDescent="0.25">
      <c r="A1565" s="15" t="s">
        <v>34</v>
      </c>
      <c r="B1565" s="16">
        <v>42870</v>
      </c>
      <c r="C1565" s="17">
        <v>0</v>
      </c>
      <c r="D1565" s="17">
        <v>0.49940000000000001</v>
      </c>
      <c r="E1565" s="11">
        <f t="shared" si="72"/>
        <v>0.49640000000000001</v>
      </c>
      <c r="F1565" s="11">
        <f t="shared" si="73"/>
        <v>0.62719561717959083</v>
      </c>
      <c r="G1565" s="13">
        <f t="shared" si="74"/>
        <v>-0.62719561717959083</v>
      </c>
    </row>
    <row r="1566" spans="1:7" x14ac:dyDescent="0.25">
      <c r="A1566" s="15" t="s">
        <v>34</v>
      </c>
      <c r="B1566" s="16">
        <v>42871</v>
      </c>
      <c r="C1566" s="17">
        <v>-0.73080000000000001</v>
      </c>
      <c r="D1566" s="17">
        <v>-5.3100000000000001E-2</v>
      </c>
      <c r="E1566" s="11">
        <f t="shared" si="72"/>
        <v>-5.6100000000000004E-2</v>
      </c>
      <c r="F1566" s="11">
        <f t="shared" si="73"/>
        <v>1.3263578919726557E-2</v>
      </c>
      <c r="G1566" s="13">
        <f t="shared" si="74"/>
        <v>-0.74406357891972652</v>
      </c>
    </row>
    <row r="1567" spans="1:7" x14ac:dyDescent="0.25">
      <c r="A1567" s="15" t="s">
        <v>34</v>
      </c>
      <c r="B1567" s="16">
        <v>42872</v>
      </c>
      <c r="C1567" s="17">
        <v>-0.24479999999999999</v>
      </c>
      <c r="D1567" s="17">
        <v>-0.17780000000000001</v>
      </c>
      <c r="E1567" s="11">
        <f t="shared" si="72"/>
        <v>-0.18080000000000002</v>
      </c>
      <c r="F1567" s="11">
        <f t="shared" si="73"/>
        <v>-0.12530171550743197</v>
      </c>
      <c r="G1567" s="13">
        <f t="shared" si="74"/>
        <v>-0.11949828449256802</v>
      </c>
    </row>
    <row r="1568" spans="1:7" x14ac:dyDescent="0.25">
      <c r="A1568" s="15" t="s">
        <v>34</v>
      </c>
      <c r="B1568" s="16">
        <v>42873</v>
      </c>
      <c r="C1568" s="17">
        <v>-0.24540000000000001</v>
      </c>
      <c r="D1568" s="17">
        <v>-0.44259999999999999</v>
      </c>
      <c r="E1568" s="11">
        <f t="shared" si="72"/>
        <v>-0.4456</v>
      </c>
      <c r="F1568" s="11">
        <f t="shared" si="73"/>
        <v>-0.41954461818835875</v>
      </c>
      <c r="G1568" s="13">
        <f t="shared" si="74"/>
        <v>0.17414461818835875</v>
      </c>
    </row>
    <row r="1569" spans="1:7" ht="17.25" thickBot="1" x14ac:dyDescent="0.3">
      <c r="A1569" s="7" t="s">
        <v>34</v>
      </c>
      <c r="B1569" s="8">
        <v>42874</v>
      </c>
      <c r="C1569" s="9">
        <v>-0.246</v>
      </c>
      <c r="D1569" s="9">
        <v>-0.21920000000000001</v>
      </c>
      <c r="E1569" s="11">
        <f t="shared" si="72"/>
        <v>-0.22220000000000001</v>
      </c>
      <c r="F1569" s="11">
        <f t="shared" si="73"/>
        <v>-0.17130494878156477</v>
      </c>
      <c r="G1569" s="13">
        <f t="shared" si="74"/>
        <v>-7.4695051218435227E-2</v>
      </c>
    </row>
    <row r="1570" spans="1:7" x14ac:dyDescent="0.25">
      <c r="A1570" s="15"/>
      <c r="B1570" s="16"/>
      <c r="C1570" s="17"/>
    </row>
    <row r="1571" spans="1:7" x14ac:dyDescent="0.25">
      <c r="A1571" s="15"/>
      <c r="B1571" s="16"/>
      <c r="C1571" s="17"/>
    </row>
    <row r="1572" spans="1:7" x14ac:dyDescent="0.25">
      <c r="A1572" s="15"/>
      <c r="B1572" s="16"/>
      <c r="C1572" s="17"/>
    </row>
    <row r="1573" spans="1:7" x14ac:dyDescent="0.25">
      <c r="A1573" s="15"/>
      <c r="B1573" s="16"/>
      <c r="C1573" s="17"/>
    </row>
    <row r="1574" spans="1:7" x14ac:dyDescent="0.25">
      <c r="A1574" s="15"/>
      <c r="B1574" s="16"/>
      <c r="C1574" s="17"/>
    </row>
    <row r="1575" spans="1:7" x14ac:dyDescent="0.25">
      <c r="A1575" s="15"/>
      <c r="B1575" s="16"/>
      <c r="C1575" s="17"/>
    </row>
    <row r="1576" spans="1:7" x14ac:dyDescent="0.25">
      <c r="A1576" s="15"/>
      <c r="B1576" s="16"/>
      <c r="C1576" s="17"/>
    </row>
    <row r="1577" spans="1:7" x14ac:dyDescent="0.25">
      <c r="A1577" s="15"/>
      <c r="B1577" s="16"/>
      <c r="C1577" s="17"/>
    </row>
    <row r="1578" spans="1:7" x14ac:dyDescent="0.25">
      <c r="A1578" s="15"/>
      <c r="B1578" s="16"/>
      <c r="C1578" s="17"/>
    </row>
    <row r="1579" spans="1:7" x14ac:dyDescent="0.25">
      <c r="A1579" s="15"/>
      <c r="B1579" s="16"/>
      <c r="C1579" s="17"/>
    </row>
    <row r="1580" spans="1:7" x14ac:dyDescent="0.25">
      <c r="A1580" s="15"/>
      <c r="B1580" s="16"/>
      <c r="C1580" s="17"/>
    </row>
    <row r="1581" spans="1:7" x14ac:dyDescent="0.25">
      <c r="A1581" s="15"/>
      <c r="B1581" s="16"/>
      <c r="C1581" s="17"/>
    </row>
    <row r="1582" spans="1:7" x14ac:dyDescent="0.25">
      <c r="A1582" s="15"/>
      <c r="B1582" s="16"/>
      <c r="C1582" s="17"/>
    </row>
    <row r="1583" spans="1:7" x14ac:dyDescent="0.25">
      <c r="A1583" s="15"/>
      <c r="B1583" s="16"/>
      <c r="C1583" s="17"/>
    </row>
    <row r="1584" spans="1:7" x14ac:dyDescent="0.25">
      <c r="A1584" s="15"/>
      <c r="B1584" s="16"/>
      <c r="C1584" s="17"/>
    </row>
    <row r="1585" spans="1:3" s="13" customFormat="1" x14ac:dyDescent="0.25">
      <c r="A1585" s="15"/>
      <c r="B1585" s="16"/>
      <c r="C1585" s="17"/>
    </row>
    <row r="1586" spans="1:3" s="13" customFormat="1" x14ac:dyDescent="0.25">
      <c r="A1586" s="15"/>
      <c r="B1586" s="16"/>
      <c r="C1586" s="17"/>
    </row>
    <row r="1587" spans="1:3" s="13" customFormat="1" x14ac:dyDescent="0.25">
      <c r="A1587" s="15"/>
      <c r="B1587" s="16"/>
      <c r="C1587" s="17"/>
    </row>
    <row r="1588" spans="1:3" s="13" customFormat="1" x14ac:dyDescent="0.25">
      <c r="A1588" s="15"/>
      <c r="B1588" s="16"/>
      <c r="C1588" s="17"/>
    </row>
    <row r="1589" spans="1:3" s="13" customFormat="1" x14ac:dyDescent="0.25">
      <c r="A1589" s="15"/>
      <c r="B1589" s="16"/>
      <c r="C1589" s="17"/>
    </row>
    <row r="1590" spans="1:3" s="13" customFormat="1" x14ac:dyDescent="0.25">
      <c r="A1590" s="15"/>
      <c r="B1590" s="16"/>
      <c r="C1590" s="17"/>
    </row>
    <row r="1591" spans="1:3" s="13" customFormat="1" x14ac:dyDescent="0.25">
      <c r="A1591" s="15"/>
      <c r="B1591" s="16"/>
      <c r="C1591" s="17"/>
    </row>
    <row r="1592" spans="1:3" s="13" customFormat="1" x14ac:dyDescent="0.25">
      <c r="A1592" s="15"/>
      <c r="B1592" s="16"/>
      <c r="C1592" s="17"/>
    </row>
    <row r="1593" spans="1:3" s="13" customFormat="1" x14ac:dyDescent="0.25">
      <c r="A1593" s="15"/>
      <c r="B1593" s="16"/>
      <c r="C1593" s="17"/>
    </row>
    <row r="1594" spans="1:3" s="13" customFormat="1" x14ac:dyDescent="0.25">
      <c r="A1594" s="15"/>
      <c r="B1594" s="16"/>
      <c r="C1594" s="17"/>
    </row>
    <row r="1595" spans="1:3" s="13" customFormat="1" x14ac:dyDescent="0.25">
      <c r="A1595" s="15"/>
      <c r="B1595" s="16"/>
      <c r="C1595" s="17"/>
    </row>
    <row r="1596" spans="1:3" s="13" customFormat="1" x14ac:dyDescent="0.25">
      <c r="A1596" s="15"/>
      <c r="B1596" s="16"/>
      <c r="C1596" s="17"/>
    </row>
    <row r="1597" spans="1:3" s="13" customFormat="1" x14ac:dyDescent="0.25">
      <c r="A1597" s="15"/>
      <c r="B1597" s="16"/>
      <c r="C1597" s="17"/>
    </row>
    <row r="1598" spans="1:3" s="13" customFormat="1" x14ac:dyDescent="0.25">
      <c r="A1598" s="15"/>
      <c r="B1598" s="16"/>
      <c r="C1598" s="17"/>
    </row>
    <row r="1599" spans="1:3" s="13" customFormat="1" x14ac:dyDescent="0.25">
      <c r="A1599" s="15"/>
      <c r="B1599" s="16"/>
      <c r="C1599" s="17"/>
    </row>
    <row r="1600" spans="1:3" s="13" customFormat="1" x14ac:dyDescent="0.25">
      <c r="A1600" s="15"/>
      <c r="B1600" s="16"/>
      <c r="C1600" s="17"/>
    </row>
    <row r="1601" spans="1:3" s="13" customFormat="1" x14ac:dyDescent="0.25">
      <c r="A1601" s="15"/>
      <c r="B1601" s="16"/>
      <c r="C1601" s="17"/>
    </row>
    <row r="1602" spans="1:3" s="13" customFormat="1" x14ac:dyDescent="0.25">
      <c r="A1602" s="15"/>
      <c r="B1602" s="16"/>
      <c r="C1602" s="17"/>
    </row>
    <row r="1603" spans="1:3" s="13" customFormat="1" x14ac:dyDescent="0.25">
      <c r="A1603" s="15"/>
      <c r="B1603" s="16"/>
      <c r="C1603" s="17"/>
    </row>
    <row r="1604" spans="1:3" s="13" customFormat="1" x14ac:dyDescent="0.25">
      <c r="A1604" s="15"/>
      <c r="B1604" s="16"/>
      <c r="C1604" s="17"/>
    </row>
    <row r="1605" spans="1:3" s="13" customFormat="1" x14ac:dyDescent="0.25">
      <c r="A1605" s="15"/>
      <c r="B1605" s="16"/>
      <c r="C1605" s="17"/>
    </row>
    <row r="1606" spans="1:3" s="13" customFormat="1" x14ac:dyDescent="0.25">
      <c r="A1606" s="15"/>
      <c r="B1606" s="16"/>
      <c r="C1606" s="17"/>
    </row>
    <row r="1607" spans="1:3" s="13" customFormat="1" x14ac:dyDescent="0.25">
      <c r="A1607" s="15"/>
      <c r="B1607" s="16"/>
      <c r="C1607" s="17"/>
    </row>
    <row r="1608" spans="1:3" s="13" customFormat="1" x14ac:dyDescent="0.25">
      <c r="A1608" s="15"/>
      <c r="B1608" s="16"/>
      <c r="C1608" s="17"/>
    </row>
    <row r="1609" spans="1:3" s="13" customFormat="1" x14ac:dyDescent="0.25">
      <c r="A1609" s="15"/>
      <c r="B1609" s="16"/>
      <c r="C1609" s="17"/>
    </row>
    <row r="1610" spans="1:3" s="13" customFormat="1" x14ac:dyDescent="0.25">
      <c r="A1610" s="15"/>
      <c r="B1610" s="16"/>
      <c r="C1610" s="17"/>
    </row>
    <row r="1611" spans="1:3" s="13" customFormat="1" x14ac:dyDescent="0.25">
      <c r="A1611" s="15"/>
      <c r="B1611" s="16"/>
      <c r="C1611" s="17"/>
    </row>
    <row r="1612" spans="1:3" s="13" customFormat="1" x14ac:dyDescent="0.25">
      <c r="A1612" s="15"/>
      <c r="B1612" s="16"/>
      <c r="C1612" s="17"/>
    </row>
    <row r="1613" spans="1:3" s="13" customFormat="1" x14ac:dyDescent="0.25">
      <c r="A1613" s="15"/>
      <c r="B1613" s="16"/>
      <c r="C1613" s="17"/>
    </row>
    <row r="1614" spans="1:3" s="13" customFormat="1" x14ac:dyDescent="0.25">
      <c r="A1614" s="15"/>
      <c r="B1614" s="16"/>
      <c r="C1614" s="17"/>
    </row>
    <row r="1615" spans="1:3" s="13" customFormat="1" x14ac:dyDescent="0.25">
      <c r="A1615" s="15"/>
      <c r="B1615" s="16"/>
      <c r="C1615" s="17"/>
    </row>
    <row r="1616" spans="1:3" s="13" customFormat="1" x14ac:dyDescent="0.25">
      <c r="A1616" s="15"/>
      <c r="B1616" s="16"/>
      <c r="C1616" s="17"/>
    </row>
    <row r="1617" spans="1:3" s="13" customFormat="1" x14ac:dyDescent="0.25">
      <c r="A1617" s="15"/>
      <c r="B1617" s="16"/>
      <c r="C1617" s="17"/>
    </row>
    <row r="1618" spans="1:3" s="13" customFormat="1" x14ac:dyDescent="0.25">
      <c r="A1618" s="15"/>
      <c r="B1618" s="16"/>
      <c r="C1618" s="17"/>
    </row>
    <row r="1619" spans="1:3" s="13" customFormat="1" x14ac:dyDescent="0.25">
      <c r="A1619" s="15"/>
      <c r="B1619" s="16"/>
      <c r="C1619" s="17"/>
    </row>
    <row r="1620" spans="1:3" s="13" customFormat="1" x14ac:dyDescent="0.25">
      <c r="A1620" s="15"/>
      <c r="B1620" s="16"/>
      <c r="C1620" s="17"/>
    </row>
    <row r="1621" spans="1:3" s="13" customFormat="1" x14ac:dyDescent="0.25">
      <c r="A1621" s="15"/>
      <c r="B1621" s="16"/>
      <c r="C1621" s="17"/>
    </row>
    <row r="1622" spans="1:3" s="13" customFormat="1" x14ac:dyDescent="0.25">
      <c r="A1622" s="15"/>
      <c r="B1622" s="16"/>
      <c r="C1622" s="17"/>
    </row>
    <row r="1623" spans="1:3" s="13" customFormat="1" x14ac:dyDescent="0.25">
      <c r="A1623" s="15"/>
      <c r="B1623" s="16"/>
      <c r="C1623" s="17"/>
    </row>
    <row r="1624" spans="1:3" s="13" customFormat="1" x14ac:dyDescent="0.25">
      <c r="A1624" s="15"/>
      <c r="B1624" s="16"/>
      <c r="C1624" s="17"/>
    </row>
    <row r="1625" spans="1:3" s="13" customFormat="1" x14ac:dyDescent="0.25">
      <c r="A1625" s="15"/>
      <c r="B1625" s="16"/>
      <c r="C1625" s="17"/>
    </row>
    <row r="1626" spans="1:3" s="13" customFormat="1" x14ac:dyDescent="0.25">
      <c r="A1626" s="15"/>
      <c r="B1626" s="16"/>
      <c r="C1626" s="17"/>
    </row>
    <row r="1627" spans="1:3" s="13" customFormat="1" x14ac:dyDescent="0.25">
      <c r="A1627" s="15"/>
      <c r="B1627" s="16"/>
      <c r="C1627" s="17"/>
    </row>
    <row r="1628" spans="1:3" s="13" customFormat="1" x14ac:dyDescent="0.25">
      <c r="A1628" s="15"/>
      <c r="B1628" s="16"/>
      <c r="C1628" s="17"/>
    </row>
    <row r="1629" spans="1:3" s="13" customFormat="1" x14ac:dyDescent="0.25">
      <c r="A1629" s="15"/>
      <c r="B1629" s="16"/>
      <c r="C1629" s="17"/>
    </row>
    <row r="1630" spans="1:3" s="13" customFormat="1" x14ac:dyDescent="0.25">
      <c r="A1630" s="15"/>
      <c r="B1630" s="16"/>
      <c r="C1630" s="17"/>
    </row>
    <row r="1631" spans="1:3" s="13" customFormat="1" x14ac:dyDescent="0.25">
      <c r="A1631" s="15"/>
      <c r="B1631" s="16"/>
      <c r="C1631" s="17"/>
    </row>
    <row r="1632" spans="1:3" s="13" customFormat="1" x14ac:dyDescent="0.25">
      <c r="A1632" s="15"/>
      <c r="B1632" s="16"/>
      <c r="C1632" s="17"/>
    </row>
    <row r="1633" spans="1:3" s="13" customFormat="1" x14ac:dyDescent="0.25">
      <c r="A1633" s="15"/>
      <c r="B1633" s="16"/>
      <c r="C1633" s="17"/>
    </row>
    <row r="1634" spans="1:3" s="13" customFormat="1" x14ac:dyDescent="0.25">
      <c r="A1634" s="15"/>
      <c r="B1634" s="16"/>
      <c r="C1634" s="17"/>
    </row>
    <row r="1635" spans="1:3" s="13" customFormat="1" x14ac:dyDescent="0.25">
      <c r="A1635" s="15"/>
      <c r="B1635" s="16"/>
      <c r="C1635" s="17"/>
    </row>
    <row r="1636" spans="1:3" s="13" customFormat="1" x14ac:dyDescent="0.25">
      <c r="A1636" s="15"/>
      <c r="B1636" s="16"/>
      <c r="C1636" s="17"/>
    </row>
    <row r="1637" spans="1:3" s="13" customFormat="1" x14ac:dyDescent="0.25">
      <c r="A1637" s="15"/>
      <c r="B1637" s="16"/>
      <c r="C1637" s="17"/>
    </row>
    <row r="1638" spans="1:3" s="13" customFormat="1" x14ac:dyDescent="0.25">
      <c r="A1638" s="15"/>
      <c r="B1638" s="16"/>
      <c r="C1638" s="17"/>
    </row>
    <row r="1639" spans="1:3" s="13" customFormat="1" x14ac:dyDescent="0.25">
      <c r="A1639" s="15"/>
      <c r="B1639" s="16"/>
      <c r="C1639" s="17"/>
    </row>
    <row r="1640" spans="1:3" s="13" customFormat="1" x14ac:dyDescent="0.25">
      <c r="A1640" s="15"/>
      <c r="B1640" s="16"/>
      <c r="C1640" s="17"/>
    </row>
    <row r="1641" spans="1:3" s="13" customFormat="1" x14ac:dyDescent="0.25">
      <c r="A1641" s="15"/>
      <c r="B1641" s="16"/>
      <c r="C1641" s="17"/>
    </row>
    <row r="1642" spans="1:3" s="13" customFormat="1" x14ac:dyDescent="0.25">
      <c r="A1642" s="15"/>
      <c r="B1642" s="16"/>
      <c r="C1642" s="17"/>
    </row>
    <row r="1643" spans="1:3" s="13" customFormat="1" x14ac:dyDescent="0.25">
      <c r="A1643" s="15"/>
      <c r="B1643" s="16"/>
      <c r="C1643" s="17"/>
    </row>
    <row r="1644" spans="1:3" s="13" customFormat="1" x14ac:dyDescent="0.25">
      <c r="A1644" s="15"/>
      <c r="B1644" s="16"/>
      <c r="C1644" s="17"/>
    </row>
    <row r="1645" spans="1:3" s="13" customFormat="1" x14ac:dyDescent="0.25">
      <c r="A1645" s="15"/>
      <c r="B1645" s="16"/>
      <c r="C1645" s="17"/>
    </row>
    <row r="1646" spans="1:3" s="13" customFormat="1" x14ac:dyDescent="0.25">
      <c r="A1646" s="15"/>
      <c r="B1646" s="16"/>
      <c r="C1646" s="17"/>
    </row>
    <row r="1647" spans="1:3" s="13" customFormat="1" x14ac:dyDescent="0.25">
      <c r="A1647" s="15"/>
      <c r="B1647" s="16"/>
      <c r="C1647" s="17"/>
    </row>
    <row r="1648" spans="1:3" s="13" customFormat="1" x14ac:dyDescent="0.25">
      <c r="A1648" s="15"/>
      <c r="B1648" s="16"/>
      <c r="C1648" s="17"/>
    </row>
    <row r="1649" spans="1:3" s="13" customFormat="1" x14ac:dyDescent="0.25">
      <c r="A1649" s="15"/>
      <c r="B1649" s="16"/>
      <c r="C1649" s="17"/>
    </row>
    <row r="1650" spans="1:3" s="13" customFormat="1" x14ac:dyDescent="0.25">
      <c r="A1650" s="15"/>
      <c r="B1650" s="16"/>
      <c r="C1650" s="17"/>
    </row>
    <row r="1651" spans="1:3" s="13" customFormat="1" x14ac:dyDescent="0.25">
      <c r="A1651" s="15"/>
      <c r="B1651" s="16"/>
      <c r="C1651" s="17"/>
    </row>
    <row r="1652" spans="1:3" s="13" customFormat="1" x14ac:dyDescent="0.25">
      <c r="A1652" s="15"/>
      <c r="B1652" s="16"/>
      <c r="C1652" s="17"/>
    </row>
    <row r="1653" spans="1:3" s="13" customFormat="1" x14ac:dyDescent="0.25">
      <c r="A1653" s="15"/>
      <c r="B1653" s="16"/>
      <c r="C1653" s="17"/>
    </row>
    <row r="1654" spans="1:3" s="13" customFormat="1" x14ac:dyDescent="0.25">
      <c r="A1654" s="15"/>
      <c r="B1654" s="16"/>
      <c r="C1654" s="17"/>
    </row>
    <row r="1655" spans="1:3" s="13" customFormat="1" x14ac:dyDescent="0.25">
      <c r="A1655" s="15"/>
      <c r="B1655" s="16"/>
      <c r="C1655" s="17"/>
    </row>
    <row r="1656" spans="1:3" s="13" customFormat="1" x14ac:dyDescent="0.25">
      <c r="A1656" s="15"/>
      <c r="B1656" s="16"/>
      <c r="C1656" s="17"/>
    </row>
    <row r="1657" spans="1:3" s="13" customFormat="1" x14ac:dyDescent="0.25">
      <c r="A1657" s="15"/>
      <c r="B1657" s="16"/>
      <c r="C1657" s="17"/>
    </row>
    <row r="1658" spans="1:3" s="13" customFormat="1" x14ac:dyDescent="0.25">
      <c r="A1658" s="15"/>
      <c r="B1658" s="16"/>
      <c r="C1658" s="17"/>
    </row>
    <row r="1659" spans="1:3" s="13" customFormat="1" x14ac:dyDescent="0.25">
      <c r="A1659" s="15"/>
      <c r="B1659" s="16"/>
      <c r="C1659" s="17"/>
    </row>
    <row r="1660" spans="1:3" s="13" customFormat="1" x14ac:dyDescent="0.25">
      <c r="A1660" s="15"/>
      <c r="B1660" s="16"/>
      <c r="C1660" s="17"/>
    </row>
    <row r="1661" spans="1:3" s="13" customFormat="1" x14ac:dyDescent="0.25">
      <c r="A1661" s="15"/>
      <c r="B1661" s="16"/>
      <c r="C1661" s="17"/>
    </row>
    <row r="1662" spans="1:3" s="13" customFormat="1" x14ac:dyDescent="0.25">
      <c r="A1662" s="15"/>
      <c r="B1662" s="16"/>
      <c r="C1662" s="17"/>
    </row>
    <row r="1663" spans="1:3" s="13" customFormat="1" x14ac:dyDescent="0.25">
      <c r="A1663" s="15"/>
      <c r="B1663" s="16"/>
      <c r="C1663" s="17"/>
    </row>
    <row r="1664" spans="1:3" s="13" customFormat="1" x14ac:dyDescent="0.25">
      <c r="A1664" s="15"/>
      <c r="B1664" s="16"/>
      <c r="C1664" s="17"/>
    </row>
    <row r="1665" spans="1:3" s="13" customFormat="1" x14ac:dyDescent="0.25">
      <c r="A1665" s="15"/>
      <c r="B1665" s="16"/>
      <c r="C1665" s="17"/>
    </row>
    <row r="1666" spans="1:3" s="13" customFormat="1" x14ac:dyDescent="0.25">
      <c r="A1666" s="15"/>
      <c r="B1666" s="16"/>
      <c r="C1666" s="17"/>
    </row>
    <row r="1667" spans="1:3" s="13" customFormat="1" x14ac:dyDescent="0.25">
      <c r="A1667" s="15"/>
      <c r="B1667" s="16"/>
      <c r="C1667" s="17"/>
    </row>
    <row r="1668" spans="1:3" s="13" customFormat="1" x14ac:dyDescent="0.25">
      <c r="A1668" s="15"/>
      <c r="B1668" s="16"/>
      <c r="C1668" s="17"/>
    </row>
    <row r="1669" spans="1:3" s="13" customFormat="1" x14ac:dyDescent="0.25">
      <c r="A1669" s="15"/>
      <c r="B1669" s="16"/>
      <c r="C1669" s="17"/>
    </row>
    <row r="1670" spans="1:3" s="13" customFormat="1" x14ac:dyDescent="0.25">
      <c r="A1670" s="15"/>
      <c r="B1670" s="16"/>
      <c r="C1670" s="17"/>
    </row>
    <row r="1671" spans="1:3" s="13" customFormat="1" x14ac:dyDescent="0.25">
      <c r="A1671" s="15"/>
      <c r="B1671" s="16"/>
      <c r="C1671" s="17"/>
    </row>
    <row r="1672" spans="1:3" s="13" customFormat="1" x14ac:dyDescent="0.25">
      <c r="A1672" s="15"/>
      <c r="B1672" s="16"/>
      <c r="C1672" s="17"/>
    </row>
    <row r="1673" spans="1:3" s="13" customFormat="1" x14ac:dyDescent="0.25">
      <c r="A1673" s="15"/>
      <c r="B1673" s="16"/>
      <c r="C1673" s="17"/>
    </row>
    <row r="1674" spans="1:3" s="13" customFormat="1" x14ac:dyDescent="0.25">
      <c r="A1674" s="15"/>
      <c r="B1674" s="16"/>
      <c r="C1674" s="17"/>
    </row>
    <row r="1675" spans="1:3" s="13" customFormat="1" x14ac:dyDescent="0.25">
      <c r="A1675" s="15"/>
      <c r="B1675" s="16"/>
      <c r="C1675" s="17"/>
    </row>
    <row r="1676" spans="1:3" s="13" customFormat="1" x14ac:dyDescent="0.25">
      <c r="A1676" s="15"/>
      <c r="B1676" s="16"/>
      <c r="C1676" s="17"/>
    </row>
    <row r="1677" spans="1:3" s="13" customFormat="1" x14ac:dyDescent="0.25">
      <c r="A1677" s="15"/>
      <c r="B1677" s="16"/>
      <c r="C1677" s="17"/>
    </row>
    <row r="1678" spans="1:3" s="13" customFormat="1" x14ac:dyDescent="0.25">
      <c r="A1678" s="15"/>
      <c r="B1678" s="16"/>
      <c r="C1678" s="17"/>
    </row>
    <row r="1679" spans="1:3" s="13" customFormat="1" x14ac:dyDescent="0.25">
      <c r="A1679" s="15"/>
      <c r="B1679" s="16"/>
      <c r="C1679" s="17"/>
    </row>
    <row r="1680" spans="1:3" s="13" customFormat="1" x14ac:dyDescent="0.25">
      <c r="A1680" s="15"/>
      <c r="B1680" s="16"/>
      <c r="C1680" s="17"/>
    </row>
    <row r="1681" spans="1:3" s="13" customFormat="1" x14ac:dyDescent="0.25">
      <c r="A1681" s="15"/>
      <c r="B1681" s="16"/>
      <c r="C1681" s="17"/>
    </row>
    <row r="1682" spans="1:3" s="13" customFormat="1" x14ac:dyDescent="0.25">
      <c r="A1682" s="15"/>
      <c r="B1682" s="16"/>
      <c r="C1682" s="17"/>
    </row>
    <row r="1683" spans="1:3" s="13" customFormat="1" x14ac:dyDescent="0.25">
      <c r="A1683" s="15"/>
      <c r="B1683" s="16"/>
      <c r="C1683" s="17"/>
    </row>
    <row r="1684" spans="1:3" s="13" customFormat="1" x14ac:dyDescent="0.25">
      <c r="A1684" s="15"/>
      <c r="B1684" s="16"/>
      <c r="C1684" s="17"/>
    </row>
    <row r="1685" spans="1:3" s="13" customFormat="1" x14ac:dyDescent="0.25">
      <c r="A1685" s="15"/>
      <c r="B1685" s="16"/>
      <c r="C1685" s="17"/>
    </row>
    <row r="1686" spans="1:3" s="13" customFormat="1" x14ac:dyDescent="0.25">
      <c r="A1686" s="15"/>
      <c r="B1686" s="16"/>
      <c r="C1686" s="17"/>
    </row>
    <row r="1687" spans="1:3" s="13" customFormat="1" x14ac:dyDescent="0.25">
      <c r="A1687" s="15"/>
      <c r="B1687" s="16"/>
      <c r="C1687" s="17"/>
    </row>
    <row r="1688" spans="1:3" s="13" customFormat="1" x14ac:dyDescent="0.25">
      <c r="A1688" s="15"/>
      <c r="B1688" s="16"/>
      <c r="C1688" s="17"/>
    </row>
    <row r="1689" spans="1:3" s="13" customFormat="1" x14ac:dyDescent="0.25">
      <c r="A1689" s="15"/>
      <c r="B1689" s="16"/>
      <c r="C1689" s="17"/>
    </row>
    <row r="1690" spans="1:3" s="13" customFormat="1" x14ac:dyDescent="0.25">
      <c r="A1690" s="15"/>
      <c r="B1690" s="16"/>
      <c r="C1690" s="17"/>
    </row>
    <row r="1691" spans="1:3" s="13" customFormat="1" x14ac:dyDescent="0.25">
      <c r="A1691" s="15"/>
      <c r="B1691" s="16"/>
      <c r="C1691" s="17"/>
    </row>
    <row r="1692" spans="1:3" s="13" customFormat="1" x14ac:dyDescent="0.25">
      <c r="A1692" s="15"/>
      <c r="B1692" s="16"/>
      <c r="C1692" s="17"/>
    </row>
    <row r="1693" spans="1:3" s="13" customFormat="1" x14ac:dyDescent="0.25">
      <c r="A1693" s="15"/>
      <c r="B1693" s="16"/>
      <c r="C1693" s="17"/>
    </row>
    <row r="1694" spans="1:3" s="13" customFormat="1" x14ac:dyDescent="0.25">
      <c r="A1694" s="15"/>
      <c r="B1694" s="16"/>
      <c r="C1694" s="17"/>
    </row>
    <row r="1695" spans="1:3" s="13" customFormat="1" x14ac:dyDescent="0.25">
      <c r="A1695" s="15"/>
      <c r="B1695" s="16"/>
      <c r="C1695" s="17"/>
    </row>
    <row r="1696" spans="1:3" s="13" customFormat="1" x14ac:dyDescent="0.25">
      <c r="A1696" s="15"/>
      <c r="B1696" s="16"/>
      <c r="C1696" s="17"/>
    </row>
    <row r="1697" spans="1:3" s="13" customFormat="1" x14ac:dyDescent="0.25">
      <c r="A1697" s="15"/>
      <c r="B1697" s="16"/>
      <c r="C1697" s="17"/>
    </row>
    <row r="1698" spans="1:3" s="13" customFormat="1" x14ac:dyDescent="0.25">
      <c r="A1698" s="15"/>
      <c r="B1698" s="16"/>
      <c r="C1698" s="17"/>
    </row>
    <row r="1699" spans="1:3" s="13" customFormat="1" x14ac:dyDescent="0.25">
      <c r="A1699" s="15"/>
      <c r="B1699" s="16"/>
      <c r="C1699" s="17"/>
    </row>
    <row r="1700" spans="1:3" s="13" customFormat="1" x14ac:dyDescent="0.25">
      <c r="A1700" s="15"/>
      <c r="B1700" s="16"/>
      <c r="C1700" s="17"/>
    </row>
    <row r="1701" spans="1:3" s="13" customFormat="1" x14ac:dyDescent="0.25">
      <c r="A1701" s="15"/>
      <c r="B1701" s="16"/>
      <c r="C1701" s="17"/>
    </row>
    <row r="1702" spans="1:3" s="13" customFormat="1" x14ac:dyDescent="0.25">
      <c r="A1702" s="15"/>
      <c r="B1702" s="16"/>
      <c r="C1702" s="17"/>
    </row>
    <row r="1703" spans="1:3" s="13" customFormat="1" x14ac:dyDescent="0.25">
      <c r="A1703" s="15"/>
      <c r="B1703" s="16"/>
      <c r="C1703" s="17"/>
    </row>
    <row r="1704" spans="1:3" s="13" customFormat="1" x14ac:dyDescent="0.25">
      <c r="A1704" s="15"/>
      <c r="B1704" s="16"/>
      <c r="C1704" s="17"/>
    </row>
    <row r="1705" spans="1:3" s="13" customFormat="1" x14ac:dyDescent="0.25">
      <c r="A1705" s="15"/>
      <c r="B1705" s="16"/>
      <c r="C1705" s="17"/>
    </row>
    <row r="1706" spans="1:3" s="13" customFormat="1" x14ac:dyDescent="0.25">
      <c r="A1706" s="15"/>
      <c r="B1706" s="16"/>
      <c r="C1706" s="17"/>
    </row>
    <row r="1707" spans="1:3" s="13" customFormat="1" x14ac:dyDescent="0.25">
      <c r="A1707" s="15"/>
      <c r="B1707" s="16"/>
      <c r="C1707" s="17"/>
    </row>
    <row r="1708" spans="1:3" s="13" customFormat="1" x14ac:dyDescent="0.25">
      <c r="A1708" s="15"/>
      <c r="B1708" s="16"/>
      <c r="C1708" s="17"/>
    </row>
    <row r="1709" spans="1:3" s="13" customFormat="1" x14ac:dyDescent="0.25">
      <c r="A1709" s="15"/>
      <c r="B1709" s="16"/>
      <c r="C1709" s="17"/>
    </row>
    <row r="1710" spans="1:3" s="13" customFormat="1" x14ac:dyDescent="0.25">
      <c r="A1710" s="15"/>
      <c r="B1710" s="16"/>
      <c r="C1710" s="17"/>
    </row>
    <row r="1711" spans="1:3" s="13" customFormat="1" x14ac:dyDescent="0.25">
      <c r="A1711" s="15"/>
      <c r="B1711" s="16"/>
      <c r="C1711" s="17"/>
    </row>
    <row r="1712" spans="1:3" s="13" customFormat="1" x14ac:dyDescent="0.25">
      <c r="A1712" s="15"/>
      <c r="B1712" s="16"/>
      <c r="C1712" s="17"/>
    </row>
    <row r="1713" spans="1:3" s="13" customFormat="1" x14ac:dyDescent="0.25">
      <c r="A1713" s="15"/>
      <c r="B1713" s="16"/>
      <c r="C1713" s="17"/>
    </row>
    <row r="1714" spans="1:3" s="13" customFormat="1" x14ac:dyDescent="0.25">
      <c r="A1714" s="15"/>
      <c r="B1714" s="16"/>
      <c r="C1714" s="17"/>
    </row>
    <row r="1715" spans="1:3" s="13" customFormat="1" x14ac:dyDescent="0.25">
      <c r="A1715" s="15"/>
      <c r="B1715" s="16"/>
      <c r="C1715" s="17"/>
    </row>
    <row r="1716" spans="1:3" s="13" customFormat="1" x14ac:dyDescent="0.25">
      <c r="A1716" s="15"/>
      <c r="B1716" s="16"/>
      <c r="C1716" s="17"/>
    </row>
    <row r="1717" spans="1:3" s="13" customFormat="1" x14ac:dyDescent="0.25">
      <c r="A1717" s="15"/>
      <c r="B1717" s="16"/>
      <c r="C1717" s="17"/>
    </row>
    <row r="1718" spans="1:3" s="13" customFormat="1" x14ac:dyDescent="0.25">
      <c r="A1718" s="15"/>
      <c r="B1718" s="16"/>
      <c r="C1718" s="17"/>
    </row>
    <row r="1719" spans="1:3" s="13" customFormat="1" x14ac:dyDescent="0.25">
      <c r="A1719" s="15"/>
      <c r="B1719" s="16"/>
      <c r="C1719" s="17"/>
    </row>
    <row r="1720" spans="1:3" s="13" customFormat="1" x14ac:dyDescent="0.25">
      <c r="A1720" s="15"/>
      <c r="B1720" s="16"/>
      <c r="C1720" s="17"/>
    </row>
    <row r="1721" spans="1:3" s="13" customFormat="1" x14ac:dyDescent="0.25">
      <c r="A1721" s="15"/>
      <c r="B1721" s="16"/>
      <c r="C1721" s="17"/>
    </row>
    <row r="1722" spans="1:3" s="13" customFormat="1" x14ac:dyDescent="0.25">
      <c r="A1722" s="15"/>
      <c r="B1722" s="16"/>
      <c r="C1722" s="17"/>
    </row>
    <row r="1723" spans="1:3" s="13" customFormat="1" x14ac:dyDescent="0.25">
      <c r="A1723" s="15"/>
      <c r="B1723" s="16"/>
      <c r="C1723" s="17"/>
    </row>
    <row r="1724" spans="1:3" s="13" customFormat="1" x14ac:dyDescent="0.25">
      <c r="A1724" s="15"/>
      <c r="B1724" s="16"/>
      <c r="C1724" s="17"/>
    </row>
    <row r="1725" spans="1:3" s="13" customFormat="1" x14ac:dyDescent="0.25">
      <c r="A1725" s="15"/>
      <c r="B1725" s="16"/>
      <c r="C1725" s="17"/>
    </row>
    <row r="1726" spans="1:3" s="13" customFormat="1" x14ac:dyDescent="0.25">
      <c r="A1726" s="15"/>
      <c r="B1726" s="16"/>
      <c r="C1726" s="17"/>
    </row>
    <row r="1727" spans="1:3" s="13" customFormat="1" x14ac:dyDescent="0.25">
      <c r="A1727" s="15"/>
      <c r="B1727" s="16"/>
      <c r="C1727" s="17"/>
    </row>
    <row r="1728" spans="1:3" s="13" customFormat="1" x14ac:dyDescent="0.25">
      <c r="A1728" s="15"/>
      <c r="B1728" s="16"/>
      <c r="C1728" s="17"/>
    </row>
    <row r="1729" spans="1:3" s="13" customFormat="1" x14ac:dyDescent="0.25">
      <c r="A1729" s="15"/>
      <c r="B1729" s="16"/>
      <c r="C1729" s="17"/>
    </row>
    <row r="1730" spans="1:3" s="13" customFormat="1" x14ac:dyDescent="0.25">
      <c r="A1730" s="15"/>
      <c r="B1730" s="16"/>
      <c r="C1730" s="17"/>
    </row>
    <row r="1731" spans="1:3" s="13" customFormat="1" x14ac:dyDescent="0.25">
      <c r="A1731" s="15"/>
      <c r="B1731" s="16"/>
      <c r="C1731" s="17"/>
    </row>
    <row r="1732" spans="1:3" s="13" customFormat="1" x14ac:dyDescent="0.25">
      <c r="A1732" s="15"/>
      <c r="B1732" s="16"/>
      <c r="C1732" s="17"/>
    </row>
    <row r="1733" spans="1:3" s="13" customFormat="1" x14ac:dyDescent="0.25">
      <c r="A1733" s="15"/>
      <c r="B1733" s="16"/>
      <c r="C1733" s="17"/>
    </row>
    <row r="1734" spans="1:3" s="13" customFormat="1" x14ac:dyDescent="0.25">
      <c r="A1734" s="15"/>
      <c r="B1734" s="16"/>
      <c r="C1734" s="17"/>
    </row>
    <row r="1735" spans="1:3" s="13" customFormat="1" x14ac:dyDescent="0.25">
      <c r="A1735" s="15"/>
      <c r="B1735" s="16"/>
      <c r="C1735" s="17"/>
    </row>
    <row r="1736" spans="1:3" s="13" customFormat="1" x14ac:dyDescent="0.25">
      <c r="A1736" s="15"/>
      <c r="B1736" s="16"/>
      <c r="C1736" s="17"/>
    </row>
    <row r="1737" spans="1:3" s="13" customFormat="1" x14ac:dyDescent="0.25">
      <c r="A1737" s="15"/>
      <c r="B1737" s="16"/>
      <c r="C1737" s="17"/>
    </row>
    <row r="1738" spans="1:3" s="13" customFormat="1" x14ac:dyDescent="0.25">
      <c r="A1738" s="15"/>
      <c r="B1738" s="16"/>
      <c r="C1738" s="17"/>
    </row>
    <row r="1739" spans="1:3" s="13" customFormat="1" x14ac:dyDescent="0.25">
      <c r="A1739" s="15"/>
      <c r="B1739" s="16"/>
      <c r="C1739" s="17"/>
    </row>
    <row r="1740" spans="1:3" s="13" customFormat="1" x14ac:dyDescent="0.25">
      <c r="A1740" s="15"/>
      <c r="B1740" s="16"/>
      <c r="C1740" s="17"/>
    </row>
    <row r="1741" spans="1:3" s="13" customFormat="1" x14ac:dyDescent="0.25">
      <c r="A1741" s="15"/>
      <c r="B1741" s="16"/>
      <c r="C1741" s="17"/>
    </row>
    <row r="1742" spans="1:3" s="13" customFormat="1" x14ac:dyDescent="0.25">
      <c r="A1742" s="15"/>
      <c r="B1742" s="16"/>
      <c r="C1742" s="17"/>
    </row>
    <row r="1743" spans="1:3" s="13" customFormat="1" x14ac:dyDescent="0.25">
      <c r="A1743" s="15"/>
      <c r="B1743" s="16"/>
      <c r="C1743" s="17"/>
    </row>
    <row r="1744" spans="1:3" s="13" customFormat="1" x14ac:dyDescent="0.25">
      <c r="A1744" s="15"/>
      <c r="B1744" s="16"/>
      <c r="C1744" s="17"/>
    </row>
    <row r="1745" spans="1:3" s="13" customFormat="1" x14ac:dyDescent="0.25">
      <c r="A1745" s="15"/>
      <c r="B1745" s="16"/>
      <c r="C1745" s="17"/>
    </row>
    <row r="1746" spans="1:3" s="13" customFormat="1" x14ac:dyDescent="0.25">
      <c r="A1746" s="15"/>
      <c r="B1746" s="16"/>
      <c r="C1746" s="17"/>
    </row>
    <row r="1747" spans="1:3" s="13" customFormat="1" x14ac:dyDescent="0.25">
      <c r="A1747" s="15"/>
      <c r="B1747" s="16"/>
      <c r="C1747" s="17"/>
    </row>
    <row r="1748" spans="1:3" s="13" customFormat="1" x14ac:dyDescent="0.25">
      <c r="A1748" s="15"/>
      <c r="B1748" s="16"/>
      <c r="C1748" s="17"/>
    </row>
    <row r="1749" spans="1:3" s="13" customFormat="1" x14ac:dyDescent="0.25">
      <c r="A1749" s="15"/>
      <c r="B1749" s="16"/>
      <c r="C1749" s="17"/>
    </row>
    <row r="1750" spans="1:3" s="13" customFormat="1" x14ac:dyDescent="0.25">
      <c r="A1750" s="15"/>
      <c r="B1750" s="16"/>
      <c r="C1750" s="17"/>
    </row>
    <row r="1751" spans="1:3" s="13" customFormat="1" x14ac:dyDescent="0.25">
      <c r="A1751" s="15"/>
      <c r="B1751" s="16"/>
      <c r="C1751" s="17"/>
    </row>
    <row r="1752" spans="1:3" s="13" customFormat="1" x14ac:dyDescent="0.25">
      <c r="A1752" s="15"/>
      <c r="B1752" s="16"/>
      <c r="C1752" s="17"/>
    </row>
    <row r="1753" spans="1:3" s="13" customFormat="1" x14ac:dyDescent="0.25">
      <c r="A1753" s="15"/>
      <c r="B1753" s="16"/>
      <c r="C1753" s="17"/>
    </row>
    <row r="1754" spans="1:3" s="13" customFormat="1" x14ac:dyDescent="0.25">
      <c r="A1754" s="15"/>
      <c r="B1754" s="16"/>
      <c r="C1754" s="17"/>
    </row>
    <row r="1755" spans="1:3" s="13" customFormat="1" x14ac:dyDescent="0.25">
      <c r="A1755" s="15"/>
      <c r="B1755" s="16"/>
      <c r="C1755" s="17"/>
    </row>
    <row r="1756" spans="1:3" s="13" customFormat="1" x14ac:dyDescent="0.25">
      <c r="A1756" s="15"/>
      <c r="B1756" s="16"/>
      <c r="C1756" s="17"/>
    </row>
    <row r="1757" spans="1:3" s="13" customFormat="1" x14ac:dyDescent="0.25">
      <c r="A1757" s="15"/>
      <c r="B1757" s="16"/>
      <c r="C1757" s="17"/>
    </row>
    <row r="1758" spans="1:3" s="13" customFormat="1" x14ac:dyDescent="0.25">
      <c r="A1758" s="15"/>
      <c r="B1758" s="16"/>
      <c r="C1758" s="17"/>
    </row>
    <row r="1759" spans="1:3" s="13" customFormat="1" x14ac:dyDescent="0.25">
      <c r="A1759" s="15"/>
      <c r="B1759" s="16"/>
      <c r="C1759" s="17"/>
    </row>
    <row r="1760" spans="1:3" s="13" customFormat="1" x14ac:dyDescent="0.25">
      <c r="A1760" s="15"/>
      <c r="B1760" s="16"/>
      <c r="C1760" s="17"/>
    </row>
    <row r="1761" spans="1:3" s="13" customFormat="1" x14ac:dyDescent="0.25">
      <c r="A1761" s="15"/>
      <c r="B1761" s="16"/>
      <c r="C1761" s="17"/>
    </row>
    <row r="1762" spans="1:3" s="13" customFormat="1" x14ac:dyDescent="0.25">
      <c r="A1762" s="15"/>
      <c r="B1762" s="16"/>
      <c r="C1762" s="17"/>
    </row>
    <row r="1763" spans="1:3" s="13" customFormat="1" x14ac:dyDescent="0.25">
      <c r="A1763" s="15"/>
      <c r="B1763" s="16"/>
      <c r="C1763" s="17"/>
    </row>
    <row r="1764" spans="1:3" s="13" customFormat="1" x14ac:dyDescent="0.25">
      <c r="A1764" s="15"/>
      <c r="B1764" s="16"/>
      <c r="C1764" s="17"/>
    </row>
    <row r="1765" spans="1:3" s="13" customFormat="1" x14ac:dyDescent="0.25">
      <c r="A1765" s="15"/>
      <c r="B1765" s="16"/>
      <c r="C1765" s="17"/>
    </row>
    <row r="1766" spans="1:3" s="13" customFormat="1" x14ac:dyDescent="0.25">
      <c r="A1766" s="15"/>
      <c r="B1766" s="16"/>
      <c r="C1766" s="17"/>
    </row>
    <row r="1767" spans="1:3" s="13" customFormat="1" x14ac:dyDescent="0.25">
      <c r="A1767" s="15"/>
      <c r="B1767" s="16"/>
      <c r="C1767" s="17"/>
    </row>
    <row r="1768" spans="1:3" s="13" customFormat="1" x14ac:dyDescent="0.25">
      <c r="A1768" s="15"/>
      <c r="B1768" s="16"/>
      <c r="C1768" s="17"/>
    </row>
    <row r="1769" spans="1:3" s="13" customFormat="1" x14ac:dyDescent="0.25">
      <c r="A1769" s="15"/>
      <c r="B1769" s="16"/>
      <c r="C1769" s="17"/>
    </row>
    <row r="1770" spans="1:3" s="13" customFormat="1" x14ac:dyDescent="0.25">
      <c r="A1770" s="15"/>
      <c r="B1770" s="16"/>
      <c r="C1770" s="17"/>
    </row>
    <row r="1771" spans="1:3" s="13" customFormat="1" x14ac:dyDescent="0.25">
      <c r="A1771" s="15"/>
      <c r="B1771" s="16"/>
      <c r="C1771" s="17"/>
    </row>
    <row r="1772" spans="1:3" s="13" customFormat="1" x14ac:dyDescent="0.25">
      <c r="A1772" s="15"/>
      <c r="B1772" s="16"/>
      <c r="C1772" s="17"/>
    </row>
    <row r="1773" spans="1:3" s="13" customFormat="1" x14ac:dyDescent="0.25">
      <c r="A1773" s="15"/>
      <c r="B1773" s="16"/>
      <c r="C1773" s="17"/>
    </row>
    <row r="1774" spans="1:3" s="13" customFormat="1" x14ac:dyDescent="0.25">
      <c r="A1774" s="15"/>
      <c r="B1774" s="16"/>
      <c r="C1774" s="17"/>
    </row>
    <row r="1775" spans="1:3" s="13" customFormat="1" x14ac:dyDescent="0.25">
      <c r="A1775" s="15"/>
      <c r="B1775" s="16"/>
      <c r="C1775" s="17"/>
    </row>
    <row r="1776" spans="1:3" s="13" customFormat="1" x14ac:dyDescent="0.25">
      <c r="A1776" s="15"/>
      <c r="B1776" s="16"/>
      <c r="C1776" s="17"/>
    </row>
    <row r="1777" spans="1:3" s="13" customFormat="1" x14ac:dyDescent="0.25">
      <c r="A1777" s="15"/>
      <c r="B1777" s="16"/>
      <c r="C1777" s="17"/>
    </row>
    <row r="1778" spans="1:3" s="13" customFormat="1" x14ac:dyDescent="0.25">
      <c r="A1778" s="15"/>
      <c r="B1778" s="16"/>
      <c r="C1778" s="17"/>
    </row>
    <row r="1779" spans="1:3" s="13" customFormat="1" x14ac:dyDescent="0.25">
      <c r="A1779" s="15"/>
      <c r="B1779" s="16"/>
      <c r="C1779" s="17"/>
    </row>
    <row r="1780" spans="1:3" s="13" customFormat="1" x14ac:dyDescent="0.25">
      <c r="A1780" s="15"/>
      <c r="B1780" s="16"/>
      <c r="C1780" s="17"/>
    </row>
    <row r="1781" spans="1:3" s="13" customFormat="1" x14ac:dyDescent="0.25">
      <c r="A1781" s="15"/>
      <c r="B1781" s="16"/>
      <c r="C1781" s="17"/>
    </row>
    <row r="1782" spans="1:3" s="13" customFormat="1" x14ac:dyDescent="0.25">
      <c r="A1782" s="15"/>
      <c r="B1782" s="16"/>
      <c r="C1782" s="17"/>
    </row>
    <row r="1783" spans="1:3" s="13" customFormat="1" x14ac:dyDescent="0.25">
      <c r="A1783" s="15"/>
      <c r="B1783" s="16"/>
      <c r="C1783" s="17"/>
    </row>
    <row r="1784" spans="1:3" s="13" customFormat="1" x14ac:dyDescent="0.25">
      <c r="A1784" s="15"/>
      <c r="B1784" s="16"/>
      <c r="C1784" s="17"/>
    </row>
    <row r="1785" spans="1:3" s="13" customFormat="1" x14ac:dyDescent="0.25">
      <c r="A1785" s="15"/>
      <c r="B1785" s="16"/>
      <c r="C1785" s="17"/>
    </row>
    <row r="1786" spans="1:3" s="13" customFormat="1" x14ac:dyDescent="0.25">
      <c r="A1786" s="15"/>
      <c r="B1786" s="16"/>
      <c r="C1786" s="17"/>
    </row>
    <row r="1787" spans="1:3" s="13" customFormat="1" x14ac:dyDescent="0.25">
      <c r="A1787" s="15"/>
      <c r="B1787" s="16"/>
      <c r="C1787" s="17"/>
    </row>
    <row r="1788" spans="1:3" s="13" customFormat="1" x14ac:dyDescent="0.25">
      <c r="A1788" s="15"/>
      <c r="B1788" s="16"/>
      <c r="C1788" s="17"/>
    </row>
    <row r="1789" spans="1:3" s="13" customFormat="1" x14ac:dyDescent="0.25">
      <c r="A1789" s="15"/>
      <c r="B1789" s="16"/>
      <c r="C1789" s="17"/>
    </row>
    <row r="1790" spans="1:3" s="13" customFormat="1" x14ac:dyDescent="0.25">
      <c r="A1790" s="15"/>
      <c r="B1790" s="16"/>
      <c r="C1790" s="17"/>
    </row>
    <row r="1791" spans="1:3" s="13" customFormat="1" x14ac:dyDescent="0.25">
      <c r="A1791" s="15"/>
      <c r="B1791" s="16"/>
      <c r="C1791" s="17"/>
    </row>
    <row r="1792" spans="1:3" s="13" customFormat="1" x14ac:dyDescent="0.25">
      <c r="A1792" s="15"/>
      <c r="B1792" s="16"/>
      <c r="C1792" s="17"/>
    </row>
    <row r="1793" spans="1:3" s="13" customFormat="1" x14ac:dyDescent="0.25">
      <c r="A1793" s="15"/>
      <c r="B1793" s="16"/>
      <c r="C1793" s="17"/>
    </row>
    <row r="1794" spans="1:3" s="13" customFormat="1" x14ac:dyDescent="0.25">
      <c r="A1794" s="15"/>
      <c r="B1794" s="16"/>
      <c r="C1794" s="17"/>
    </row>
    <row r="1795" spans="1:3" s="13" customFormat="1" x14ac:dyDescent="0.25">
      <c r="A1795" s="15"/>
      <c r="B1795" s="16"/>
      <c r="C1795" s="17"/>
    </row>
    <row r="1796" spans="1:3" s="13" customFormat="1" x14ac:dyDescent="0.25">
      <c r="A1796" s="15"/>
      <c r="B1796" s="16"/>
      <c r="C1796" s="17"/>
    </row>
    <row r="1797" spans="1:3" s="13" customFormat="1" x14ac:dyDescent="0.25">
      <c r="A1797" s="15"/>
      <c r="B1797" s="16"/>
      <c r="C1797" s="17"/>
    </row>
    <row r="1798" spans="1:3" s="13" customFormat="1" x14ac:dyDescent="0.25">
      <c r="A1798" s="15"/>
      <c r="B1798" s="16"/>
      <c r="C1798" s="17"/>
    </row>
    <row r="1799" spans="1:3" s="13" customFormat="1" x14ac:dyDescent="0.25">
      <c r="A1799" s="15"/>
      <c r="B1799" s="16"/>
      <c r="C1799" s="17"/>
    </row>
    <row r="1800" spans="1:3" s="13" customFormat="1" x14ac:dyDescent="0.25">
      <c r="A1800" s="15"/>
      <c r="B1800" s="16"/>
      <c r="C1800" s="17"/>
    </row>
    <row r="1801" spans="1:3" s="13" customFormat="1" x14ac:dyDescent="0.25">
      <c r="A1801" s="15"/>
      <c r="B1801" s="16"/>
      <c r="C1801" s="17"/>
    </row>
    <row r="1802" spans="1:3" s="13" customFormat="1" x14ac:dyDescent="0.25">
      <c r="A1802" s="15"/>
      <c r="B1802" s="16"/>
      <c r="C1802" s="17"/>
    </row>
    <row r="1803" spans="1:3" s="13" customFormat="1" x14ac:dyDescent="0.25">
      <c r="A1803" s="15"/>
      <c r="B1803" s="16"/>
      <c r="C1803" s="17"/>
    </row>
    <row r="1804" spans="1:3" s="13" customFormat="1" x14ac:dyDescent="0.25">
      <c r="A1804" s="15"/>
      <c r="B1804" s="16"/>
      <c r="C1804" s="17"/>
    </row>
    <row r="1805" spans="1:3" s="13" customFormat="1" x14ac:dyDescent="0.25">
      <c r="A1805" s="15"/>
      <c r="B1805" s="16"/>
      <c r="C1805" s="17"/>
    </row>
    <row r="1806" spans="1:3" s="13" customFormat="1" x14ac:dyDescent="0.25">
      <c r="A1806" s="15"/>
      <c r="B1806" s="16"/>
      <c r="C1806" s="17"/>
    </row>
    <row r="1807" spans="1:3" s="13" customFormat="1" x14ac:dyDescent="0.25">
      <c r="A1807" s="15"/>
      <c r="B1807" s="16"/>
      <c r="C1807" s="17"/>
    </row>
    <row r="1808" spans="1:3" s="13" customFormat="1" x14ac:dyDescent="0.25">
      <c r="A1808" s="15"/>
      <c r="B1808" s="16"/>
      <c r="C1808" s="17"/>
    </row>
    <row r="1809" spans="1:3" s="13" customFormat="1" x14ac:dyDescent="0.25">
      <c r="A1809" s="15"/>
      <c r="B1809" s="16"/>
      <c r="C1809" s="17"/>
    </row>
    <row r="1810" spans="1:3" s="13" customFormat="1" x14ac:dyDescent="0.25">
      <c r="A1810" s="15"/>
      <c r="B1810" s="16"/>
      <c r="C1810" s="17"/>
    </row>
    <row r="1811" spans="1:3" s="13" customFormat="1" x14ac:dyDescent="0.25">
      <c r="A1811" s="15"/>
      <c r="B1811" s="16"/>
      <c r="C1811" s="17"/>
    </row>
    <row r="1812" spans="1:3" s="13" customFormat="1" x14ac:dyDescent="0.25">
      <c r="A1812" s="15"/>
      <c r="B1812" s="16"/>
      <c r="C1812" s="17"/>
    </row>
    <row r="1813" spans="1:3" s="13" customFormat="1" x14ac:dyDescent="0.25">
      <c r="A1813" s="15"/>
      <c r="B1813" s="16"/>
      <c r="C1813" s="17"/>
    </row>
    <row r="1814" spans="1:3" s="13" customFormat="1" x14ac:dyDescent="0.25">
      <c r="A1814" s="15"/>
      <c r="B1814" s="16"/>
      <c r="C1814" s="17"/>
    </row>
    <row r="1815" spans="1:3" s="13" customFormat="1" x14ac:dyDescent="0.25">
      <c r="A1815" s="15"/>
      <c r="B1815" s="16"/>
      <c r="C1815" s="17"/>
    </row>
    <row r="1816" spans="1:3" s="13" customFormat="1" x14ac:dyDescent="0.25">
      <c r="A1816" s="15"/>
      <c r="B1816" s="16"/>
      <c r="C1816" s="17"/>
    </row>
    <row r="1817" spans="1:3" s="13" customFormat="1" x14ac:dyDescent="0.25">
      <c r="A1817" s="15"/>
      <c r="B1817" s="16"/>
      <c r="C1817" s="17"/>
    </row>
    <row r="1818" spans="1:3" s="13" customFormat="1" x14ac:dyDescent="0.25">
      <c r="A1818" s="15"/>
      <c r="B1818" s="16"/>
      <c r="C1818" s="17"/>
    </row>
    <row r="1819" spans="1:3" s="13" customFormat="1" x14ac:dyDescent="0.25">
      <c r="A1819" s="15"/>
      <c r="B1819" s="16"/>
      <c r="C1819" s="17"/>
    </row>
    <row r="1820" spans="1:3" s="13" customFormat="1" x14ac:dyDescent="0.25">
      <c r="A1820" s="15"/>
      <c r="B1820" s="16"/>
      <c r="C1820" s="17"/>
    </row>
    <row r="1821" spans="1:3" s="13" customFormat="1" x14ac:dyDescent="0.25">
      <c r="A1821" s="15"/>
      <c r="B1821" s="16"/>
      <c r="C1821" s="17"/>
    </row>
    <row r="1822" spans="1:3" s="13" customFormat="1" x14ac:dyDescent="0.25">
      <c r="A1822" s="15"/>
      <c r="B1822" s="16"/>
      <c r="C1822" s="17"/>
    </row>
    <row r="1823" spans="1:3" s="13" customFormat="1" x14ac:dyDescent="0.25">
      <c r="A1823" s="15"/>
      <c r="B1823" s="16"/>
      <c r="C1823" s="17"/>
    </row>
    <row r="1824" spans="1:3" s="13" customFormat="1" x14ac:dyDescent="0.25">
      <c r="A1824" s="15"/>
      <c r="B1824" s="16"/>
      <c r="C1824" s="17"/>
    </row>
    <row r="1825" spans="1:3" s="13" customFormat="1" x14ac:dyDescent="0.25">
      <c r="A1825" s="15"/>
      <c r="B1825" s="16"/>
      <c r="C1825" s="17"/>
    </row>
    <row r="1826" spans="1:3" s="13" customFormat="1" x14ac:dyDescent="0.25">
      <c r="A1826" s="15"/>
      <c r="B1826" s="16"/>
      <c r="C1826" s="17"/>
    </row>
    <row r="1827" spans="1:3" s="13" customFormat="1" x14ac:dyDescent="0.25">
      <c r="A1827" s="15"/>
      <c r="B1827" s="16"/>
      <c r="C1827" s="17"/>
    </row>
    <row r="1828" spans="1:3" s="13" customFormat="1" x14ac:dyDescent="0.25">
      <c r="A1828" s="15"/>
      <c r="B1828" s="16"/>
      <c r="C1828" s="17"/>
    </row>
    <row r="1829" spans="1:3" s="13" customFormat="1" x14ac:dyDescent="0.25">
      <c r="A1829" s="15"/>
      <c r="B1829" s="16"/>
      <c r="C1829" s="17"/>
    </row>
    <row r="1830" spans="1:3" s="13" customFormat="1" x14ac:dyDescent="0.25">
      <c r="A1830" s="15"/>
      <c r="B1830" s="16"/>
      <c r="C1830" s="17"/>
    </row>
    <row r="1831" spans="1:3" s="13" customFormat="1" x14ac:dyDescent="0.25">
      <c r="A1831" s="15"/>
      <c r="B1831" s="16"/>
      <c r="C1831" s="17"/>
    </row>
    <row r="1832" spans="1:3" s="13" customFormat="1" x14ac:dyDescent="0.25">
      <c r="A1832" s="15"/>
      <c r="B1832" s="16"/>
      <c r="C1832" s="17"/>
    </row>
    <row r="1833" spans="1:3" s="13" customFormat="1" x14ac:dyDescent="0.25">
      <c r="A1833" s="15"/>
      <c r="B1833" s="16"/>
      <c r="C1833" s="17"/>
    </row>
    <row r="1834" spans="1:3" s="13" customFormat="1" x14ac:dyDescent="0.25">
      <c r="A1834" s="15"/>
      <c r="B1834" s="16"/>
      <c r="C1834" s="17"/>
    </row>
    <row r="1835" spans="1:3" s="13" customFormat="1" x14ac:dyDescent="0.25">
      <c r="A1835" s="15"/>
      <c r="B1835" s="16"/>
      <c r="C1835" s="17"/>
    </row>
    <row r="1836" spans="1:3" s="13" customFormat="1" x14ac:dyDescent="0.25">
      <c r="A1836" s="15"/>
      <c r="B1836" s="16"/>
      <c r="C1836" s="17"/>
    </row>
    <row r="1837" spans="1:3" s="13" customFormat="1" x14ac:dyDescent="0.25">
      <c r="A1837" s="15"/>
      <c r="B1837" s="16"/>
      <c r="C1837" s="17"/>
    </row>
    <row r="1838" spans="1:3" s="13" customFormat="1" x14ac:dyDescent="0.25">
      <c r="A1838" s="15"/>
      <c r="B1838" s="16"/>
      <c r="C1838" s="17"/>
    </row>
    <row r="1839" spans="1:3" s="13" customFormat="1" x14ac:dyDescent="0.25">
      <c r="A1839" s="15"/>
      <c r="B1839" s="16"/>
      <c r="C1839" s="17"/>
    </row>
    <row r="1840" spans="1:3" s="13" customFormat="1" x14ac:dyDescent="0.25">
      <c r="A1840" s="15"/>
      <c r="B1840" s="16"/>
      <c r="C1840" s="17"/>
    </row>
    <row r="1841" spans="1:3" s="13" customFormat="1" x14ac:dyDescent="0.25">
      <c r="A1841" s="15"/>
      <c r="B1841" s="16"/>
      <c r="C1841" s="17"/>
    </row>
    <row r="1842" spans="1:3" s="13" customFormat="1" x14ac:dyDescent="0.25">
      <c r="A1842" s="15"/>
      <c r="B1842" s="16"/>
      <c r="C1842" s="17"/>
    </row>
    <row r="1843" spans="1:3" s="13" customFormat="1" x14ac:dyDescent="0.25">
      <c r="A1843" s="15"/>
      <c r="B1843" s="16"/>
      <c r="C1843" s="17"/>
    </row>
    <row r="1844" spans="1:3" s="13" customFormat="1" x14ac:dyDescent="0.25">
      <c r="A1844" s="15"/>
      <c r="B1844" s="16"/>
      <c r="C1844" s="17"/>
    </row>
    <row r="1845" spans="1:3" s="13" customFormat="1" x14ac:dyDescent="0.25">
      <c r="A1845" s="15"/>
      <c r="B1845" s="16"/>
      <c r="C1845" s="17"/>
    </row>
    <row r="1846" spans="1:3" s="13" customFormat="1" x14ac:dyDescent="0.25">
      <c r="A1846" s="15"/>
      <c r="B1846" s="16"/>
      <c r="C1846" s="17"/>
    </row>
    <row r="1847" spans="1:3" s="13" customFormat="1" x14ac:dyDescent="0.25">
      <c r="A1847" s="15"/>
      <c r="B1847" s="16"/>
      <c r="C1847" s="17"/>
    </row>
    <row r="1848" spans="1:3" s="13" customFormat="1" x14ac:dyDescent="0.25">
      <c r="A1848" s="15"/>
      <c r="B1848" s="16"/>
      <c r="C1848" s="17"/>
    </row>
    <row r="1849" spans="1:3" s="13" customFormat="1" x14ac:dyDescent="0.25">
      <c r="A1849" s="15"/>
      <c r="B1849" s="16"/>
      <c r="C1849" s="17"/>
    </row>
    <row r="1850" spans="1:3" s="13" customFormat="1" x14ac:dyDescent="0.25">
      <c r="A1850" s="15"/>
      <c r="B1850" s="16"/>
      <c r="C1850" s="17"/>
    </row>
    <row r="1851" spans="1:3" s="13" customFormat="1" x14ac:dyDescent="0.25">
      <c r="A1851" s="15"/>
      <c r="B1851" s="16"/>
      <c r="C1851" s="17"/>
    </row>
    <row r="1852" spans="1:3" s="13" customFormat="1" x14ac:dyDescent="0.25">
      <c r="A1852" s="15"/>
      <c r="B1852" s="16"/>
      <c r="C1852" s="17"/>
    </row>
    <row r="1853" spans="1:3" s="13" customFormat="1" x14ac:dyDescent="0.25">
      <c r="A1853" s="15"/>
      <c r="B1853" s="16"/>
      <c r="C1853" s="17"/>
    </row>
    <row r="1854" spans="1:3" s="13" customFormat="1" x14ac:dyDescent="0.25">
      <c r="A1854" s="15"/>
      <c r="B1854" s="16"/>
      <c r="C1854" s="17"/>
    </row>
    <row r="1855" spans="1:3" s="13" customFormat="1" x14ac:dyDescent="0.25">
      <c r="A1855" s="15"/>
      <c r="B1855" s="16"/>
      <c r="C1855" s="17"/>
    </row>
    <row r="1856" spans="1:3" s="13" customFormat="1" x14ac:dyDescent="0.25">
      <c r="A1856" s="15"/>
      <c r="B1856" s="16"/>
      <c r="C1856" s="17"/>
    </row>
    <row r="1857" spans="1:3" s="13" customFormat="1" x14ac:dyDescent="0.25">
      <c r="A1857" s="15"/>
      <c r="B1857" s="16"/>
      <c r="C1857" s="17"/>
    </row>
    <row r="1858" spans="1:3" s="13" customFormat="1" x14ac:dyDescent="0.25">
      <c r="A1858" s="15"/>
      <c r="B1858" s="16"/>
      <c r="C1858" s="17"/>
    </row>
    <row r="1859" spans="1:3" s="13" customFormat="1" x14ac:dyDescent="0.25">
      <c r="A1859" s="15"/>
      <c r="B1859" s="16"/>
      <c r="C1859" s="17"/>
    </row>
    <row r="1860" spans="1:3" s="13" customFormat="1" x14ac:dyDescent="0.25">
      <c r="A1860" s="15"/>
      <c r="B1860" s="16"/>
      <c r="C1860" s="17"/>
    </row>
    <row r="1861" spans="1:3" s="13" customFormat="1" x14ac:dyDescent="0.25">
      <c r="A1861" s="15"/>
      <c r="B1861" s="16"/>
      <c r="C1861" s="17"/>
    </row>
    <row r="1862" spans="1:3" s="13" customFormat="1" x14ac:dyDescent="0.25">
      <c r="A1862" s="15"/>
      <c r="B1862" s="16"/>
      <c r="C1862" s="17"/>
    </row>
    <row r="1863" spans="1:3" s="13" customFormat="1" x14ac:dyDescent="0.25">
      <c r="A1863" s="15"/>
      <c r="B1863" s="16"/>
      <c r="C1863" s="17"/>
    </row>
    <row r="1864" spans="1:3" s="13" customFormat="1" x14ac:dyDescent="0.25">
      <c r="A1864" s="15"/>
      <c r="B1864" s="16"/>
      <c r="C1864" s="17"/>
    </row>
    <row r="1865" spans="1:3" s="13" customFormat="1" x14ac:dyDescent="0.25">
      <c r="A1865" s="15"/>
      <c r="B1865" s="16"/>
      <c r="C1865" s="17"/>
    </row>
    <row r="1866" spans="1:3" s="13" customFormat="1" x14ac:dyDescent="0.25">
      <c r="A1866" s="15"/>
      <c r="B1866" s="16"/>
      <c r="C1866" s="17"/>
    </row>
    <row r="1867" spans="1:3" s="13" customFormat="1" x14ac:dyDescent="0.25">
      <c r="A1867" s="15"/>
      <c r="B1867" s="16"/>
      <c r="C1867" s="17"/>
    </row>
    <row r="1868" spans="1:3" s="13" customFormat="1" x14ac:dyDescent="0.25">
      <c r="A1868" s="15"/>
      <c r="B1868" s="16"/>
      <c r="C1868" s="17"/>
    </row>
    <row r="1869" spans="1:3" s="13" customFormat="1" x14ac:dyDescent="0.25">
      <c r="A1869" s="15"/>
      <c r="B1869" s="16"/>
      <c r="C1869" s="17"/>
    </row>
    <row r="1870" spans="1:3" s="13" customFormat="1" x14ac:dyDescent="0.25">
      <c r="A1870" s="15"/>
      <c r="B1870" s="16"/>
      <c r="C1870" s="17"/>
    </row>
    <row r="1871" spans="1:3" s="13" customFormat="1" x14ac:dyDescent="0.25">
      <c r="A1871" s="15"/>
      <c r="B1871" s="16"/>
      <c r="C1871" s="17"/>
    </row>
    <row r="1872" spans="1:3" s="13" customFormat="1" x14ac:dyDescent="0.25">
      <c r="A1872" s="15"/>
      <c r="B1872" s="16"/>
      <c r="C1872" s="17"/>
    </row>
    <row r="1873" spans="1:3" s="13" customFormat="1" x14ac:dyDescent="0.25">
      <c r="A1873" s="15"/>
      <c r="B1873" s="16"/>
      <c r="C1873" s="17"/>
    </row>
    <row r="1874" spans="1:3" s="13" customFormat="1" x14ac:dyDescent="0.25">
      <c r="A1874" s="15"/>
      <c r="B1874" s="16"/>
      <c r="C1874" s="17"/>
    </row>
    <row r="1875" spans="1:3" s="13" customFormat="1" x14ac:dyDescent="0.25">
      <c r="A1875" s="15"/>
      <c r="B1875" s="16"/>
      <c r="C1875" s="17"/>
    </row>
    <row r="1876" spans="1:3" s="13" customFormat="1" x14ac:dyDescent="0.25">
      <c r="A1876" s="15"/>
      <c r="B1876" s="16"/>
      <c r="C1876" s="17"/>
    </row>
    <row r="1877" spans="1:3" s="13" customFormat="1" x14ac:dyDescent="0.25">
      <c r="A1877" s="15"/>
      <c r="B1877" s="16"/>
      <c r="C1877" s="17"/>
    </row>
    <row r="1878" spans="1:3" s="13" customFormat="1" x14ac:dyDescent="0.25">
      <c r="A1878" s="15"/>
      <c r="B1878" s="16"/>
      <c r="C1878" s="17"/>
    </row>
    <row r="1879" spans="1:3" s="13" customFormat="1" x14ac:dyDescent="0.25">
      <c r="A1879" s="15"/>
      <c r="B1879" s="16"/>
      <c r="C1879" s="17"/>
    </row>
    <row r="1880" spans="1:3" s="13" customFormat="1" x14ac:dyDescent="0.25">
      <c r="A1880" s="15"/>
      <c r="B1880" s="16"/>
      <c r="C1880" s="17"/>
    </row>
    <row r="1881" spans="1:3" s="13" customFormat="1" x14ac:dyDescent="0.25">
      <c r="A1881" s="15"/>
      <c r="B1881" s="16"/>
      <c r="C1881" s="17"/>
    </row>
    <row r="1882" spans="1:3" s="13" customFormat="1" x14ac:dyDescent="0.25">
      <c r="A1882" s="15"/>
      <c r="B1882" s="16"/>
      <c r="C1882" s="17"/>
    </row>
    <row r="1883" spans="1:3" s="13" customFormat="1" x14ac:dyDescent="0.25">
      <c r="A1883" s="15"/>
      <c r="B1883" s="16"/>
      <c r="C1883" s="17"/>
    </row>
    <row r="1884" spans="1:3" s="13" customFormat="1" x14ac:dyDescent="0.25">
      <c r="A1884" s="15"/>
      <c r="B1884" s="16"/>
      <c r="C1884" s="17"/>
    </row>
    <row r="1885" spans="1:3" s="13" customFormat="1" x14ac:dyDescent="0.25">
      <c r="A1885" s="15"/>
      <c r="B1885" s="16"/>
      <c r="C1885" s="17"/>
    </row>
    <row r="1886" spans="1:3" s="13" customFormat="1" x14ac:dyDescent="0.25">
      <c r="A1886" s="15"/>
      <c r="B1886" s="16"/>
      <c r="C1886" s="17"/>
    </row>
    <row r="1887" spans="1:3" s="13" customFormat="1" x14ac:dyDescent="0.25">
      <c r="A1887" s="15"/>
      <c r="B1887" s="16"/>
      <c r="C1887" s="17"/>
    </row>
    <row r="1888" spans="1:3" s="13" customFormat="1" x14ac:dyDescent="0.25">
      <c r="A1888" s="15"/>
      <c r="B1888" s="16"/>
      <c r="C1888" s="17"/>
    </row>
    <row r="1889" spans="1:3" s="13" customFormat="1" x14ac:dyDescent="0.25">
      <c r="A1889" s="15"/>
      <c r="B1889" s="16"/>
      <c r="C1889" s="17"/>
    </row>
    <row r="1890" spans="1:3" s="13" customFormat="1" x14ac:dyDescent="0.25">
      <c r="A1890" s="15"/>
      <c r="B1890" s="16"/>
      <c r="C1890" s="17"/>
    </row>
    <row r="1891" spans="1:3" s="13" customFormat="1" x14ac:dyDescent="0.25">
      <c r="A1891" s="15"/>
      <c r="B1891" s="16"/>
      <c r="C1891" s="17"/>
    </row>
    <row r="1892" spans="1:3" s="13" customFormat="1" x14ac:dyDescent="0.25">
      <c r="A1892" s="15"/>
      <c r="B1892" s="16"/>
      <c r="C1892" s="17"/>
    </row>
    <row r="1893" spans="1:3" s="13" customFormat="1" x14ac:dyDescent="0.25">
      <c r="A1893" s="15"/>
      <c r="B1893" s="16"/>
      <c r="C1893" s="17"/>
    </row>
    <row r="1894" spans="1:3" s="13" customFormat="1" x14ac:dyDescent="0.25">
      <c r="A1894" s="15"/>
      <c r="B1894" s="16"/>
      <c r="C1894" s="17"/>
    </row>
    <row r="1895" spans="1:3" s="13" customFormat="1" x14ac:dyDescent="0.25">
      <c r="A1895" s="15"/>
      <c r="B1895" s="16"/>
      <c r="C1895" s="17"/>
    </row>
    <row r="1896" spans="1:3" s="13" customFormat="1" x14ac:dyDescent="0.25">
      <c r="A1896" s="15"/>
      <c r="B1896" s="16"/>
      <c r="C1896" s="17"/>
    </row>
    <row r="1897" spans="1:3" s="13" customFormat="1" x14ac:dyDescent="0.25">
      <c r="A1897" s="15"/>
      <c r="B1897" s="16"/>
      <c r="C1897" s="17"/>
    </row>
    <row r="1898" spans="1:3" s="13" customFormat="1" x14ac:dyDescent="0.25">
      <c r="A1898" s="15"/>
      <c r="B1898" s="16"/>
      <c r="C1898" s="17"/>
    </row>
    <row r="1899" spans="1:3" s="13" customFormat="1" x14ac:dyDescent="0.25">
      <c r="A1899" s="15"/>
      <c r="B1899" s="16"/>
      <c r="C1899" s="17"/>
    </row>
    <row r="1900" spans="1:3" s="13" customFormat="1" x14ac:dyDescent="0.25">
      <c r="A1900" s="15"/>
      <c r="B1900" s="16"/>
      <c r="C1900" s="17"/>
    </row>
    <row r="1901" spans="1:3" s="13" customFormat="1" x14ac:dyDescent="0.25">
      <c r="A1901" s="15"/>
      <c r="B1901" s="16"/>
      <c r="C1901" s="17"/>
    </row>
    <row r="1902" spans="1:3" s="13" customFormat="1" x14ac:dyDescent="0.25">
      <c r="A1902" s="15"/>
      <c r="B1902" s="16"/>
      <c r="C1902" s="17"/>
    </row>
    <row r="1903" spans="1:3" s="13" customFormat="1" x14ac:dyDescent="0.25">
      <c r="A1903" s="15"/>
      <c r="B1903" s="16"/>
      <c r="C1903" s="17"/>
    </row>
    <row r="1904" spans="1:3" s="13" customFormat="1" x14ac:dyDescent="0.25">
      <c r="A1904" s="15"/>
      <c r="B1904" s="16"/>
      <c r="C1904" s="17"/>
    </row>
    <row r="1905" spans="1:3" s="13" customFormat="1" x14ac:dyDescent="0.25">
      <c r="A1905" s="15"/>
      <c r="B1905" s="16"/>
      <c r="C1905" s="17"/>
    </row>
    <row r="1906" spans="1:3" s="13" customFormat="1" x14ac:dyDescent="0.25">
      <c r="A1906" s="15"/>
      <c r="B1906" s="16"/>
      <c r="C1906" s="17"/>
    </row>
    <row r="1907" spans="1:3" s="13" customFormat="1" x14ac:dyDescent="0.25">
      <c r="A1907" s="15"/>
      <c r="B1907" s="16"/>
      <c r="C1907" s="17"/>
    </row>
    <row r="1908" spans="1:3" s="13" customFormat="1" x14ac:dyDescent="0.25">
      <c r="A1908" s="15"/>
      <c r="B1908" s="16"/>
      <c r="C1908" s="17"/>
    </row>
    <row r="1909" spans="1:3" s="13" customFormat="1" x14ac:dyDescent="0.25">
      <c r="A1909" s="15"/>
      <c r="B1909" s="16"/>
      <c r="C1909" s="17"/>
    </row>
    <row r="1910" spans="1:3" s="13" customFormat="1" x14ac:dyDescent="0.25">
      <c r="A1910" s="15"/>
      <c r="B1910" s="16"/>
      <c r="C1910" s="17"/>
    </row>
    <row r="1911" spans="1:3" s="13" customFormat="1" x14ac:dyDescent="0.25">
      <c r="A1911" s="15"/>
      <c r="B1911" s="16"/>
      <c r="C1911" s="17"/>
    </row>
    <row r="1912" spans="1:3" s="13" customFormat="1" x14ac:dyDescent="0.25">
      <c r="A1912" s="15"/>
      <c r="B1912" s="16"/>
      <c r="C1912" s="17"/>
    </row>
    <row r="1913" spans="1:3" s="13" customFormat="1" x14ac:dyDescent="0.25">
      <c r="A1913" s="15"/>
      <c r="B1913" s="16"/>
      <c r="C1913" s="17"/>
    </row>
    <row r="1914" spans="1:3" s="13" customFormat="1" x14ac:dyDescent="0.25">
      <c r="A1914" s="15"/>
      <c r="B1914" s="16"/>
      <c r="C1914" s="17"/>
    </row>
    <row r="1915" spans="1:3" s="13" customFormat="1" x14ac:dyDescent="0.25">
      <c r="A1915" s="15"/>
      <c r="B1915" s="16"/>
      <c r="C1915" s="17"/>
    </row>
    <row r="1916" spans="1:3" s="13" customFormat="1" x14ac:dyDescent="0.25">
      <c r="A1916" s="15"/>
      <c r="B1916" s="16"/>
      <c r="C1916" s="17"/>
    </row>
    <row r="1917" spans="1:3" s="13" customFormat="1" x14ac:dyDescent="0.25">
      <c r="A1917" s="15"/>
      <c r="B1917" s="16"/>
      <c r="C1917" s="17"/>
    </row>
    <row r="1918" spans="1:3" s="13" customFormat="1" x14ac:dyDescent="0.25">
      <c r="A1918" s="15"/>
      <c r="B1918" s="16"/>
      <c r="C1918" s="17"/>
    </row>
    <row r="1919" spans="1:3" s="13" customFormat="1" x14ac:dyDescent="0.25">
      <c r="A1919" s="15"/>
      <c r="B1919" s="16"/>
      <c r="C1919" s="17"/>
    </row>
    <row r="1920" spans="1:3" s="13" customFormat="1" x14ac:dyDescent="0.25">
      <c r="A1920" s="15"/>
      <c r="B1920" s="16"/>
      <c r="C1920" s="17"/>
    </row>
    <row r="1921" spans="1:3" s="13" customFormat="1" x14ac:dyDescent="0.25">
      <c r="A1921" s="15"/>
      <c r="B1921" s="16"/>
      <c r="C1921" s="17"/>
    </row>
    <row r="1922" spans="1:3" s="13" customFormat="1" x14ac:dyDescent="0.25">
      <c r="A1922" s="15"/>
      <c r="B1922" s="16"/>
      <c r="C1922" s="17"/>
    </row>
    <row r="1923" spans="1:3" s="13" customFormat="1" x14ac:dyDescent="0.25">
      <c r="A1923" s="15"/>
      <c r="B1923" s="16"/>
      <c r="C1923" s="17"/>
    </row>
    <row r="1924" spans="1:3" s="13" customFormat="1" x14ac:dyDescent="0.25">
      <c r="A1924" s="15"/>
      <c r="B1924" s="16"/>
      <c r="C1924" s="17"/>
    </row>
    <row r="1925" spans="1:3" s="13" customFormat="1" x14ac:dyDescent="0.25">
      <c r="A1925" s="15"/>
      <c r="B1925" s="16"/>
      <c r="C1925" s="17"/>
    </row>
    <row r="1926" spans="1:3" s="13" customFormat="1" x14ac:dyDescent="0.25">
      <c r="A1926" s="15"/>
      <c r="B1926" s="16"/>
      <c r="C1926" s="17"/>
    </row>
    <row r="1927" spans="1:3" s="13" customFormat="1" x14ac:dyDescent="0.25">
      <c r="A1927" s="15"/>
      <c r="B1927" s="16"/>
      <c r="C1927" s="17"/>
    </row>
    <row r="1928" spans="1:3" s="13" customFormat="1" x14ac:dyDescent="0.25">
      <c r="A1928" s="15"/>
      <c r="B1928" s="16"/>
      <c r="C1928" s="17"/>
    </row>
    <row r="1929" spans="1:3" s="13" customFormat="1" x14ac:dyDescent="0.25">
      <c r="A1929" s="15"/>
      <c r="B1929" s="16"/>
      <c r="C1929" s="17"/>
    </row>
    <row r="1930" spans="1:3" s="13" customFormat="1" x14ac:dyDescent="0.25">
      <c r="A1930" s="15"/>
      <c r="B1930" s="16"/>
      <c r="C1930" s="17"/>
    </row>
    <row r="1931" spans="1:3" s="13" customFormat="1" x14ac:dyDescent="0.25">
      <c r="A1931" s="15"/>
      <c r="B1931" s="16"/>
      <c r="C1931" s="17"/>
    </row>
    <row r="1932" spans="1:3" s="13" customFormat="1" x14ac:dyDescent="0.25">
      <c r="A1932" s="15"/>
      <c r="B1932" s="16"/>
      <c r="C1932" s="17"/>
    </row>
    <row r="1933" spans="1:3" s="13" customFormat="1" x14ac:dyDescent="0.25">
      <c r="A1933" s="15"/>
      <c r="B1933" s="16"/>
      <c r="C1933" s="17"/>
    </row>
    <row r="1934" spans="1:3" s="13" customFormat="1" x14ac:dyDescent="0.25">
      <c r="A1934" s="15"/>
      <c r="B1934" s="16"/>
      <c r="C1934" s="17"/>
    </row>
    <row r="1935" spans="1:3" s="13" customFormat="1" x14ac:dyDescent="0.25">
      <c r="A1935" s="15"/>
      <c r="B1935" s="16"/>
      <c r="C1935" s="17"/>
    </row>
    <row r="1936" spans="1:3" s="13" customFormat="1" x14ac:dyDescent="0.25">
      <c r="A1936" s="15"/>
      <c r="B1936" s="16"/>
      <c r="C1936" s="17"/>
    </row>
    <row r="1937" spans="1:3" s="13" customFormat="1" x14ac:dyDescent="0.25">
      <c r="A1937" s="15"/>
      <c r="B1937" s="16"/>
      <c r="C1937" s="17"/>
    </row>
    <row r="1938" spans="1:3" s="13" customFormat="1" x14ac:dyDescent="0.25">
      <c r="A1938" s="15"/>
      <c r="B1938" s="16"/>
      <c r="C1938" s="17"/>
    </row>
    <row r="1939" spans="1:3" s="13" customFormat="1" x14ac:dyDescent="0.25">
      <c r="A1939" s="15"/>
      <c r="B1939" s="16"/>
      <c r="C1939" s="17"/>
    </row>
    <row r="1940" spans="1:3" s="13" customFormat="1" x14ac:dyDescent="0.25">
      <c r="A1940" s="15"/>
      <c r="B1940" s="16"/>
      <c r="C1940" s="17"/>
    </row>
    <row r="1941" spans="1:3" s="13" customFormat="1" x14ac:dyDescent="0.25">
      <c r="A1941" s="15"/>
      <c r="B1941" s="16"/>
      <c r="C1941" s="17"/>
    </row>
    <row r="1942" spans="1:3" s="13" customFormat="1" x14ac:dyDescent="0.25">
      <c r="A1942" s="15"/>
      <c r="B1942" s="16"/>
      <c r="C1942" s="17"/>
    </row>
    <row r="1943" spans="1:3" s="13" customFormat="1" x14ac:dyDescent="0.25">
      <c r="A1943" s="15"/>
      <c r="B1943" s="16"/>
      <c r="C1943" s="17"/>
    </row>
    <row r="1944" spans="1:3" s="13" customFormat="1" x14ac:dyDescent="0.25">
      <c r="A1944" s="15"/>
      <c r="B1944" s="16"/>
      <c r="C1944" s="17"/>
    </row>
    <row r="1945" spans="1:3" s="13" customFormat="1" x14ac:dyDescent="0.25">
      <c r="A1945" s="15"/>
      <c r="B1945" s="16"/>
      <c r="C1945" s="17"/>
    </row>
    <row r="1946" spans="1:3" s="13" customFormat="1" x14ac:dyDescent="0.25">
      <c r="A1946" s="15"/>
      <c r="B1946" s="16"/>
      <c r="C1946" s="17"/>
    </row>
    <row r="1947" spans="1:3" s="13" customFormat="1" x14ac:dyDescent="0.25">
      <c r="A1947" s="15"/>
      <c r="B1947" s="16"/>
      <c r="C1947" s="17"/>
    </row>
    <row r="1948" spans="1:3" s="13" customFormat="1" x14ac:dyDescent="0.25">
      <c r="A1948" s="15"/>
      <c r="B1948" s="16"/>
      <c r="C1948" s="17"/>
    </row>
    <row r="1949" spans="1:3" s="13" customFormat="1" x14ac:dyDescent="0.25">
      <c r="A1949" s="15"/>
      <c r="B1949" s="16"/>
      <c r="C1949" s="17"/>
    </row>
    <row r="1950" spans="1:3" s="13" customFormat="1" x14ac:dyDescent="0.25">
      <c r="A1950" s="15"/>
      <c r="B1950" s="16"/>
      <c r="C1950" s="17"/>
    </row>
    <row r="1951" spans="1:3" s="13" customFormat="1" x14ac:dyDescent="0.25">
      <c r="A1951" s="15"/>
      <c r="B1951" s="16"/>
      <c r="C1951" s="17"/>
    </row>
    <row r="1952" spans="1:3" s="13" customFormat="1" x14ac:dyDescent="0.25">
      <c r="A1952" s="15"/>
      <c r="B1952" s="16"/>
      <c r="C1952" s="17"/>
    </row>
    <row r="1953" spans="1:3" s="13" customFormat="1" x14ac:dyDescent="0.25">
      <c r="A1953" s="15"/>
      <c r="B1953" s="16"/>
      <c r="C1953" s="17"/>
    </row>
    <row r="1954" spans="1:3" s="13" customFormat="1" x14ac:dyDescent="0.25">
      <c r="A1954" s="15"/>
      <c r="B1954" s="16"/>
      <c r="C1954" s="17"/>
    </row>
    <row r="1955" spans="1:3" s="13" customFormat="1" x14ac:dyDescent="0.25">
      <c r="A1955" s="15"/>
      <c r="B1955" s="16"/>
      <c r="C1955" s="17"/>
    </row>
    <row r="1956" spans="1:3" s="13" customFormat="1" x14ac:dyDescent="0.25">
      <c r="A1956" s="15"/>
      <c r="B1956" s="16"/>
      <c r="C1956" s="17"/>
    </row>
    <row r="1957" spans="1:3" s="13" customFormat="1" x14ac:dyDescent="0.25">
      <c r="A1957" s="15"/>
      <c r="B1957" s="16"/>
      <c r="C1957" s="17"/>
    </row>
    <row r="1958" spans="1:3" s="13" customFormat="1" x14ac:dyDescent="0.25">
      <c r="A1958" s="15"/>
      <c r="B1958" s="16"/>
      <c r="C1958" s="17"/>
    </row>
    <row r="1959" spans="1:3" s="13" customFormat="1" x14ac:dyDescent="0.25">
      <c r="A1959" s="15"/>
      <c r="B1959" s="16"/>
      <c r="C1959" s="17"/>
    </row>
    <row r="1960" spans="1:3" s="13" customFormat="1" x14ac:dyDescent="0.25">
      <c r="A1960" s="15"/>
      <c r="B1960" s="16"/>
      <c r="C1960" s="17"/>
    </row>
    <row r="1961" spans="1:3" s="13" customFormat="1" x14ac:dyDescent="0.25">
      <c r="A1961" s="15"/>
      <c r="B1961" s="16"/>
      <c r="C1961" s="17"/>
    </row>
    <row r="1962" spans="1:3" s="13" customFormat="1" x14ac:dyDescent="0.25">
      <c r="A1962" s="15"/>
      <c r="B1962" s="16"/>
      <c r="C1962" s="17"/>
    </row>
    <row r="1963" spans="1:3" s="13" customFormat="1" x14ac:dyDescent="0.25">
      <c r="A1963" s="15"/>
      <c r="B1963" s="16"/>
      <c r="C1963" s="17"/>
    </row>
    <row r="1964" spans="1:3" s="13" customFormat="1" x14ac:dyDescent="0.25">
      <c r="A1964" s="15"/>
      <c r="B1964" s="16"/>
      <c r="C1964" s="17"/>
    </row>
    <row r="1965" spans="1:3" s="13" customFormat="1" x14ac:dyDescent="0.25">
      <c r="A1965" s="15"/>
      <c r="B1965" s="16"/>
      <c r="C1965" s="17"/>
    </row>
    <row r="1966" spans="1:3" s="13" customFormat="1" x14ac:dyDescent="0.25">
      <c r="A1966" s="15"/>
      <c r="B1966" s="16"/>
      <c r="C1966" s="17"/>
    </row>
    <row r="1967" spans="1:3" s="13" customFormat="1" x14ac:dyDescent="0.25">
      <c r="A1967" s="15"/>
      <c r="B1967" s="16"/>
      <c r="C1967" s="17"/>
    </row>
    <row r="1968" spans="1:3" s="13" customFormat="1" x14ac:dyDescent="0.25">
      <c r="A1968" s="15"/>
      <c r="B1968" s="16"/>
      <c r="C1968" s="17"/>
    </row>
    <row r="1969" spans="1:3" s="13" customFormat="1" x14ac:dyDescent="0.25">
      <c r="A1969" s="15"/>
      <c r="B1969" s="16"/>
      <c r="C1969" s="17"/>
    </row>
    <row r="1970" spans="1:3" s="13" customFormat="1" x14ac:dyDescent="0.25">
      <c r="A1970" s="15"/>
      <c r="B1970" s="16"/>
      <c r="C1970" s="17"/>
    </row>
    <row r="1971" spans="1:3" s="13" customFormat="1" x14ac:dyDescent="0.25">
      <c r="A1971" s="15"/>
      <c r="B1971" s="16"/>
      <c r="C1971" s="17"/>
    </row>
    <row r="1972" spans="1:3" s="13" customFormat="1" x14ac:dyDescent="0.25">
      <c r="A1972" s="15"/>
      <c r="B1972" s="16"/>
      <c r="C1972" s="17"/>
    </row>
    <row r="1973" spans="1:3" s="13" customFormat="1" x14ac:dyDescent="0.25">
      <c r="A1973" s="15"/>
      <c r="B1973" s="16"/>
      <c r="C1973" s="17"/>
    </row>
    <row r="1974" spans="1:3" s="13" customFormat="1" x14ac:dyDescent="0.25">
      <c r="A1974" s="15"/>
      <c r="B1974" s="16"/>
      <c r="C1974" s="17"/>
    </row>
    <row r="1975" spans="1:3" s="13" customFormat="1" x14ac:dyDescent="0.25">
      <c r="A1975" s="15"/>
      <c r="B1975" s="16"/>
      <c r="C1975" s="17"/>
    </row>
    <row r="1976" spans="1:3" s="13" customFormat="1" x14ac:dyDescent="0.25">
      <c r="A1976" s="15"/>
      <c r="B1976" s="16"/>
      <c r="C1976" s="17"/>
    </row>
    <row r="1977" spans="1:3" s="13" customFormat="1" x14ac:dyDescent="0.25">
      <c r="A1977" s="15"/>
      <c r="B1977" s="16"/>
      <c r="C1977" s="17"/>
    </row>
    <row r="1978" spans="1:3" s="13" customFormat="1" x14ac:dyDescent="0.25">
      <c r="A1978" s="15"/>
      <c r="B1978" s="16"/>
      <c r="C1978" s="17"/>
    </row>
    <row r="1979" spans="1:3" s="13" customFormat="1" x14ac:dyDescent="0.25">
      <c r="A1979" s="15"/>
      <c r="B1979" s="16"/>
      <c r="C1979" s="17"/>
    </row>
    <row r="1980" spans="1:3" s="13" customFormat="1" x14ac:dyDescent="0.25">
      <c r="A1980" s="15"/>
      <c r="B1980" s="16"/>
      <c r="C1980" s="17"/>
    </row>
    <row r="1981" spans="1:3" s="13" customFormat="1" x14ac:dyDescent="0.25">
      <c r="A1981" s="15"/>
      <c r="B1981" s="16"/>
      <c r="C1981" s="17"/>
    </row>
    <row r="1982" spans="1:3" s="13" customFormat="1" x14ac:dyDescent="0.25">
      <c r="A1982" s="15"/>
      <c r="B1982" s="16"/>
      <c r="C1982" s="17"/>
    </row>
    <row r="1983" spans="1:3" s="13" customFormat="1" x14ac:dyDescent="0.25">
      <c r="A1983" s="15"/>
      <c r="B1983" s="16"/>
      <c r="C1983" s="17"/>
    </row>
    <row r="1984" spans="1:3" s="13" customFormat="1" x14ac:dyDescent="0.25">
      <c r="A1984" s="15"/>
      <c r="B1984" s="16"/>
      <c r="C1984" s="17"/>
    </row>
    <row r="1985" spans="1:3" s="13" customFormat="1" x14ac:dyDescent="0.25">
      <c r="A1985" s="15"/>
      <c r="B1985" s="16"/>
      <c r="C1985" s="17"/>
    </row>
    <row r="1986" spans="1:3" s="13" customFormat="1" x14ac:dyDescent="0.25">
      <c r="A1986" s="15"/>
      <c r="B1986" s="16"/>
      <c r="C1986" s="17"/>
    </row>
    <row r="1987" spans="1:3" s="13" customFormat="1" x14ac:dyDescent="0.25">
      <c r="A1987" s="15"/>
      <c r="B1987" s="16"/>
      <c r="C1987" s="17"/>
    </row>
    <row r="1988" spans="1:3" s="13" customFormat="1" x14ac:dyDescent="0.25">
      <c r="A1988" s="15"/>
      <c r="B1988" s="16"/>
      <c r="C1988" s="17"/>
    </row>
    <row r="1989" spans="1:3" s="13" customFormat="1" x14ac:dyDescent="0.25">
      <c r="A1989" s="15"/>
      <c r="B1989" s="16"/>
      <c r="C1989" s="17"/>
    </row>
    <row r="1990" spans="1:3" s="13" customFormat="1" x14ac:dyDescent="0.25">
      <c r="A1990" s="15"/>
      <c r="B1990" s="16"/>
      <c r="C1990" s="17"/>
    </row>
    <row r="1991" spans="1:3" s="13" customFormat="1" x14ac:dyDescent="0.25">
      <c r="A1991" s="15"/>
      <c r="B1991" s="16"/>
      <c r="C1991" s="17"/>
    </row>
    <row r="1992" spans="1:3" s="13" customFormat="1" x14ac:dyDescent="0.25">
      <c r="A1992" s="15"/>
      <c r="B1992" s="16"/>
      <c r="C1992" s="17"/>
    </row>
    <row r="1993" spans="1:3" s="13" customFormat="1" x14ac:dyDescent="0.25">
      <c r="A1993" s="15"/>
      <c r="B1993" s="16"/>
      <c r="C1993" s="17"/>
    </row>
    <row r="1994" spans="1:3" s="13" customFormat="1" x14ac:dyDescent="0.25">
      <c r="A1994" s="15"/>
      <c r="B1994" s="16"/>
      <c r="C1994" s="17"/>
    </row>
    <row r="1995" spans="1:3" s="13" customFormat="1" x14ac:dyDescent="0.25">
      <c r="A1995" s="15"/>
      <c r="B1995" s="16"/>
      <c r="C1995" s="17"/>
    </row>
    <row r="1996" spans="1:3" s="13" customFormat="1" x14ac:dyDescent="0.25">
      <c r="A1996" s="15"/>
      <c r="B1996" s="16"/>
      <c r="C1996" s="17"/>
    </row>
    <row r="1997" spans="1:3" s="13" customFormat="1" x14ac:dyDescent="0.25">
      <c r="A1997" s="15"/>
      <c r="B1997" s="16"/>
      <c r="C1997" s="17"/>
    </row>
    <row r="1998" spans="1:3" s="13" customFormat="1" x14ac:dyDescent="0.25">
      <c r="A1998" s="15"/>
      <c r="B1998" s="16"/>
      <c r="C1998" s="17"/>
    </row>
    <row r="1999" spans="1:3" s="13" customFormat="1" x14ac:dyDescent="0.25">
      <c r="A1999" s="15"/>
      <c r="B1999" s="16"/>
      <c r="C1999" s="17"/>
    </row>
    <row r="2000" spans="1:3" s="13" customFormat="1" x14ac:dyDescent="0.25">
      <c r="A2000" s="15"/>
      <c r="B2000" s="16"/>
      <c r="C2000" s="17"/>
    </row>
    <row r="2001" spans="1:3" s="13" customFormat="1" x14ac:dyDescent="0.25">
      <c r="A2001" s="15"/>
      <c r="B2001" s="16"/>
      <c r="C2001" s="17"/>
    </row>
    <row r="2002" spans="1:3" s="13" customFormat="1" x14ac:dyDescent="0.25">
      <c r="A2002" s="15"/>
      <c r="B2002" s="16"/>
      <c r="C2002" s="17"/>
    </row>
    <row r="2003" spans="1:3" s="13" customFormat="1" x14ac:dyDescent="0.25">
      <c r="A2003" s="15"/>
      <c r="B2003" s="16"/>
      <c r="C2003" s="17"/>
    </row>
    <row r="2004" spans="1:3" s="13" customFormat="1" x14ac:dyDescent="0.25">
      <c r="A2004" s="15"/>
      <c r="B2004" s="16"/>
      <c r="C2004" s="17"/>
    </row>
    <row r="2005" spans="1:3" s="13" customFormat="1" x14ac:dyDescent="0.25">
      <c r="A2005" s="15"/>
      <c r="B2005" s="16"/>
      <c r="C2005" s="17"/>
    </row>
    <row r="2006" spans="1:3" s="13" customFormat="1" x14ac:dyDescent="0.25">
      <c r="A2006" s="15"/>
      <c r="B2006" s="16"/>
      <c r="C2006" s="17"/>
    </row>
    <row r="2007" spans="1:3" s="13" customFormat="1" x14ac:dyDescent="0.25">
      <c r="A2007" s="15"/>
      <c r="B2007" s="16"/>
      <c r="C2007" s="17"/>
    </row>
    <row r="2008" spans="1:3" s="13" customFormat="1" x14ac:dyDescent="0.25">
      <c r="A2008" s="15"/>
      <c r="B2008" s="16"/>
      <c r="C2008" s="17"/>
    </row>
    <row r="2009" spans="1:3" s="13" customFormat="1" x14ac:dyDescent="0.25">
      <c r="A2009" s="15"/>
      <c r="B2009" s="16"/>
      <c r="C2009" s="17"/>
    </row>
    <row r="2010" spans="1:3" s="13" customFormat="1" x14ac:dyDescent="0.25">
      <c r="A2010" s="15"/>
      <c r="B2010" s="16"/>
      <c r="C2010" s="17"/>
    </row>
    <row r="2011" spans="1:3" s="13" customFormat="1" x14ac:dyDescent="0.25">
      <c r="A2011" s="15"/>
      <c r="B2011" s="16"/>
      <c r="C2011" s="17"/>
    </row>
    <row r="2012" spans="1:3" s="13" customFormat="1" x14ac:dyDescent="0.25">
      <c r="A2012" s="15"/>
      <c r="B2012" s="16"/>
      <c r="C2012" s="17"/>
    </row>
    <row r="2013" spans="1:3" s="13" customFormat="1" x14ac:dyDescent="0.25">
      <c r="A2013" s="15"/>
      <c r="B2013" s="16"/>
      <c r="C2013" s="17"/>
    </row>
    <row r="2014" spans="1:3" s="13" customFormat="1" x14ac:dyDescent="0.25">
      <c r="A2014" s="15"/>
      <c r="B2014" s="16"/>
      <c r="C2014" s="17"/>
    </row>
    <row r="2015" spans="1:3" s="13" customFormat="1" x14ac:dyDescent="0.25">
      <c r="A2015" s="15"/>
      <c r="B2015" s="16"/>
      <c r="C2015" s="17"/>
    </row>
    <row r="2016" spans="1:3" s="13" customFormat="1" x14ac:dyDescent="0.25">
      <c r="A2016" s="15"/>
      <c r="B2016" s="16"/>
      <c r="C2016" s="17"/>
    </row>
    <row r="2017" spans="1:3" s="13" customFormat="1" x14ac:dyDescent="0.25">
      <c r="A2017" s="15"/>
      <c r="B2017" s="16"/>
      <c r="C2017" s="17"/>
    </row>
    <row r="2018" spans="1:3" s="13" customFormat="1" x14ac:dyDescent="0.25">
      <c r="A2018" s="15"/>
      <c r="B2018" s="16"/>
      <c r="C2018" s="17"/>
    </row>
    <row r="2019" spans="1:3" s="13" customFormat="1" x14ac:dyDescent="0.25">
      <c r="A2019" s="15"/>
      <c r="B2019" s="16"/>
      <c r="C2019" s="17"/>
    </row>
    <row r="2020" spans="1:3" s="13" customFormat="1" x14ac:dyDescent="0.25">
      <c r="A2020" s="15"/>
      <c r="B2020" s="16"/>
      <c r="C2020" s="17"/>
    </row>
    <row r="2021" spans="1:3" s="13" customFormat="1" x14ac:dyDescent="0.25">
      <c r="A2021" s="15"/>
      <c r="B2021" s="16"/>
      <c r="C2021" s="17"/>
    </row>
    <row r="2022" spans="1:3" s="13" customFormat="1" x14ac:dyDescent="0.25">
      <c r="A2022" s="15"/>
      <c r="B2022" s="16"/>
      <c r="C2022" s="17"/>
    </row>
    <row r="2023" spans="1:3" s="13" customFormat="1" x14ac:dyDescent="0.25">
      <c r="A2023" s="15"/>
      <c r="B2023" s="16"/>
      <c r="C2023" s="17"/>
    </row>
    <row r="2024" spans="1:3" s="13" customFormat="1" x14ac:dyDescent="0.25">
      <c r="A2024" s="15"/>
      <c r="B2024" s="16"/>
      <c r="C2024" s="17"/>
    </row>
    <row r="2025" spans="1:3" s="13" customFormat="1" x14ac:dyDescent="0.25">
      <c r="A2025" s="15"/>
      <c r="B2025" s="16"/>
      <c r="C2025" s="17"/>
    </row>
    <row r="2026" spans="1:3" s="13" customFormat="1" x14ac:dyDescent="0.25">
      <c r="A2026" s="15"/>
      <c r="B2026" s="16"/>
      <c r="C2026" s="17"/>
    </row>
    <row r="2027" spans="1:3" s="13" customFormat="1" x14ac:dyDescent="0.25">
      <c r="A2027" s="15"/>
      <c r="B2027" s="16"/>
      <c r="C2027" s="17"/>
    </row>
    <row r="2028" spans="1:3" s="13" customFormat="1" x14ac:dyDescent="0.25">
      <c r="A2028" s="15"/>
      <c r="B2028" s="16"/>
      <c r="C2028" s="17"/>
    </row>
    <row r="2029" spans="1:3" s="13" customFormat="1" x14ac:dyDescent="0.25">
      <c r="A2029" s="15"/>
      <c r="B2029" s="16"/>
      <c r="C2029" s="17"/>
    </row>
    <row r="2030" spans="1:3" s="13" customFormat="1" x14ac:dyDescent="0.25">
      <c r="A2030" s="15"/>
      <c r="B2030" s="16"/>
      <c r="C2030" s="17"/>
    </row>
    <row r="2031" spans="1:3" s="13" customFormat="1" x14ac:dyDescent="0.25">
      <c r="A2031" s="15"/>
      <c r="B2031" s="16"/>
      <c r="C2031" s="17"/>
    </row>
    <row r="2032" spans="1:3" s="13" customFormat="1" x14ac:dyDescent="0.25">
      <c r="A2032" s="15"/>
      <c r="B2032" s="16"/>
      <c r="C2032" s="17"/>
    </row>
    <row r="2033" spans="1:3" s="13" customFormat="1" x14ac:dyDescent="0.25">
      <c r="A2033" s="15"/>
      <c r="B2033" s="16"/>
      <c r="C2033" s="17"/>
    </row>
    <row r="2034" spans="1:3" s="13" customFormat="1" x14ac:dyDescent="0.25">
      <c r="A2034" s="15"/>
      <c r="B2034" s="16"/>
      <c r="C2034" s="17"/>
    </row>
    <row r="2035" spans="1:3" s="13" customFormat="1" x14ac:dyDescent="0.25">
      <c r="A2035" s="15"/>
      <c r="B2035" s="16"/>
      <c r="C2035" s="17"/>
    </row>
    <row r="2036" spans="1:3" s="13" customFormat="1" x14ac:dyDescent="0.25">
      <c r="A2036" s="15"/>
      <c r="B2036" s="16"/>
      <c r="C2036" s="17"/>
    </row>
    <row r="2037" spans="1:3" s="13" customFormat="1" x14ac:dyDescent="0.25">
      <c r="A2037" s="15"/>
      <c r="B2037" s="16"/>
      <c r="C2037" s="17"/>
    </row>
    <row r="2038" spans="1:3" s="13" customFormat="1" x14ac:dyDescent="0.25">
      <c r="A2038" s="15"/>
      <c r="B2038" s="16"/>
      <c r="C2038" s="17"/>
    </row>
    <row r="2039" spans="1:3" s="13" customFormat="1" x14ac:dyDescent="0.25">
      <c r="A2039" s="15"/>
      <c r="B2039" s="16"/>
      <c r="C2039" s="17"/>
    </row>
    <row r="2040" spans="1:3" s="13" customFormat="1" x14ac:dyDescent="0.25">
      <c r="A2040" s="15"/>
      <c r="B2040" s="16"/>
      <c r="C2040" s="17"/>
    </row>
    <row r="2041" spans="1:3" s="13" customFormat="1" x14ac:dyDescent="0.25">
      <c r="A2041" s="15"/>
      <c r="B2041" s="16"/>
      <c r="C2041" s="17"/>
    </row>
    <row r="2042" spans="1:3" s="13" customFormat="1" x14ac:dyDescent="0.25">
      <c r="A2042" s="15"/>
      <c r="B2042" s="16"/>
      <c r="C2042" s="17"/>
    </row>
    <row r="2043" spans="1:3" s="13" customFormat="1" x14ac:dyDescent="0.25">
      <c r="A2043" s="15"/>
      <c r="B2043" s="16"/>
      <c r="C2043" s="17"/>
    </row>
    <row r="2044" spans="1:3" s="13" customFormat="1" x14ac:dyDescent="0.25">
      <c r="A2044" s="15"/>
      <c r="B2044" s="16"/>
      <c r="C2044" s="17"/>
    </row>
    <row r="2045" spans="1:3" s="13" customFormat="1" x14ac:dyDescent="0.25">
      <c r="A2045" s="15"/>
      <c r="B2045" s="16"/>
      <c r="C2045" s="17"/>
    </row>
    <row r="2046" spans="1:3" s="13" customFormat="1" x14ac:dyDescent="0.25">
      <c r="A2046" s="15"/>
      <c r="B2046" s="16"/>
      <c r="C2046" s="17"/>
    </row>
    <row r="2047" spans="1:3" s="13" customFormat="1" x14ac:dyDescent="0.25">
      <c r="A2047" s="15"/>
      <c r="B2047" s="16"/>
      <c r="C2047" s="17"/>
    </row>
    <row r="2048" spans="1:3" s="13" customFormat="1" x14ac:dyDescent="0.25">
      <c r="A2048" s="15"/>
      <c r="B2048" s="16"/>
      <c r="C2048" s="17"/>
    </row>
    <row r="2049" spans="1:3" s="13" customFormat="1" x14ac:dyDescent="0.25">
      <c r="A2049" s="15"/>
      <c r="B2049" s="16"/>
      <c r="C2049" s="17"/>
    </row>
    <row r="2050" spans="1:3" s="13" customFormat="1" x14ac:dyDescent="0.25">
      <c r="A2050" s="15"/>
      <c r="B2050" s="16"/>
      <c r="C2050" s="17"/>
    </row>
    <row r="2051" spans="1:3" s="13" customFormat="1" x14ac:dyDescent="0.25">
      <c r="A2051" s="15"/>
      <c r="B2051" s="16"/>
      <c r="C2051" s="17"/>
    </row>
    <row r="2052" spans="1:3" s="13" customFormat="1" x14ac:dyDescent="0.25">
      <c r="A2052" s="15"/>
      <c r="B2052" s="16"/>
      <c r="C2052" s="17"/>
    </row>
    <row r="2053" spans="1:3" s="13" customFormat="1" x14ac:dyDescent="0.25">
      <c r="A2053" s="15"/>
      <c r="B2053" s="16"/>
      <c r="C2053" s="17"/>
    </row>
    <row r="2054" spans="1:3" s="13" customFormat="1" x14ac:dyDescent="0.25">
      <c r="A2054" s="15"/>
      <c r="B2054" s="16"/>
      <c r="C2054" s="17"/>
    </row>
    <row r="2055" spans="1:3" s="13" customFormat="1" x14ac:dyDescent="0.25">
      <c r="A2055" s="15"/>
      <c r="B2055" s="16"/>
      <c r="C2055" s="17"/>
    </row>
    <row r="2056" spans="1:3" s="13" customFormat="1" x14ac:dyDescent="0.25">
      <c r="A2056" s="15"/>
      <c r="B2056" s="16"/>
      <c r="C2056" s="17"/>
    </row>
    <row r="2057" spans="1:3" s="13" customFormat="1" x14ac:dyDescent="0.25">
      <c r="A2057" s="15"/>
      <c r="B2057" s="16"/>
      <c r="C2057" s="17"/>
    </row>
    <row r="2058" spans="1:3" s="13" customFormat="1" x14ac:dyDescent="0.25">
      <c r="A2058" s="15"/>
      <c r="B2058" s="16"/>
      <c r="C2058" s="17"/>
    </row>
    <row r="2059" spans="1:3" s="13" customFormat="1" x14ac:dyDescent="0.25">
      <c r="A2059" s="15"/>
      <c r="B2059" s="16"/>
      <c r="C2059" s="17"/>
    </row>
    <row r="2060" spans="1:3" s="13" customFormat="1" x14ac:dyDescent="0.25">
      <c r="A2060" s="15"/>
      <c r="B2060" s="16"/>
      <c r="C2060" s="17"/>
    </row>
    <row r="2061" spans="1:3" s="13" customFormat="1" x14ac:dyDescent="0.25">
      <c r="A2061" s="15"/>
      <c r="B2061" s="16"/>
      <c r="C2061" s="17"/>
    </row>
    <row r="2062" spans="1:3" s="13" customFormat="1" x14ac:dyDescent="0.25">
      <c r="A2062" s="15"/>
      <c r="B2062" s="16"/>
      <c r="C2062" s="17"/>
    </row>
    <row r="2063" spans="1:3" s="13" customFormat="1" x14ac:dyDescent="0.25">
      <c r="A2063" s="15"/>
      <c r="B2063" s="16"/>
      <c r="C2063" s="17"/>
    </row>
    <row r="2064" spans="1:3" s="13" customFormat="1" x14ac:dyDescent="0.25">
      <c r="A2064" s="15"/>
      <c r="B2064" s="16"/>
      <c r="C2064" s="17"/>
    </row>
    <row r="2065" spans="1:3" s="13" customFormat="1" x14ac:dyDescent="0.25">
      <c r="A2065" s="15"/>
      <c r="B2065" s="16"/>
      <c r="C2065" s="17"/>
    </row>
    <row r="2066" spans="1:3" s="13" customFormat="1" x14ac:dyDescent="0.25">
      <c r="A2066" s="15"/>
      <c r="B2066" s="16"/>
      <c r="C2066" s="17"/>
    </row>
    <row r="2067" spans="1:3" s="13" customFormat="1" x14ac:dyDescent="0.25">
      <c r="A2067" s="15"/>
      <c r="B2067" s="16"/>
      <c r="C2067" s="17"/>
    </row>
    <row r="2068" spans="1:3" s="13" customFormat="1" x14ac:dyDescent="0.25">
      <c r="A2068" s="15"/>
      <c r="B2068" s="16"/>
      <c r="C2068" s="17"/>
    </row>
    <row r="2069" spans="1:3" s="13" customFormat="1" x14ac:dyDescent="0.25">
      <c r="A2069" s="15"/>
      <c r="B2069" s="16"/>
      <c r="C2069" s="17"/>
    </row>
    <row r="2070" spans="1:3" s="13" customFormat="1" x14ac:dyDescent="0.25">
      <c r="A2070" s="15"/>
      <c r="B2070" s="16"/>
      <c r="C2070" s="17"/>
    </row>
    <row r="2071" spans="1:3" s="13" customFormat="1" x14ac:dyDescent="0.25">
      <c r="A2071" s="15"/>
      <c r="B2071" s="16"/>
      <c r="C2071" s="17"/>
    </row>
    <row r="2072" spans="1:3" s="13" customFormat="1" x14ac:dyDescent="0.25">
      <c r="A2072" s="15"/>
      <c r="B2072" s="16"/>
      <c r="C2072" s="17"/>
    </row>
    <row r="2073" spans="1:3" s="13" customFormat="1" x14ac:dyDescent="0.25">
      <c r="A2073" s="15"/>
      <c r="B2073" s="16"/>
      <c r="C2073" s="17"/>
    </row>
    <row r="2074" spans="1:3" s="13" customFormat="1" x14ac:dyDescent="0.25">
      <c r="A2074" s="15"/>
      <c r="B2074" s="16"/>
      <c r="C2074" s="17"/>
    </row>
    <row r="2075" spans="1:3" s="13" customFormat="1" x14ac:dyDescent="0.25">
      <c r="A2075" s="15"/>
      <c r="B2075" s="16"/>
      <c r="C2075" s="17"/>
    </row>
    <row r="2076" spans="1:3" s="13" customFormat="1" x14ac:dyDescent="0.25">
      <c r="A2076" s="15"/>
      <c r="B2076" s="16"/>
      <c r="C2076" s="17"/>
    </row>
    <row r="2077" spans="1:3" s="13" customFormat="1" x14ac:dyDescent="0.25">
      <c r="A2077" s="15"/>
      <c r="B2077" s="16"/>
      <c r="C2077" s="17"/>
    </row>
    <row r="2078" spans="1:3" s="13" customFormat="1" x14ac:dyDescent="0.25">
      <c r="A2078" s="15"/>
      <c r="B2078" s="16"/>
      <c r="C2078" s="17"/>
    </row>
    <row r="2079" spans="1:3" s="13" customFormat="1" x14ac:dyDescent="0.25">
      <c r="A2079" s="15"/>
      <c r="B2079" s="16"/>
      <c r="C2079" s="17"/>
    </row>
    <row r="2080" spans="1:3" s="13" customFormat="1" x14ac:dyDescent="0.25">
      <c r="A2080" s="15"/>
      <c r="B2080" s="16"/>
      <c r="C2080" s="17"/>
    </row>
    <row r="2081" spans="1:3" s="13" customFormat="1" x14ac:dyDescent="0.25">
      <c r="A2081" s="15"/>
      <c r="B2081" s="16"/>
      <c r="C2081" s="17"/>
    </row>
    <row r="2082" spans="1:3" s="13" customFormat="1" x14ac:dyDescent="0.25">
      <c r="A2082" s="15"/>
      <c r="B2082" s="16"/>
      <c r="C2082" s="17"/>
    </row>
    <row r="2083" spans="1:3" s="13" customFormat="1" x14ac:dyDescent="0.25">
      <c r="A2083" s="15"/>
      <c r="B2083" s="16"/>
      <c r="C2083" s="17"/>
    </row>
    <row r="2084" spans="1:3" s="13" customFormat="1" x14ac:dyDescent="0.25">
      <c r="A2084" s="15"/>
      <c r="B2084" s="16"/>
      <c r="C2084" s="17"/>
    </row>
    <row r="2085" spans="1:3" s="13" customFormat="1" x14ac:dyDescent="0.25">
      <c r="A2085" s="15"/>
      <c r="B2085" s="16"/>
      <c r="C2085" s="17"/>
    </row>
    <row r="2086" spans="1:3" s="13" customFormat="1" x14ac:dyDescent="0.25">
      <c r="A2086" s="15"/>
      <c r="B2086" s="16"/>
      <c r="C2086" s="17"/>
    </row>
    <row r="2087" spans="1:3" s="13" customFormat="1" x14ac:dyDescent="0.25">
      <c r="A2087" s="15"/>
      <c r="B2087" s="16"/>
      <c r="C2087" s="17"/>
    </row>
    <row r="2088" spans="1:3" s="13" customFormat="1" x14ac:dyDescent="0.25">
      <c r="A2088" s="15"/>
      <c r="B2088" s="16"/>
      <c r="C2088" s="17"/>
    </row>
    <row r="2089" spans="1:3" s="13" customFormat="1" x14ac:dyDescent="0.25">
      <c r="A2089" s="15"/>
      <c r="B2089" s="16"/>
      <c r="C2089" s="17"/>
    </row>
    <row r="2090" spans="1:3" s="13" customFormat="1" x14ac:dyDescent="0.25">
      <c r="A2090" s="15"/>
      <c r="B2090" s="16"/>
      <c r="C2090" s="17"/>
    </row>
    <row r="2091" spans="1:3" s="13" customFormat="1" x14ac:dyDescent="0.25">
      <c r="A2091" s="15"/>
      <c r="B2091" s="16"/>
      <c r="C2091" s="17"/>
    </row>
    <row r="2092" spans="1:3" s="13" customFormat="1" x14ac:dyDescent="0.25">
      <c r="A2092" s="15"/>
      <c r="B2092" s="16"/>
      <c r="C2092" s="17"/>
    </row>
    <row r="2093" spans="1:3" s="13" customFormat="1" x14ac:dyDescent="0.25">
      <c r="A2093" s="15"/>
      <c r="B2093" s="16"/>
      <c r="C2093" s="17"/>
    </row>
    <row r="2094" spans="1:3" s="13" customFormat="1" x14ac:dyDescent="0.25">
      <c r="A2094" s="15"/>
      <c r="B2094" s="16"/>
      <c r="C2094" s="17"/>
    </row>
    <row r="2095" spans="1:3" s="13" customFormat="1" x14ac:dyDescent="0.25">
      <c r="A2095" s="15"/>
      <c r="B2095" s="16"/>
      <c r="C2095" s="17"/>
    </row>
    <row r="2096" spans="1:3" s="13" customFormat="1" x14ac:dyDescent="0.25">
      <c r="A2096" s="15"/>
      <c r="B2096" s="16"/>
      <c r="C2096" s="17"/>
    </row>
    <row r="2097" spans="1:3" s="13" customFormat="1" x14ac:dyDescent="0.25">
      <c r="A2097" s="15"/>
      <c r="B2097" s="16"/>
      <c r="C2097" s="17"/>
    </row>
    <row r="2098" spans="1:3" s="13" customFormat="1" x14ac:dyDescent="0.25">
      <c r="A2098" s="15"/>
      <c r="B2098" s="16"/>
      <c r="C2098" s="17"/>
    </row>
    <row r="2099" spans="1:3" s="13" customFormat="1" x14ac:dyDescent="0.25">
      <c r="A2099" s="15"/>
      <c r="B2099" s="16"/>
      <c r="C2099" s="17"/>
    </row>
    <row r="2100" spans="1:3" s="13" customFormat="1" x14ac:dyDescent="0.25">
      <c r="A2100" s="15"/>
      <c r="B2100" s="16"/>
      <c r="C2100" s="17"/>
    </row>
    <row r="2101" spans="1:3" s="13" customFormat="1" x14ac:dyDescent="0.25">
      <c r="A2101" s="15"/>
      <c r="B2101" s="16"/>
      <c r="C2101" s="17"/>
    </row>
    <row r="2102" spans="1:3" s="13" customFormat="1" x14ac:dyDescent="0.25">
      <c r="A2102" s="15"/>
      <c r="B2102" s="16"/>
      <c r="C2102" s="17"/>
    </row>
    <row r="2103" spans="1:3" s="13" customFormat="1" x14ac:dyDescent="0.25">
      <c r="A2103" s="15"/>
      <c r="B2103" s="16"/>
      <c r="C2103" s="17"/>
    </row>
    <row r="2104" spans="1:3" s="13" customFormat="1" x14ac:dyDescent="0.25">
      <c r="A2104" s="15"/>
      <c r="B2104" s="16"/>
      <c r="C2104" s="17"/>
    </row>
    <row r="2105" spans="1:3" s="13" customFormat="1" x14ac:dyDescent="0.25">
      <c r="A2105" s="15"/>
      <c r="B2105" s="16"/>
      <c r="C2105" s="17"/>
    </row>
    <row r="2106" spans="1:3" s="13" customFormat="1" x14ac:dyDescent="0.25">
      <c r="A2106" s="15"/>
      <c r="B2106" s="16"/>
      <c r="C2106" s="17"/>
    </row>
    <row r="2107" spans="1:3" s="13" customFormat="1" x14ac:dyDescent="0.25">
      <c r="A2107" s="15"/>
      <c r="B2107" s="16"/>
      <c r="C2107" s="17"/>
    </row>
    <row r="2108" spans="1:3" s="13" customFormat="1" x14ac:dyDescent="0.25">
      <c r="A2108" s="15"/>
      <c r="B2108" s="16"/>
      <c r="C2108" s="17"/>
    </row>
    <row r="2109" spans="1:3" s="13" customFormat="1" x14ac:dyDescent="0.25">
      <c r="A2109" s="15"/>
      <c r="B2109" s="16"/>
      <c r="C2109" s="17"/>
    </row>
    <row r="2110" spans="1:3" s="13" customFormat="1" x14ac:dyDescent="0.25">
      <c r="A2110" s="15"/>
      <c r="B2110" s="16"/>
      <c r="C2110" s="17"/>
    </row>
    <row r="2111" spans="1:3" s="13" customFormat="1" x14ac:dyDescent="0.25">
      <c r="A2111" s="15"/>
      <c r="B2111" s="16"/>
      <c r="C2111" s="17"/>
    </row>
    <row r="2112" spans="1:3" s="13" customFormat="1" x14ac:dyDescent="0.25">
      <c r="A2112" s="15"/>
      <c r="B2112" s="16"/>
      <c r="C2112" s="17"/>
    </row>
    <row r="2113" spans="1:3" s="13" customFormat="1" x14ac:dyDescent="0.25">
      <c r="A2113" s="15"/>
      <c r="B2113" s="16"/>
      <c r="C2113" s="17"/>
    </row>
    <row r="2114" spans="1:3" s="13" customFormat="1" x14ac:dyDescent="0.25">
      <c r="A2114" s="15"/>
      <c r="B2114" s="16"/>
      <c r="C2114" s="17"/>
    </row>
    <row r="2115" spans="1:3" s="13" customFormat="1" x14ac:dyDescent="0.25">
      <c r="A2115" s="15"/>
      <c r="B2115" s="16"/>
      <c r="C2115" s="17"/>
    </row>
    <row r="2116" spans="1:3" s="13" customFormat="1" x14ac:dyDescent="0.25">
      <c r="A2116" s="15"/>
      <c r="B2116" s="16"/>
      <c r="C2116" s="17"/>
    </row>
    <row r="2117" spans="1:3" s="13" customFormat="1" x14ac:dyDescent="0.25">
      <c r="A2117" s="15"/>
      <c r="B2117" s="16"/>
      <c r="C2117" s="17"/>
    </row>
    <row r="2118" spans="1:3" s="13" customFormat="1" x14ac:dyDescent="0.25">
      <c r="A2118" s="15"/>
      <c r="B2118" s="16"/>
      <c r="C2118" s="17"/>
    </row>
    <row r="2119" spans="1:3" s="13" customFormat="1" x14ac:dyDescent="0.25">
      <c r="A2119" s="15"/>
      <c r="B2119" s="16"/>
      <c r="C2119" s="17"/>
    </row>
    <row r="2120" spans="1:3" s="13" customFormat="1" x14ac:dyDescent="0.25">
      <c r="A2120" s="15"/>
      <c r="B2120" s="16"/>
      <c r="C2120" s="17"/>
    </row>
    <row r="2121" spans="1:3" s="13" customFormat="1" x14ac:dyDescent="0.25">
      <c r="A2121" s="15"/>
      <c r="B2121" s="16"/>
      <c r="C2121" s="17"/>
    </row>
    <row r="2122" spans="1:3" s="13" customFormat="1" x14ac:dyDescent="0.25">
      <c r="A2122" s="15"/>
      <c r="B2122" s="16"/>
      <c r="C2122" s="17"/>
    </row>
    <row r="2123" spans="1:3" s="13" customFormat="1" x14ac:dyDescent="0.25">
      <c r="A2123" s="15"/>
      <c r="B2123" s="16"/>
      <c r="C2123" s="17"/>
    </row>
    <row r="2124" spans="1:3" s="13" customFormat="1" x14ac:dyDescent="0.25">
      <c r="A2124" s="15"/>
      <c r="B2124" s="16"/>
      <c r="C2124" s="17"/>
    </row>
    <row r="2125" spans="1:3" s="13" customFormat="1" x14ac:dyDescent="0.25">
      <c r="A2125" s="15"/>
      <c r="B2125" s="16"/>
      <c r="C2125" s="17"/>
    </row>
    <row r="2126" spans="1:3" s="13" customFormat="1" x14ac:dyDescent="0.25">
      <c r="A2126" s="15"/>
      <c r="B2126" s="16"/>
      <c r="C2126" s="17"/>
    </row>
    <row r="2127" spans="1:3" s="13" customFormat="1" x14ac:dyDescent="0.25">
      <c r="A2127" s="15"/>
      <c r="B2127" s="16"/>
      <c r="C2127" s="17"/>
    </row>
    <row r="2128" spans="1:3" s="13" customFormat="1" x14ac:dyDescent="0.25">
      <c r="A2128" s="15"/>
      <c r="B2128" s="16"/>
      <c r="C2128" s="17"/>
    </row>
    <row r="2129" spans="1:3" s="13" customFormat="1" x14ac:dyDescent="0.25">
      <c r="A2129" s="15"/>
      <c r="B2129" s="16"/>
      <c r="C2129" s="17"/>
    </row>
    <row r="2130" spans="1:3" s="13" customFormat="1" x14ac:dyDescent="0.25">
      <c r="A2130" s="15"/>
      <c r="B2130" s="16"/>
      <c r="C2130" s="17"/>
    </row>
    <row r="2131" spans="1:3" s="13" customFormat="1" x14ac:dyDescent="0.25">
      <c r="A2131" s="15"/>
      <c r="B2131" s="16"/>
      <c r="C2131" s="17"/>
    </row>
    <row r="2132" spans="1:3" s="13" customFormat="1" x14ac:dyDescent="0.25">
      <c r="A2132" s="15"/>
      <c r="B2132" s="16"/>
      <c r="C2132" s="17"/>
    </row>
    <row r="2133" spans="1:3" s="13" customFormat="1" x14ac:dyDescent="0.25">
      <c r="A2133" s="15"/>
      <c r="B2133" s="16"/>
      <c r="C2133" s="17"/>
    </row>
    <row r="2134" spans="1:3" s="13" customFormat="1" x14ac:dyDescent="0.25">
      <c r="A2134" s="15"/>
      <c r="B2134" s="16"/>
      <c r="C2134" s="17"/>
    </row>
    <row r="2135" spans="1:3" s="13" customFormat="1" x14ac:dyDescent="0.25">
      <c r="A2135" s="15"/>
      <c r="B2135" s="16"/>
      <c r="C2135" s="17"/>
    </row>
    <row r="2136" spans="1:3" s="13" customFormat="1" x14ac:dyDescent="0.25">
      <c r="A2136" s="15"/>
      <c r="B2136" s="16"/>
      <c r="C2136" s="17"/>
    </row>
    <row r="2137" spans="1:3" s="13" customFormat="1" x14ac:dyDescent="0.25">
      <c r="A2137" s="15"/>
      <c r="B2137" s="16"/>
      <c r="C2137" s="17"/>
    </row>
    <row r="2138" spans="1:3" s="13" customFormat="1" x14ac:dyDescent="0.25">
      <c r="A2138" s="15"/>
      <c r="B2138" s="16"/>
      <c r="C2138" s="17"/>
    </row>
    <row r="2139" spans="1:3" s="13" customFormat="1" x14ac:dyDescent="0.25">
      <c r="A2139" s="15"/>
      <c r="B2139" s="16"/>
      <c r="C2139" s="17"/>
    </row>
    <row r="2140" spans="1:3" s="13" customFormat="1" x14ac:dyDescent="0.25">
      <c r="A2140" s="15"/>
      <c r="B2140" s="16"/>
      <c r="C2140" s="17"/>
    </row>
    <row r="2141" spans="1:3" s="13" customFormat="1" x14ac:dyDescent="0.25">
      <c r="A2141" s="15"/>
      <c r="B2141" s="16"/>
      <c r="C2141" s="17"/>
    </row>
    <row r="2142" spans="1:3" s="13" customFormat="1" x14ac:dyDescent="0.25">
      <c r="A2142" s="15"/>
      <c r="B2142" s="16"/>
      <c r="C2142" s="17"/>
    </row>
    <row r="2143" spans="1:3" s="13" customFormat="1" x14ac:dyDescent="0.25">
      <c r="A2143" s="15"/>
      <c r="B2143" s="16"/>
      <c r="C2143" s="17"/>
    </row>
    <row r="2144" spans="1:3" s="13" customFormat="1" x14ac:dyDescent="0.25">
      <c r="A2144" s="15"/>
      <c r="B2144" s="16"/>
      <c r="C2144" s="17"/>
    </row>
    <row r="2145" spans="1:3" s="13" customFormat="1" x14ac:dyDescent="0.25">
      <c r="A2145" s="15"/>
      <c r="B2145" s="16"/>
      <c r="C2145" s="17"/>
    </row>
    <row r="2146" spans="1:3" s="13" customFormat="1" x14ac:dyDescent="0.25">
      <c r="A2146" s="15"/>
      <c r="B2146" s="16"/>
      <c r="C2146" s="17"/>
    </row>
    <row r="2147" spans="1:3" s="13" customFormat="1" x14ac:dyDescent="0.25">
      <c r="A2147" s="15"/>
      <c r="B2147" s="16"/>
      <c r="C2147" s="17"/>
    </row>
    <row r="2148" spans="1:3" s="13" customFormat="1" x14ac:dyDescent="0.25">
      <c r="A2148" s="15"/>
      <c r="B2148" s="16"/>
      <c r="C2148" s="17"/>
    </row>
    <row r="2149" spans="1:3" s="13" customFormat="1" x14ac:dyDescent="0.25">
      <c r="A2149" s="15"/>
      <c r="B2149" s="16"/>
      <c r="C2149" s="17"/>
    </row>
    <row r="2150" spans="1:3" s="13" customFormat="1" x14ac:dyDescent="0.25">
      <c r="A2150" s="15"/>
      <c r="B2150" s="16"/>
      <c r="C2150" s="17"/>
    </row>
    <row r="2151" spans="1:3" s="13" customFormat="1" x14ac:dyDescent="0.25">
      <c r="A2151" s="15"/>
      <c r="B2151" s="16"/>
      <c r="C2151" s="17"/>
    </row>
    <row r="2152" spans="1:3" s="13" customFormat="1" x14ac:dyDescent="0.25">
      <c r="A2152" s="15"/>
      <c r="B2152" s="16"/>
      <c r="C2152" s="17"/>
    </row>
    <row r="2153" spans="1:3" s="13" customFormat="1" x14ac:dyDescent="0.25">
      <c r="A2153" s="15"/>
      <c r="B2153" s="16"/>
      <c r="C2153" s="17"/>
    </row>
    <row r="2154" spans="1:3" s="13" customFormat="1" x14ac:dyDescent="0.25">
      <c r="A2154" s="15"/>
      <c r="B2154" s="16"/>
      <c r="C2154" s="17"/>
    </row>
    <row r="2155" spans="1:3" s="13" customFormat="1" x14ac:dyDescent="0.25">
      <c r="A2155" s="15"/>
      <c r="B2155" s="16"/>
      <c r="C2155" s="17"/>
    </row>
    <row r="2156" spans="1:3" s="13" customFormat="1" x14ac:dyDescent="0.25">
      <c r="A2156" s="15"/>
      <c r="B2156" s="16"/>
      <c r="C2156" s="17"/>
    </row>
    <row r="2157" spans="1:3" s="13" customFormat="1" x14ac:dyDescent="0.25">
      <c r="A2157" s="15"/>
      <c r="B2157" s="16"/>
      <c r="C2157" s="17"/>
    </row>
    <row r="2158" spans="1:3" s="13" customFormat="1" x14ac:dyDescent="0.25">
      <c r="A2158" s="15"/>
      <c r="B2158" s="16"/>
      <c r="C2158" s="17"/>
    </row>
    <row r="2159" spans="1:3" s="13" customFormat="1" x14ac:dyDescent="0.25">
      <c r="A2159" s="15"/>
      <c r="B2159" s="16"/>
      <c r="C2159" s="17"/>
    </row>
    <row r="2160" spans="1:3" s="13" customFormat="1" x14ac:dyDescent="0.25">
      <c r="A2160" s="15"/>
      <c r="B2160" s="16"/>
      <c r="C2160" s="17"/>
    </row>
    <row r="2161" spans="1:3" s="13" customFormat="1" x14ac:dyDescent="0.25">
      <c r="A2161" s="15"/>
      <c r="B2161" s="16"/>
      <c r="C2161" s="17"/>
    </row>
    <row r="2162" spans="1:3" s="13" customFormat="1" x14ac:dyDescent="0.25">
      <c r="A2162" s="15"/>
      <c r="B2162" s="16"/>
      <c r="C2162" s="17"/>
    </row>
    <row r="2163" spans="1:3" s="13" customFormat="1" x14ac:dyDescent="0.25">
      <c r="A2163" s="15"/>
      <c r="B2163" s="16"/>
      <c r="C2163" s="17"/>
    </row>
    <row r="2164" spans="1:3" s="13" customFormat="1" x14ac:dyDescent="0.25">
      <c r="A2164" s="15"/>
      <c r="B2164" s="16"/>
      <c r="C2164" s="17"/>
    </row>
    <row r="2165" spans="1:3" s="13" customFormat="1" x14ac:dyDescent="0.25">
      <c r="A2165" s="15"/>
      <c r="B2165" s="16"/>
      <c r="C2165" s="17"/>
    </row>
    <row r="2166" spans="1:3" s="13" customFormat="1" x14ac:dyDescent="0.25">
      <c r="A2166" s="15"/>
      <c r="B2166" s="16"/>
      <c r="C2166" s="17"/>
    </row>
    <row r="2167" spans="1:3" s="13" customFormat="1" x14ac:dyDescent="0.25">
      <c r="A2167" s="15"/>
      <c r="B2167" s="16"/>
      <c r="C2167" s="17"/>
    </row>
    <row r="2168" spans="1:3" s="13" customFormat="1" x14ac:dyDescent="0.25">
      <c r="A2168" s="15"/>
      <c r="B2168" s="16"/>
      <c r="C2168" s="17"/>
    </row>
    <row r="2169" spans="1:3" s="13" customFormat="1" x14ac:dyDescent="0.25">
      <c r="A2169" s="15"/>
      <c r="B2169" s="16"/>
      <c r="C2169" s="17"/>
    </row>
    <row r="2170" spans="1:3" s="13" customFormat="1" x14ac:dyDescent="0.25">
      <c r="A2170" s="15"/>
      <c r="B2170" s="16"/>
      <c r="C2170" s="17"/>
    </row>
    <row r="2171" spans="1:3" s="13" customFormat="1" x14ac:dyDescent="0.25">
      <c r="A2171" s="15"/>
      <c r="B2171" s="16"/>
      <c r="C2171" s="17"/>
    </row>
    <row r="2172" spans="1:3" s="13" customFormat="1" x14ac:dyDescent="0.25">
      <c r="A2172" s="15"/>
      <c r="B2172" s="16"/>
      <c r="C2172" s="17"/>
    </row>
    <row r="2173" spans="1:3" s="13" customFormat="1" x14ac:dyDescent="0.25">
      <c r="A2173" s="15"/>
      <c r="B2173" s="16"/>
      <c r="C2173" s="17"/>
    </row>
    <row r="2174" spans="1:3" s="13" customFormat="1" x14ac:dyDescent="0.25">
      <c r="A2174" s="15"/>
      <c r="B2174" s="16"/>
      <c r="C2174" s="17"/>
    </row>
    <row r="2175" spans="1:3" s="13" customFormat="1" x14ac:dyDescent="0.25">
      <c r="A2175" s="15"/>
      <c r="B2175" s="16"/>
      <c r="C2175" s="17"/>
    </row>
    <row r="2176" spans="1:3" s="13" customFormat="1" x14ac:dyDescent="0.25">
      <c r="A2176" s="15"/>
      <c r="B2176" s="16"/>
      <c r="C2176" s="17"/>
    </row>
    <row r="2177" spans="1:3" s="13" customFormat="1" x14ac:dyDescent="0.25">
      <c r="A2177" s="15"/>
      <c r="B2177" s="16"/>
      <c r="C2177" s="17"/>
    </row>
    <row r="2178" spans="1:3" s="13" customFormat="1" x14ac:dyDescent="0.25">
      <c r="A2178" s="15"/>
      <c r="B2178" s="16"/>
      <c r="C2178" s="17"/>
    </row>
    <row r="2179" spans="1:3" s="13" customFormat="1" x14ac:dyDescent="0.25">
      <c r="A2179" s="15"/>
      <c r="B2179" s="16"/>
      <c r="C2179" s="17"/>
    </row>
    <row r="2180" spans="1:3" s="13" customFormat="1" x14ac:dyDescent="0.25">
      <c r="A2180" s="15"/>
      <c r="B2180" s="16"/>
      <c r="C2180" s="17"/>
    </row>
    <row r="2181" spans="1:3" s="13" customFormat="1" x14ac:dyDescent="0.25">
      <c r="A2181" s="15"/>
      <c r="B2181" s="16"/>
      <c r="C2181" s="17"/>
    </row>
    <row r="2182" spans="1:3" s="13" customFormat="1" x14ac:dyDescent="0.25">
      <c r="A2182" s="15"/>
      <c r="B2182" s="16"/>
      <c r="C2182" s="17"/>
    </row>
    <row r="2183" spans="1:3" s="13" customFormat="1" x14ac:dyDescent="0.25">
      <c r="A2183" s="15"/>
      <c r="B2183" s="16"/>
      <c r="C2183" s="17"/>
    </row>
    <row r="2184" spans="1:3" s="13" customFormat="1" x14ac:dyDescent="0.25">
      <c r="A2184" s="15"/>
      <c r="B2184" s="16"/>
      <c r="C2184" s="17"/>
    </row>
    <row r="2185" spans="1:3" s="13" customFormat="1" x14ac:dyDescent="0.25">
      <c r="A2185" s="15"/>
      <c r="B2185" s="16"/>
      <c r="C2185" s="17"/>
    </row>
    <row r="2186" spans="1:3" s="13" customFormat="1" x14ac:dyDescent="0.25">
      <c r="A2186" s="15"/>
      <c r="B2186" s="16"/>
      <c r="C2186" s="17"/>
    </row>
    <row r="2187" spans="1:3" s="13" customFormat="1" x14ac:dyDescent="0.25">
      <c r="A2187" s="15"/>
      <c r="B2187" s="16"/>
      <c r="C2187" s="17"/>
    </row>
    <row r="2188" spans="1:3" s="13" customFormat="1" x14ac:dyDescent="0.25">
      <c r="A2188" s="15"/>
      <c r="B2188" s="16"/>
      <c r="C2188" s="17"/>
    </row>
    <row r="2189" spans="1:3" s="13" customFormat="1" x14ac:dyDescent="0.25">
      <c r="A2189" s="15"/>
      <c r="B2189" s="16"/>
      <c r="C2189" s="17"/>
    </row>
    <row r="2190" spans="1:3" s="13" customFormat="1" x14ac:dyDescent="0.25">
      <c r="A2190" s="15"/>
      <c r="B2190" s="16"/>
      <c r="C2190" s="17"/>
    </row>
    <row r="2191" spans="1:3" s="13" customFormat="1" x14ac:dyDescent="0.25">
      <c r="A2191" s="15"/>
      <c r="B2191" s="16"/>
      <c r="C2191" s="17"/>
    </row>
    <row r="2192" spans="1:3" s="13" customFormat="1" x14ac:dyDescent="0.25">
      <c r="A2192" s="15"/>
      <c r="B2192" s="16"/>
      <c r="C2192" s="17"/>
    </row>
    <row r="2193" spans="1:3" s="13" customFormat="1" x14ac:dyDescent="0.25">
      <c r="A2193" s="15"/>
      <c r="B2193" s="16"/>
      <c r="C2193" s="17"/>
    </row>
    <row r="2194" spans="1:3" s="13" customFormat="1" x14ac:dyDescent="0.25">
      <c r="A2194" s="15"/>
      <c r="B2194" s="16"/>
      <c r="C2194" s="17"/>
    </row>
    <row r="2195" spans="1:3" s="13" customFormat="1" x14ac:dyDescent="0.25">
      <c r="A2195" s="15"/>
      <c r="B2195" s="16"/>
      <c r="C2195" s="17"/>
    </row>
    <row r="2196" spans="1:3" s="13" customFormat="1" x14ac:dyDescent="0.25">
      <c r="A2196" s="15"/>
      <c r="B2196" s="16"/>
      <c r="C2196" s="17"/>
    </row>
    <row r="2197" spans="1:3" s="13" customFormat="1" x14ac:dyDescent="0.25">
      <c r="A2197" s="15"/>
      <c r="B2197" s="16"/>
      <c r="C2197" s="17"/>
    </row>
    <row r="2198" spans="1:3" s="13" customFormat="1" x14ac:dyDescent="0.25">
      <c r="A2198" s="15"/>
      <c r="B2198" s="16"/>
      <c r="C2198" s="17"/>
    </row>
    <row r="2199" spans="1:3" s="13" customFormat="1" x14ac:dyDescent="0.25">
      <c r="A2199" s="15"/>
      <c r="B2199" s="16"/>
      <c r="C2199" s="17"/>
    </row>
    <row r="2200" spans="1:3" s="13" customFormat="1" x14ac:dyDescent="0.25">
      <c r="A2200" s="15"/>
      <c r="B2200" s="16"/>
      <c r="C2200" s="17"/>
    </row>
    <row r="2201" spans="1:3" s="13" customFormat="1" x14ac:dyDescent="0.25">
      <c r="A2201" s="15"/>
      <c r="B2201" s="16"/>
      <c r="C2201" s="17"/>
    </row>
    <row r="2202" spans="1:3" s="13" customFormat="1" x14ac:dyDescent="0.25">
      <c r="A2202" s="15"/>
      <c r="B2202" s="16"/>
      <c r="C2202" s="17"/>
    </row>
    <row r="2203" spans="1:3" s="13" customFormat="1" x14ac:dyDescent="0.25">
      <c r="A2203" s="15"/>
      <c r="B2203" s="16"/>
      <c r="C2203" s="17"/>
    </row>
    <row r="2204" spans="1:3" s="13" customFormat="1" x14ac:dyDescent="0.25">
      <c r="A2204" s="15"/>
      <c r="B2204" s="16"/>
      <c r="C2204" s="17"/>
    </row>
    <row r="2205" spans="1:3" s="13" customFormat="1" x14ac:dyDescent="0.25">
      <c r="A2205" s="15"/>
      <c r="B2205" s="16"/>
      <c r="C2205" s="17"/>
    </row>
    <row r="2206" spans="1:3" s="13" customFormat="1" x14ac:dyDescent="0.25">
      <c r="A2206" s="15"/>
      <c r="B2206" s="16"/>
      <c r="C2206" s="17"/>
    </row>
    <row r="2207" spans="1:3" s="13" customFormat="1" x14ac:dyDescent="0.25">
      <c r="A2207" s="15"/>
      <c r="B2207" s="16"/>
      <c r="C2207" s="17"/>
    </row>
    <row r="2208" spans="1:3" s="13" customFormat="1" x14ac:dyDescent="0.25">
      <c r="A2208" s="15"/>
      <c r="B2208" s="16"/>
      <c r="C2208" s="17"/>
    </row>
    <row r="2209" spans="1:3" s="13" customFormat="1" x14ac:dyDescent="0.25">
      <c r="A2209" s="15"/>
      <c r="B2209" s="16"/>
      <c r="C2209" s="17"/>
    </row>
    <row r="2210" spans="1:3" s="13" customFormat="1" x14ac:dyDescent="0.25">
      <c r="A2210" s="15"/>
      <c r="B2210" s="16"/>
      <c r="C2210" s="17"/>
    </row>
    <row r="2211" spans="1:3" s="13" customFormat="1" x14ac:dyDescent="0.25">
      <c r="A2211" s="15"/>
      <c r="B2211" s="16"/>
      <c r="C2211" s="17"/>
    </row>
    <row r="2212" spans="1:3" s="13" customFormat="1" x14ac:dyDescent="0.25">
      <c r="A2212" s="15"/>
      <c r="B2212" s="16"/>
      <c r="C2212" s="17"/>
    </row>
    <row r="2213" spans="1:3" s="13" customFormat="1" x14ac:dyDescent="0.25">
      <c r="A2213" s="15"/>
      <c r="B2213" s="16"/>
      <c r="C2213" s="17"/>
    </row>
    <row r="2214" spans="1:3" s="13" customFormat="1" x14ac:dyDescent="0.25">
      <c r="A2214" s="15"/>
      <c r="B2214" s="16"/>
      <c r="C2214" s="17"/>
    </row>
    <row r="2215" spans="1:3" s="13" customFormat="1" x14ac:dyDescent="0.25">
      <c r="A2215" s="15"/>
      <c r="B2215" s="16"/>
      <c r="C2215" s="17"/>
    </row>
    <row r="2216" spans="1:3" s="13" customFormat="1" x14ac:dyDescent="0.25">
      <c r="A2216" s="15"/>
      <c r="B2216" s="16"/>
      <c r="C2216" s="17"/>
    </row>
    <row r="2217" spans="1:3" s="13" customFormat="1" x14ac:dyDescent="0.25">
      <c r="A2217" s="15"/>
      <c r="B2217" s="16"/>
      <c r="C2217" s="17"/>
    </row>
    <row r="2218" spans="1:3" s="13" customFormat="1" x14ac:dyDescent="0.25">
      <c r="A2218" s="15"/>
      <c r="B2218" s="16"/>
      <c r="C2218" s="17"/>
    </row>
    <row r="2219" spans="1:3" s="13" customFormat="1" x14ac:dyDescent="0.25">
      <c r="A2219" s="15"/>
      <c r="B2219" s="16"/>
      <c r="C2219" s="17"/>
    </row>
    <row r="2220" spans="1:3" s="13" customFormat="1" x14ac:dyDescent="0.25">
      <c r="A2220" s="15"/>
      <c r="B2220" s="16"/>
      <c r="C2220" s="17"/>
    </row>
    <row r="2221" spans="1:3" s="13" customFormat="1" x14ac:dyDescent="0.25">
      <c r="A2221" s="15"/>
      <c r="B2221" s="16"/>
      <c r="C2221" s="17"/>
    </row>
    <row r="2222" spans="1:3" s="13" customFormat="1" x14ac:dyDescent="0.25">
      <c r="A2222" s="15"/>
      <c r="B2222" s="16"/>
      <c r="C2222" s="17"/>
    </row>
    <row r="2223" spans="1:3" s="13" customFormat="1" x14ac:dyDescent="0.25">
      <c r="A2223" s="15"/>
      <c r="B2223" s="16"/>
      <c r="C2223" s="17"/>
    </row>
    <row r="2224" spans="1:3" s="13" customFormat="1" x14ac:dyDescent="0.25">
      <c r="A2224" s="15"/>
      <c r="B2224" s="16"/>
      <c r="C2224" s="17"/>
    </row>
    <row r="2225" spans="1:3" s="13" customFormat="1" x14ac:dyDescent="0.25">
      <c r="A2225" s="15"/>
      <c r="B2225" s="16"/>
      <c r="C2225" s="17"/>
    </row>
    <row r="2226" spans="1:3" s="13" customFormat="1" x14ac:dyDescent="0.25">
      <c r="A2226" s="15"/>
      <c r="B2226" s="16"/>
      <c r="C2226" s="17"/>
    </row>
    <row r="2227" spans="1:3" s="13" customFormat="1" x14ac:dyDescent="0.25">
      <c r="A2227" s="15"/>
      <c r="B2227" s="16"/>
      <c r="C2227" s="17"/>
    </row>
    <row r="2228" spans="1:3" s="13" customFormat="1" x14ac:dyDescent="0.25">
      <c r="A2228" s="15"/>
      <c r="B2228" s="16"/>
      <c r="C2228" s="17"/>
    </row>
    <row r="2229" spans="1:3" s="13" customFormat="1" x14ac:dyDescent="0.25">
      <c r="A2229" s="15"/>
      <c r="B2229" s="16"/>
      <c r="C2229" s="17"/>
    </row>
    <row r="2230" spans="1:3" s="13" customFormat="1" x14ac:dyDescent="0.25">
      <c r="A2230" s="15"/>
      <c r="B2230" s="16"/>
      <c r="C2230" s="17"/>
    </row>
    <row r="2231" spans="1:3" s="13" customFormat="1" x14ac:dyDescent="0.25">
      <c r="A2231" s="15"/>
      <c r="B2231" s="16"/>
      <c r="C2231" s="17"/>
    </row>
    <row r="2232" spans="1:3" s="13" customFormat="1" x14ac:dyDescent="0.25">
      <c r="A2232" s="15"/>
      <c r="B2232" s="16"/>
      <c r="C2232" s="17"/>
    </row>
    <row r="2233" spans="1:3" s="13" customFormat="1" x14ac:dyDescent="0.25">
      <c r="A2233" s="15"/>
      <c r="B2233" s="16"/>
      <c r="C2233" s="17"/>
    </row>
    <row r="2234" spans="1:3" s="13" customFormat="1" x14ac:dyDescent="0.25">
      <c r="A2234" s="15"/>
      <c r="B2234" s="16"/>
      <c r="C2234" s="17"/>
    </row>
    <row r="2235" spans="1:3" s="13" customFormat="1" x14ac:dyDescent="0.25">
      <c r="A2235" s="15"/>
      <c r="B2235" s="16"/>
      <c r="C2235" s="17"/>
    </row>
    <row r="2236" spans="1:3" s="13" customFormat="1" x14ac:dyDescent="0.25">
      <c r="A2236" s="15"/>
      <c r="B2236" s="16"/>
      <c r="C2236" s="17"/>
    </row>
    <row r="2237" spans="1:3" s="13" customFormat="1" x14ac:dyDescent="0.25">
      <c r="A2237" s="15"/>
      <c r="B2237" s="16"/>
      <c r="C2237" s="17"/>
    </row>
    <row r="2238" spans="1:3" s="13" customFormat="1" x14ac:dyDescent="0.25">
      <c r="A2238" s="15"/>
      <c r="B2238" s="16"/>
      <c r="C2238" s="17"/>
    </row>
    <row r="2239" spans="1:3" s="13" customFormat="1" x14ac:dyDescent="0.25">
      <c r="A2239" s="15"/>
      <c r="B2239" s="16"/>
      <c r="C2239" s="17"/>
    </row>
    <row r="2240" spans="1:3" s="13" customFormat="1" x14ac:dyDescent="0.25">
      <c r="A2240" s="15"/>
      <c r="B2240" s="16"/>
      <c r="C2240" s="17"/>
    </row>
    <row r="2241" spans="1:3" s="13" customFormat="1" x14ac:dyDescent="0.25">
      <c r="A2241" s="15"/>
      <c r="B2241" s="16"/>
      <c r="C2241" s="17"/>
    </row>
    <row r="2242" spans="1:3" s="13" customFormat="1" x14ac:dyDescent="0.25">
      <c r="A2242" s="15"/>
      <c r="B2242" s="16"/>
      <c r="C2242" s="17"/>
    </row>
    <row r="2243" spans="1:3" s="13" customFormat="1" x14ac:dyDescent="0.25">
      <c r="A2243" s="15"/>
      <c r="B2243" s="16"/>
      <c r="C2243" s="17"/>
    </row>
    <row r="2244" spans="1:3" s="13" customFormat="1" x14ac:dyDescent="0.25">
      <c r="A2244" s="15"/>
      <c r="B2244" s="16"/>
      <c r="C2244" s="17"/>
    </row>
    <row r="2245" spans="1:3" s="13" customFormat="1" x14ac:dyDescent="0.25">
      <c r="A2245" s="15"/>
      <c r="B2245" s="16"/>
      <c r="C2245" s="17"/>
    </row>
    <row r="2246" spans="1:3" s="13" customFormat="1" x14ac:dyDescent="0.25">
      <c r="A2246" s="15"/>
      <c r="B2246" s="16"/>
      <c r="C2246" s="17"/>
    </row>
    <row r="2247" spans="1:3" s="13" customFormat="1" x14ac:dyDescent="0.25">
      <c r="A2247" s="15"/>
      <c r="B2247" s="16"/>
      <c r="C2247" s="17"/>
    </row>
    <row r="2248" spans="1:3" s="13" customFormat="1" x14ac:dyDescent="0.25">
      <c r="A2248" s="15"/>
      <c r="B2248" s="16"/>
      <c r="C2248" s="17"/>
    </row>
    <row r="2249" spans="1:3" s="13" customFormat="1" x14ac:dyDescent="0.25">
      <c r="A2249" s="15"/>
      <c r="B2249" s="16"/>
      <c r="C2249" s="17"/>
    </row>
    <row r="2250" spans="1:3" s="13" customFormat="1" x14ac:dyDescent="0.25">
      <c r="A2250" s="15"/>
      <c r="B2250" s="16"/>
      <c r="C2250" s="17"/>
    </row>
    <row r="2251" spans="1:3" s="13" customFormat="1" x14ac:dyDescent="0.25">
      <c r="A2251" s="15"/>
      <c r="B2251" s="16"/>
      <c r="C2251" s="17"/>
    </row>
    <row r="2252" spans="1:3" s="13" customFormat="1" x14ac:dyDescent="0.25">
      <c r="A2252" s="15"/>
      <c r="B2252" s="16"/>
      <c r="C2252" s="17"/>
    </row>
    <row r="2253" spans="1:3" s="13" customFormat="1" x14ac:dyDescent="0.25">
      <c r="A2253" s="15"/>
      <c r="B2253" s="16"/>
      <c r="C2253" s="17"/>
    </row>
    <row r="2254" spans="1:3" s="13" customFormat="1" x14ac:dyDescent="0.25">
      <c r="A2254" s="15"/>
      <c r="B2254" s="16"/>
      <c r="C2254" s="17"/>
    </row>
    <row r="2255" spans="1:3" s="13" customFormat="1" x14ac:dyDescent="0.25">
      <c r="A2255" s="15"/>
      <c r="B2255" s="16"/>
      <c r="C2255" s="17"/>
    </row>
    <row r="2256" spans="1:3" s="13" customFormat="1" x14ac:dyDescent="0.25">
      <c r="A2256" s="15"/>
      <c r="B2256" s="16"/>
      <c r="C2256" s="17"/>
    </row>
    <row r="2257" spans="1:3" s="13" customFormat="1" x14ac:dyDescent="0.25">
      <c r="A2257" s="15"/>
      <c r="B2257" s="16"/>
      <c r="C2257" s="17"/>
    </row>
    <row r="2258" spans="1:3" s="13" customFormat="1" x14ac:dyDescent="0.25">
      <c r="A2258" s="15"/>
      <c r="B2258" s="16"/>
      <c r="C2258" s="17"/>
    </row>
    <row r="2259" spans="1:3" s="13" customFormat="1" x14ac:dyDescent="0.25">
      <c r="A2259" s="15"/>
      <c r="B2259" s="16"/>
      <c r="C2259" s="17"/>
    </row>
    <row r="2260" spans="1:3" s="13" customFormat="1" x14ac:dyDescent="0.25">
      <c r="A2260" s="15"/>
      <c r="B2260" s="16"/>
      <c r="C2260" s="17"/>
    </row>
    <row r="2261" spans="1:3" s="13" customFormat="1" x14ac:dyDescent="0.25">
      <c r="A2261" s="15"/>
      <c r="B2261" s="16"/>
      <c r="C2261" s="17"/>
    </row>
    <row r="2262" spans="1:3" s="13" customFormat="1" x14ac:dyDescent="0.25">
      <c r="A2262" s="15"/>
      <c r="B2262" s="16"/>
      <c r="C2262" s="17"/>
    </row>
    <row r="2263" spans="1:3" s="13" customFormat="1" x14ac:dyDescent="0.25">
      <c r="A2263" s="15"/>
      <c r="B2263" s="16"/>
      <c r="C2263" s="17"/>
    </row>
    <row r="2264" spans="1:3" s="13" customFormat="1" x14ac:dyDescent="0.25">
      <c r="A2264" s="15"/>
      <c r="B2264" s="16"/>
      <c r="C2264" s="17"/>
    </row>
    <row r="2265" spans="1:3" s="13" customFormat="1" x14ac:dyDescent="0.25">
      <c r="A2265" s="15"/>
      <c r="B2265" s="16"/>
      <c r="C2265" s="17"/>
    </row>
    <row r="2266" spans="1:3" s="13" customFormat="1" x14ac:dyDescent="0.25">
      <c r="A2266" s="15"/>
      <c r="B2266" s="16"/>
      <c r="C2266" s="17"/>
    </row>
    <row r="2267" spans="1:3" s="13" customFormat="1" x14ac:dyDescent="0.25">
      <c r="A2267" s="15"/>
      <c r="B2267" s="16"/>
      <c r="C2267" s="17"/>
    </row>
    <row r="2268" spans="1:3" s="13" customFormat="1" x14ac:dyDescent="0.25">
      <c r="A2268" s="15"/>
      <c r="B2268" s="16"/>
      <c r="C2268" s="17"/>
    </row>
    <row r="2269" spans="1:3" s="13" customFormat="1" x14ac:dyDescent="0.25">
      <c r="A2269" s="15"/>
      <c r="B2269" s="16"/>
      <c r="C2269" s="17"/>
    </row>
    <row r="2270" spans="1:3" s="13" customFormat="1" x14ac:dyDescent="0.25">
      <c r="A2270" s="15"/>
      <c r="B2270" s="16"/>
      <c r="C2270" s="17"/>
    </row>
    <row r="2271" spans="1:3" s="13" customFormat="1" x14ac:dyDescent="0.25">
      <c r="A2271" s="15"/>
      <c r="B2271" s="16"/>
      <c r="C2271" s="17"/>
    </row>
    <row r="2272" spans="1:3" s="13" customFormat="1" x14ac:dyDescent="0.25">
      <c r="A2272" s="15"/>
      <c r="B2272" s="16"/>
      <c r="C2272" s="17"/>
    </row>
    <row r="2273" spans="1:3" s="13" customFormat="1" x14ac:dyDescent="0.25">
      <c r="A2273" s="15"/>
      <c r="B2273" s="16"/>
      <c r="C2273" s="17"/>
    </row>
    <row r="2274" spans="1:3" s="13" customFormat="1" x14ac:dyDescent="0.25">
      <c r="A2274" s="15"/>
      <c r="B2274" s="16"/>
      <c r="C2274" s="17"/>
    </row>
    <row r="2275" spans="1:3" s="13" customFormat="1" x14ac:dyDescent="0.25">
      <c r="A2275" s="15"/>
      <c r="B2275" s="16"/>
      <c r="C2275" s="17"/>
    </row>
    <row r="2276" spans="1:3" s="13" customFormat="1" x14ac:dyDescent="0.25">
      <c r="A2276" s="15"/>
      <c r="B2276" s="16"/>
      <c r="C2276" s="17"/>
    </row>
    <row r="2277" spans="1:3" s="13" customFormat="1" x14ac:dyDescent="0.25">
      <c r="A2277" s="15"/>
      <c r="B2277" s="16"/>
      <c r="C2277" s="17"/>
    </row>
    <row r="2278" spans="1:3" s="13" customFormat="1" x14ac:dyDescent="0.25">
      <c r="A2278" s="15"/>
      <c r="B2278" s="16"/>
      <c r="C2278" s="17"/>
    </row>
    <row r="2279" spans="1:3" s="13" customFormat="1" x14ac:dyDescent="0.25">
      <c r="A2279" s="15"/>
      <c r="B2279" s="16"/>
      <c r="C2279" s="17"/>
    </row>
    <row r="2280" spans="1:3" s="13" customFormat="1" x14ac:dyDescent="0.25">
      <c r="A2280" s="15"/>
      <c r="B2280" s="16"/>
      <c r="C2280" s="17"/>
    </row>
    <row r="2281" spans="1:3" s="13" customFormat="1" x14ac:dyDescent="0.25">
      <c r="A2281" s="15"/>
      <c r="B2281" s="16"/>
      <c r="C2281" s="17"/>
    </row>
    <row r="2282" spans="1:3" s="13" customFormat="1" x14ac:dyDescent="0.25">
      <c r="A2282" s="15"/>
      <c r="B2282" s="16"/>
      <c r="C2282" s="17"/>
    </row>
    <row r="2283" spans="1:3" s="13" customFormat="1" x14ac:dyDescent="0.25">
      <c r="A2283" s="15"/>
      <c r="B2283" s="16"/>
      <c r="C2283" s="17"/>
    </row>
    <row r="2284" spans="1:3" s="13" customFormat="1" x14ac:dyDescent="0.25">
      <c r="A2284" s="15"/>
      <c r="B2284" s="16"/>
      <c r="C2284" s="17"/>
    </row>
    <row r="2285" spans="1:3" s="13" customFormat="1" x14ac:dyDescent="0.25">
      <c r="A2285" s="15"/>
      <c r="B2285" s="16"/>
      <c r="C2285" s="17"/>
    </row>
    <row r="2286" spans="1:3" s="13" customFormat="1" x14ac:dyDescent="0.25">
      <c r="A2286" s="15"/>
      <c r="B2286" s="16"/>
      <c r="C2286" s="17"/>
    </row>
    <row r="2287" spans="1:3" s="13" customFormat="1" x14ac:dyDescent="0.25">
      <c r="A2287" s="15"/>
      <c r="B2287" s="16"/>
      <c r="C2287" s="17"/>
    </row>
    <row r="2288" spans="1:3" s="13" customFormat="1" x14ac:dyDescent="0.25">
      <c r="A2288" s="15"/>
      <c r="B2288" s="16"/>
      <c r="C2288" s="17"/>
    </row>
    <row r="2289" spans="1:3" s="13" customFormat="1" x14ac:dyDescent="0.25">
      <c r="A2289" s="15"/>
      <c r="B2289" s="16"/>
      <c r="C2289" s="17"/>
    </row>
    <row r="2290" spans="1:3" s="13" customFormat="1" x14ac:dyDescent="0.25">
      <c r="A2290" s="15"/>
      <c r="B2290" s="16"/>
      <c r="C2290" s="17"/>
    </row>
    <row r="2291" spans="1:3" s="13" customFormat="1" x14ac:dyDescent="0.25">
      <c r="A2291" s="15"/>
      <c r="B2291" s="16"/>
      <c r="C2291" s="17"/>
    </row>
    <row r="2292" spans="1:3" s="13" customFormat="1" x14ac:dyDescent="0.25">
      <c r="A2292" s="15"/>
      <c r="B2292" s="16"/>
      <c r="C2292" s="17"/>
    </row>
    <row r="2293" spans="1:3" s="13" customFormat="1" x14ac:dyDescent="0.25">
      <c r="A2293" s="15"/>
      <c r="B2293" s="16"/>
      <c r="C2293" s="17"/>
    </row>
    <row r="2294" spans="1:3" s="13" customFormat="1" x14ac:dyDescent="0.25">
      <c r="A2294" s="15"/>
      <c r="B2294" s="16"/>
      <c r="C2294" s="17"/>
    </row>
    <row r="2295" spans="1:3" s="13" customFormat="1" x14ac:dyDescent="0.25">
      <c r="A2295" s="15"/>
      <c r="B2295" s="16"/>
      <c r="C2295" s="17"/>
    </row>
    <row r="2296" spans="1:3" s="13" customFormat="1" x14ac:dyDescent="0.25">
      <c r="A2296" s="15"/>
      <c r="B2296" s="16"/>
      <c r="C2296" s="17"/>
    </row>
    <row r="2297" spans="1:3" s="13" customFormat="1" x14ac:dyDescent="0.25">
      <c r="A2297" s="15"/>
      <c r="B2297" s="16"/>
      <c r="C2297" s="17"/>
    </row>
    <row r="2298" spans="1:3" s="13" customFormat="1" x14ac:dyDescent="0.25">
      <c r="A2298" s="15"/>
      <c r="B2298" s="16"/>
      <c r="C2298" s="17"/>
    </row>
    <row r="2299" spans="1:3" s="13" customFormat="1" x14ac:dyDescent="0.25">
      <c r="A2299" s="15"/>
      <c r="B2299" s="16"/>
      <c r="C2299" s="17"/>
    </row>
    <row r="2300" spans="1:3" s="13" customFormat="1" x14ac:dyDescent="0.25">
      <c r="A2300" s="15"/>
      <c r="B2300" s="16"/>
      <c r="C2300" s="17"/>
    </row>
    <row r="2301" spans="1:3" s="13" customFormat="1" x14ac:dyDescent="0.25">
      <c r="A2301" s="15"/>
      <c r="B2301" s="16"/>
      <c r="C2301" s="17"/>
    </row>
    <row r="2302" spans="1:3" s="13" customFormat="1" x14ac:dyDescent="0.25">
      <c r="A2302" s="15"/>
      <c r="B2302" s="16"/>
      <c r="C2302" s="17"/>
    </row>
    <row r="2303" spans="1:3" s="13" customFormat="1" x14ac:dyDescent="0.25">
      <c r="A2303" s="15"/>
      <c r="B2303" s="16"/>
      <c r="C2303" s="17"/>
    </row>
    <row r="2304" spans="1:3" s="13" customFormat="1" x14ac:dyDescent="0.25">
      <c r="A2304" s="15"/>
      <c r="B2304" s="16"/>
      <c r="C2304" s="17"/>
    </row>
    <row r="2305" spans="1:3" s="13" customFormat="1" x14ac:dyDescent="0.25">
      <c r="A2305" s="15"/>
      <c r="B2305" s="16"/>
      <c r="C2305" s="17"/>
    </row>
    <row r="2306" spans="1:3" s="13" customFormat="1" x14ac:dyDescent="0.25">
      <c r="A2306" s="15"/>
      <c r="B2306" s="16"/>
      <c r="C2306" s="17"/>
    </row>
    <row r="2307" spans="1:3" s="13" customFormat="1" x14ac:dyDescent="0.25">
      <c r="A2307" s="15"/>
      <c r="B2307" s="16"/>
      <c r="C2307" s="17"/>
    </row>
    <row r="2308" spans="1:3" s="13" customFormat="1" x14ac:dyDescent="0.25">
      <c r="A2308" s="15"/>
      <c r="B2308" s="16"/>
      <c r="C2308" s="17"/>
    </row>
    <row r="2309" spans="1:3" s="13" customFormat="1" x14ac:dyDescent="0.25">
      <c r="A2309" s="15"/>
      <c r="B2309" s="16"/>
      <c r="C2309" s="17"/>
    </row>
    <row r="2310" spans="1:3" s="13" customFormat="1" x14ac:dyDescent="0.25">
      <c r="A2310" s="15"/>
      <c r="B2310" s="16"/>
      <c r="C2310" s="17"/>
    </row>
    <row r="2311" spans="1:3" s="13" customFormat="1" x14ac:dyDescent="0.25">
      <c r="A2311" s="15"/>
      <c r="B2311" s="16"/>
      <c r="C2311" s="17"/>
    </row>
    <row r="2312" spans="1:3" s="13" customFormat="1" x14ac:dyDescent="0.25">
      <c r="A2312" s="15"/>
      <c r="B2312" s="16"/>
      <c r="C2312" s="17"/>
    </row>
    <row r="2313" spans="1:3" s="13" customFormat="1" x14ac:dyDescent="0.25">
      <c r="A2313" s="15"/>
      <c r="B2313" s="16"/>
      <c r="C2313" s="17"/>
    </row>
    <row r="2314" spans="1:3" s="13" customFormat="1" x14ac:dyDescent="0.25">
      <c r="A2314" s="15"/>
      <c r="B2314" s="16"/>
      <c r="C2314" s="17"/>
    </row>
    <row r="2315" spans="1:3" s="13" customFormat="1" x14ac:dyDescent="0.25">
      <c r="A2315" s="15"/>
      <c r="B2315" s="16"/>
      <c r="C2315" s="17"/>
    </row>
    <row r="2316" spans="1:3" s="13" customFormat="1" x14ac:dyDescent="0.25">
      <c r="A2316" s="15"/>
      <c r="B2316" s="16"/>
      <c r="C2316" s="17"/>
    </row>
    <row r="2317" spans="1:3" s="13" customFormat="1" x14ac:dyDescent="0.25">
      <c r="A2317" s="15"/>
      <c r="B2317" s="16"/>
      <c r="C2317" s="17"/>
    </row>
    <row r="2318" spans="1:3" s="13" customFormat="1" x14ac:dyDescent="0.25">
      <c r="A2318" s="15"/>
      <c r="B2318" s="16"/>
      <c r="C2318" s="17"/>
    </row>
    <row r="2319" spans="1:3" s="13" customFormat="1" x14ac:dyDescent="0.25">
      <c r="A2319" s="15"/>
      <c r="B2319" s="16"/>
      <c r="C2319" s="17"/>
    </row>
    <row r="2320" spans="1:3" s="13" customFormat="1" x14ac:dyDescent="0.25">
      <c r="A2320" s="15"/>
      <c r="B2320" s="16"/>
      <c r="C2320" s="17"/>
    </row>
    <row r="2321" spans="1:3" s="13" customFormat="1" x14ac:dyDescent="0.25">
      <c r="A2321" s="15"/>
      <c r="B2321" s="16"/>
      <c r="C2321" s="17"/>
    </row>
    <row r="2322" spans="1:3" s="13" customFormat="1" x14ac:dyDescent="0.25">
      <c r="A2322" s="15"/>
      <c r="B2322" s="16"/>
      <c r="C2322" s="17"/>
    </row>
    <row r="2323" spans="1:3" s="13" customFormat="1" x14ac:dyDescent="0.25">
      <c r="A2323" s="15"/>
      <c r="B2323" s="16"/>
      <c r="C2323" s="17"/>
    </row>
    <row r="2324" spans="1:3" s="13" customFormat="1" x14ac:dyDescent="0.25">
      <c r="A2324" s="15"/>
      <c r="B2324" s="16"/>
      <c r="C2324" s="17"/>
    </row>
    <row r="2325" spans="1:3" s="13" customFormat="1" x14ac:dyDescent="0.25">
      <c r="A2325" s="15"/>
      <c r="B2325" s="16"/>
      <c r="C2325" s="17"/>
    </row>
    <row r="2326" spans="1:3" s="13" customFormat="1" x14ac:dyDescent="0.25">
      <c r="A2326" s="15"/>
      <c r="B2326" s="16"/>
      <c r="C2326" s="17"/>
    </row>
    <row r="2327" spans="1:3" s="13" customFormat="1" x14ac:dyDescent="0.25">
      <c r="A2327" s="15"/>
      <c r="B2327" s="16"/>
      <c r="C2327" s="17"/>
    </row>
    <row r="2328" spans="1:3" s="13" customFormat="1" x14ac:dyDescent="0.25">
      <c r="A2328" s="15"/>
      <c r="B2328" s="16"/>
      <c r="C2328" s="17"/>
    </row>
    <row r="2329" spans="1:3" s="13" customFormat="1" x14ac:dyDescent="0.25">
      <c r="A2329" s="15"/>
      <c r="B2329" s="16"/>
      <c r="C2329" s="17"/>
    </row>
    <row r="2330" spans="1:3" s="13" customFormat="1" x14ac:dyDescent="0.25">
      <c r="A2330" s="15"/>
      <c r="B2330" s="16"/>
      <c r="C2330" s="17"/>
    </row>
    <row r="2331" spans="1:3" s="13" customFormat="1" x14ac:dyDescent="0.25">
      <c r="A2331" s="15"/>
      <c r="B2331" s="16"/>
      <c r="C2331" s="17"/>
    </row>
    <row r="2332" spans="1:3" s="13" customFormat="1" x14ac:dyDescent="0.25">
      <c r="A2332" s="15"/>
      <c r="B2332" s="16"/>
      <c r="C2332" s="17"/>
    </row>
    <row r="2333" spans="1:3" s="13" customFormat="1" x14ac:dyDescent="0.25">
      <c r="A2333" s="15"/>
      <c r="B2333" s="16"/>
      <c r="C2333" s="17"/>
    </row>
    <row r="2334" spans="1:3" s="13" customFormat="1" x14ac:dyDescent="0.25">
      <c r="A2334" s="15"/>
      <c r="B2334" s="16"/>
      <c r="C2334" s="17"/>
    </row>
    <row r="2335" spans="1:3" s="13" customFormat="1" x14ac:dyDescent="0.25">
      <c r="A2335" s="15"/>
      <c r="B2335" s="16"/>
      <c r="C2335" s="17"/>
    </row>
    <row r="2336" spans="1:3" s="13" customFormat="1" x14ac:dyDescent="0.25">
      <c r="A2336" s="15"/>
      <c r="B2336" s="16"/>
      <c r="C2336" s="17"/>
    </row>
    <row r="2337" spans="1:3" s="13" customFormat="1" x14ac:dyDescent="0.25">
      <c r="A2337" s="15"/>
      <c r="B2337" s="16"/>
      <c r="C2337" s="17"/>
    </row>
    <row r="2338" spans="1:3" s="13" customFormat="1" x14ac:dyDescent="0.25">
      <c r="A2338" s="15"/>
      <c r="B2338" s="16"/>
      <c r="C2338" s="17"/>
    </row>
    <row r="2339" spans="1:3" s="13" customFormat="1" x14ac:dyDescent="0.25">
      <c r="A2339" s="15"/>
      <c r="B2339" s="16"/>
      <c r="C2339" s="17"/>
    </row>
    <row r="2340" spans="1:3" s="13" customFormat="1" x14ac:dyDescent="0.25">
      <c r="A2340" s="15"/>
      <c r="B2340" s="16"/>
      <c r="C2340" s="17"/>
    </row>
    <row r="2341" spans="1:3" s="13" customFormat="1" x14ac:dyDescent="0.25">
      <c r="A2341" s="15"/>
      <c r="B2341" s="16"/>
      <c r="C2341" s="17"/>
    </row>
    <row r="2342" spans="1:3" s="13" customFormat="1" x14ac:dyDescent="0.25">
      <c r="A2342" s="15"/>
      <c r="B2342" s="16"/>
      <c r="C2342" s="17"/>
    </row>
    <row r="2343" spans="1:3" s="13" customFormat="1" x14ac:dyDescent="0.25">
      <c r="A2343" s="15"/>
      <c r="B2343" s="16"/>
      <c r="C2343" s="17"/>
    </row>
    <row r="2344" spans="1:3" s="13" customFormat="1" x14ac:dyDescent="0.25">
      <c r="A2344" s="15"/>
      <c r="B2344" s="16"/>
      <c r="C2344" s="17"/>
    </row>
    <row r="2345" spans="1:3" s="13" customFormat="1" x14ac:dyDescent="0.25">
      <c r="A2345" s="15"/>
      <c r="B2345" s="16"/>
      <c r="C2345" s="17"/>
    </row>
    <row r="2346" spans="1:3" s="13" customFormat="1" x14ac:dyDescent="0.25">
      <c r="A2346" s="15"/>
      <c r="B2346" s="16"/>
      <c r="C2346" s="17"/>
    </row>
    <row r="2347" spans="1:3" s="13" customFormat="1" x14ac:dyDescent="0.25">
      <c r="A2347" s="15"/>
      <c r="B2347" s="16"/>
      <c r="C2347" s="17"/>
    </row>
    <row r="2348" spans="1:3" s="13" customFormat="1" x14ac:dyDescent="0.25">
      <c r="A2348" s="15"/>
      <c r="B2348" s="16"/>
      <c r="C2348" s="17"/>
    </row>
    <row r="2349" spans="1:3" s="13" customFormat="1" x14ac:dyDescent="0.25">
      <c r="A2349" s="15"/>
      <c r="B2349" s="16"/>
      <c r="C2349" s="17"/>
    </row>
    <row r="2350" spans="1:3" s="13" customFormat="1" x14ac:dyDescent="0.25">
      <c r="A2350" s="15"/>
      <c r="B2350" s="16"/>
      <c r="C2350" s="17"/>
    </row>
    <row r="2351" spans="1:3" s="13" customFormat="1" x14ac:dyDescent="0.25">
      <c r="A2351" s="15"/>
      <c r="B2351" s="16"/>
      <c r="C2351" s="17"/>
    </row>
    <row r="2352" spans="1:3" s="13" customFormat="1" x14ac:dyDescent="0.25">
      <c r="A2352" s="15"/>
      <c r="B2352" s="16"/>
      <c r="C2352" s="17"/>
    </row>
    <row r="2353" spans="1:3" s="13" customFormat="1" x14ac:dyDescent="0.25">
      <c r="A2353" s="15"/>
      <c r="B2353" s="16"/>
      <c r="C2353" s="17"/>
    </row>
    <row r="2354" spans="1:3" s="13" customFormat="1" x14ac:dyDescent="0.25">
      <c r="A2354" s="15"/>
      <c r="B2354" s="16"/>
      <c r="C2354" s="17"/>
    </row>
    <row r="2355" spans="1:3" s="13" customFormat="1" x14ac:dyDescent="0.25">
      <c r="A2355" s="15"/>
      <c r="B2355" s="16"/>
      <c r="C2355" s="17"/>
    </row>
    <row r="2356" spans="1:3" s="13" customFormat="1" x14ac:dyDescent="0.25">
      <c r="A2356" s="15"/>
      <c r="B2356" s="16"/>
      <c r="C2356" s="17"/>
    </row>
    <row r="2357" spans="1:3" s="13" customFormat="1" x14ac:dyDescent="0.25">
      <c r="A2357" s="15"/>
      <c r="B2357" s="16"/>
      <c r="C2357" s="17"/>
    </row>
    <row r="2358" spans="1:3" s="13" customFormat="1" x14ac:dyDescent="0.25">
      <c r="A2358" s="15"/>
      <c r="B2358" s="16"/>
      <c r="C2358" s="17"/>
    </row>
    <row r="2359" spans="1:3" s="13" customFormat="1" x14ac:dyDescent="0.25">
      <c r="A2359" s="15"/>
      <c r="B2359" s="16"/>
      <c r="C2359" s="17"/>
    </row>
    <row r="2360" spans="1:3" s="13" customFormat="1" x14ac:dyDescent="0.25">
      <c r="A2360" s="15"/>
      <c r="B2360" s="16"/>
      <c r="C2360" s="17"/>
    </row>
    <row r="2361" spans="1:3" s="13" customFormat="1" x14ac:dyDescent="0.25">
      <c r="A2361" s="15"/>
      <c r="B2361" s="16"/>
      <c r="C2361" s="17"/>
    </row>
    <row r="2362" spans="1:3" s="13" customFormat="1" x14ac:dyDescent="0.25">
      <c r="A2362" s="15"/>
      <c r="B2362" s="16"/>
      <c r="C2362" s="17"/>
    </row>
    <row r="2363" spans="1:3" s="13" customFormat="1" x14ac:dyDescent="0.25">
      <c r="A2363" s="15"/>
      <c r="B2363" s="16"/>
      <c r="C2363" s="17"/>
    </row>
    <row r="2364" spans="1:3" s="13" customFormat="1" x14ac:dyDescent="0.25">
      <c r="A2364" s="15"/>
      <c r="B2364" s="16"/>
      <c r="C2364" s="17"/>
    </row>
    <row r="2365" spans="1:3" s="13" customFormat="1" x14ac:dyDescent="0.25">
      <c r="A2365" s="15"/>
      <c r="B2365" s="16"/>
      <c r="C2365" s="17"/>
    </row>
    <row r="2366" spans="1:3" s="13" customFormat="1" x14ac:dyDescent="0.25">
      <c r="A2366" s="15"/>
      <c r="B2366" s="16"/>
      <c r="C2366" s="17"/>
    </row>
    <row r="2367" spans="1:3" s="13" customFormat="1" x14ac:dyDescent="0.25">
      <c r="A2367" s="15"/>
      <c r="B2367" s="16"/>
      <c r="C2367" s="17"/>
    </row>
    <row r="2368" spans="1:3" s="13" customFormat="1" x14ac:dyDescent="0.25">
      <c r="A2368" s="15"/>
      <c r="B2368" s="16"/>
      <c r="C2368" s="17"/>
    </row>
    <row r="2369" spans="1:3" s="13" customFormat="1" x14ac:dyDescent="0.25">
      <c r="A2369" s="15"/>
      <c r="B2369" s="16"/>
      <c r="C2369" s="17"/>
    </row>
    <row r="2370" spans="1:3" s="13" customFormat="1" x14ac:dyDescent="0.25">
      <c r="A2370" s="15"/>
      <c r="B2370" s="16"/>
      <c r="C2370" s="17"/>
    </row>
    <row r="2371" spans="1:3" s="13" customFormat="1" x14ac:dyDescent="0.25">
      <c r="A2371" s="15"/>
      <c r="B2371" s="16"/>
      <c r="C2371" s="17"/>
    </row>
    <row r="2372" spans="1:3" s="13" customFormat="1" x14ac:dyDescent="0.25">
      <c r="A2372" s="15"/>
      <c r="B2372" s="16"/>
      <c r="C2372" s="17"/>
    </row>
    <row r="2373" spans="1:3" s="13" customFormat="1" x14ac:dyDescent="0.25">
      <c r="A2373" s="15"/>
      <c r="B2373" s="16"/>
      <c r="C2373" s="17"/>
    </row>
    <row r="2374" spans="1:3" s="13" customFormat="1" x14ac:dyDescent="0.25">
      <c r="A2374" s="15"/>
      <c r="B2374" s="16"/>
      <c r="C2374" s="17"/>
    </row>
    <row r="2375" spans="1:3" s="13" customFormat="1" x14ac:dyDescent="0.25">
      <c r="A2375" s="15"/>
      <c r="B2375" s="16"/>
      <c r="C2375" s="17"/>
    </row>
    <row r="2376" spans="1:3" s="13" customFormat="1" x14ac:dyDescent="0.25">
      <c r="A2376" s="15"/>
      <c r="B2376" s="16"/>
      <c r="C2376" s="17"/>
    </row>
    <row r="2377" spans="1:3" s="13" customFormat="1" x14ac:dyDescent="0.25">
      <c r="A2377" s="15"/>
      <c r="B2377" s="16"/>
      <c r="C2377" s="17"/>
    </row>
    <row r="2378" spans="1:3" s="13" customFormat="1" x14ac:dyDescent="0.25">
      <c r="A2378" s="15"/>
      <c r="B2378" s="16"/>
      <c r="C2378" s="17"/>
    </row>
    <row r="2379" spans="1:3" s="13" customFormat="1" x14ac:dyDescent="0.25">
      <c r="A2379" s="15"/>
      <c r="B2379" s="16"/>
      <c r="C2379" s="17"/>
    </row>
    <row r="2380" spans="1:3" s="13" customFormat="1" x14ac:dyDescent="0.25">
      <c r="A2380" s="15"/>
      <c r="B2380" s="16"/>
      <c r="C2380" s="17"/>
    </row>
    <row r="2381" spans="1:3" s="13" customFormat="1" x14ac:dyDescent="0.25">
      <c r="A2381" s="15"/>
      <c r="B2381" s="16"/>
      <c r="C2381" s="17"/>
    </row>
    <row r="2382" spans="1:3" s="13" customFormat="1" x14ac:dyDescent="0.25">
      <c r="A2382" s="15"/>
      <c r="B2382" s="16"/>
      <c r="C2382" s="17"/>
    </row>
    <row r="2383" spans="1:3" s="13" customFormat="1" x14ac:dyDescent="0.25">
      <c r="A2383" s="15"/>
      <c r="B2383" s="16"/>
      <c r="C2383" s="17"/>
    </row>
    <row r="2384" spans="1:3" s="13" customFormat="1" x14ac:dyDescent="0.25">
      <c r="A2384" s="15"/>
      <c r="B2384" s="16"/>
      <c r="C2384" s="17"/>
    </row>
    <row r="2385" spans="1:3" s="13" customFormat="1" x14ac:dyDescent="0.25">
      <c r="A2385" s="15"/>
      <c r="B2385" s="16"/>
      <c r="C2385" s="17"/>
    </row>
    <row r="2386" spans="1:3" s="13" customFormat="1" x14ac:dyDescent="0.25">
      <c r="A2386" s="15"/>
      <c r="B2386" s="16"/>
      <c r="C2386" s="17"/>
    </row>
    <row r="2387" spans="1:3" s="13" customFormat="1" x14ac:dyDescent="0.25">
      <c r="A2387" s="15"/>
      <c r="B2387" s="16"/>
      <c r="C2387" s="17"/>
    </row>
    <row r="2388" spans="1:3" s="13" customFormat="1" x14ac:dyDescent="0.25">
      <c r="A2388" s="15"/>
      <c r="B2388" s="16"/>
      <c r="C2388" s="17"/>
    </row>
    <row r="2389" spans="1:3" s="13" customFormat="1" x14ac:dyDescent="0.25">
      <c r="A2389" s="15"/>
      <c r="B2389" s="16"/>
      <c r="C2389" s="17"/>
    </row>
    <row r="2390" spans="1:3" s="13" customFormat="1" x14ac:dyDescent="0.25">
      <c r="A2390" s="15"/>
      <c r="B2390" s="16"/>
      <c r="C2390" s="17"/>
    </row>
    <row r="2391" spans="1:3" s="13" customFormat="1" x14ac:dyDescent="0.25">
      <c r="A2391" s="15"/>
      <c r="B2391" s="16"/>
      <c r="C2391" s="17"/>
    </row>
    <row r="2392" spans="1:3" s="13" customFormat="1" x14ac:dyDescent="0.25">
      <c r="A2392" s="15"/>
      <c r="B2392" s="16"/>
      <c r="C2392" s="17"/>
    </row>
    <row r="2393" spans="1:3" s="13" customFormat="1" x14ac:dyDescent="0.25">
      <c r="A2393" s="15"/>
      <c r="B2393" s="16"/>
      <c r="C2393" s="17"/>
    </row>
    <row r="2394" spans="1:3" s="13" customFormat="1" x14ac:dyDescent="0.25">
      <c r="A2394" s="15"/>
      <c r="B2394" s="16"/>
      <c r="C2394" s="17"/>
    </row>
    <row r="2395" spans="1:3" s="13" customFormat="1" x14ac:dyDescent="0.25">
      <c r="A2395" s="15"/>
      <c r="B2395" s="16"/>
      <c r="C2395" s="17"/>
    </row>
    <row r="2396" spans="1:3" s="13" customFormat="1" x14ac:dyDescent="0.25">
      <c r="A2396" s="15"/>
      <c r="B2396" s="16"/>
      <c r="C2396" s="17"/>
    </row>
    <row r="2397" spans="1:3" s="13" customFormat="1" x14ac:dyDescent="0.25">
      <c r="A2397" s="15"/>
      <c r="B2397" s="16"/>
      <c r="C2397" s="17"/>
    </row>
    <row r="2398" spans="1:3" s="13" customFormat="1" x14ac:dyDescent="0.25">
      <c r="A2398" s="15"/>
      <c r="B2398" s="16"/>
      <c r="C2398" s="17"/>
    </row>
    <row r="2399" spans="1:3" s="13" customFormat="1" x14ac:dyDescent="0.25">
      <c r="A2399" s="15"/>
      <c r="B2399" s="16"/>
      <c r="C2399" s="17"/>
    </row>
    <row r="2400" spans="1:3" s="13" customFormat="1" x14ac:dyDescent="0.25">
      <c r="A2400" s="15"/>
      <c r="B2400" s="16"/>
      <c r="C2400" s="17"/>
    </row>
    <row r="2401" spans="1:3" s="13" customFormat="1" x14ac:dyDescent="0.25">
      <c r="A2401" s="15"/>
      <c r="B2401" s="16"/>
      <c r="C2401" s="17"/>
    </row>
    <row r="2402" spans="1:3" s="13" customFormat="1" x14ac:dyDescent="0.25">
      <c r="A2402" s="15"/>
      <c r="B2402" s="16"/>
      <c r="C2402" s="17"/>
    </row>
    <row r="2403" spans="1:3" s="13" customFormat="1" x14ac:dyDescent="0.25">
      <c r="A2403" s="15"/>
      <c r="B2403" s="16"/>
      <c r="C2403" s="17"/>
    </row>
    <row r="2404" spans="1:3" s="13" customFormat="1" x14ac:dyDescent="0.25">
      <c r="A2404" s="15"/>
      <c r="B2404" s="16"/>
      <c r="C2404" s="17"/>
    </row>
    <row r="2405" spans="1:3" s="13" customFormat="1" x14ac:dyDescent="0.25">
      <c r="A2405" s="15"/>
      <c r="B2405" s="16"/>
      <c r="C2405" s="17"/>
    </row>
    <row r="2406" spans="1:3" s="13" customFormat="1" x14ac:dyDescent="0.25">
      <c r="A2406" s="15"/>
      <c r="B2406" s="16"/>
      <c r="C2406" s="17"/>
    </row>
    <row r="2407" spans="1:3" s="13" customFormat="1" x14ac:dyDescent="0.25">
      <c r="A2407" s="15"/>
      <c r="B2407" s="16"/>
      <c r="C2407" s="17"/>
    </row>
    <row r="2408" spans="1:3" s="13" customFormat="1" x14ac:dyDescent="0.25">
      <c r="A2408" s="15"/>
      <c r="B2408" s="16"/>
      <c r="C2408" s="17"/>
    </row>
    <row r="2409" spans="1:3" s="13" customFormat="1" x14ac:dyDescent="0.25">
      <c r="A2409" s="15"/>
      <c r="B2409" s="16"/>
      <c r="C2409" s="17"/>
    </row>
    <row r="2410" spans="1:3" s="13" customFormat="1" x14ac:dyDescent="0.25">
      <c r="A2410" s="15"/>
      <c r="B2410" s="16"/>
      <c r="C2410" s="17"/>
    </row>
    <row r="2411" spans="1:3" s="13" customFormat="1" x14ac:dyDescent="0.25">
      <c r="A2411" s="15"/>
      <c r="B2411" s="16"/>
      <c r="C2411" s="17"/>
    </row>
    <row r="2412" spans="1:3" s="13" customFormat="1" x14ac:dyDescent="0.25">
      <c r="A2412" s="15"/>
      <c r="B2412" s="16"/>
      <c r="C2412" s="17"/>
    </row>
    <row r="2413" spans="1:3" s="13" customFormat="1" x14ac:dyDescent="0.25">
      <c r="A2413" s="15"/>
      <c r="B2413" s="16"/>
      <c r="C2413" s="17"/>
    </row>
    <row r="2414" spans="1:3" s="13" customFormat="1" x14ac:dyDescent="0.25">
      <c r="A2414" s="15"/>
      <c r="B2414" s="16"/>
      <c r="C2414" s="17"/>
    </row>
    <row r="2415" spans="1:3" s="13" customFormat="1" x14ac:dyDescent="0.25">
      <c r="A2415" s="15"/>
      <c r="B2415" s="16"/>
      <c r="C2415" s="17"/>
    </row>
    <row r="2416" spans="1:3" s="13" customFormat="1" x14ac:dyDescent="0.25">
      <c r="A2416" s="15"/>
      <c r="B2416" s="16"/>
      <c r="C2416" s="17"/>
    </row>
    <row r="2417" spans="1:3" s="13" customFormat="1" x14ac:dyDescent="0.25">
      <c r="A2417" s="15"/>
      <c r="B2417" s="16"/>
      <c r="C2417" s="17"/>
    </row>
    <row r="2418" spans="1:3" s="13" customFormat="1" x14ac:dyDescent="0.25">
      <c r="A2418" s="15"/>
      <c r="B2418" s="16"/>
      <c r="C2418" s="17"/>
    </row>
    <row r="2419" spans="1:3" s="13" customFormat="1" x14ac:dyDescent="0.25">
      <c r="A2419" s="15"/>
      <c r="B2419" s="16"/>
      <c r="C2419" s="17"/>
    </row>
    <row r="2420" spans="1:3" s="13" customFormat="1" x14ac:dyDescent="0.25">
      <c r="A2420" s="15"/>
      <c r="B2420" s="16"/>
      <c r="C2420" s="17"/>
    </row>
    <row r="2421" spans="1:3" s="13" customFormat="1" x14ac:dyDescent="0.25">
      <c r="A2421" s="15"/>
      <c r="B2421" s="16"/>
      <c r="C2421" s="17"/>
    </row>
    <row r="2422" spans="1:3" s="13" customFormat="1" x14ac:dyDescent="0.25">
      <c r="A2422" s="15"/>
      <c r="B2422" s="16"/>
      <c r="C2422" s="17"/>
    </row>
    <row r="2423" spans="1:3" s="13" customFormat="1" x14ac:dyDescent="0.25">
      <c r="A2423" s="15"/>
      <c r="B2423" s="16"/>
      <c r="C2423" s="17"/>
    </row>
    <row r="2424" spans="1:3" s="13" customFormat="1" x14ac:dyDescent="0.25">
      <c r="A2424" s="15"/>
      <c r="B2424" s="16"/>
      <c r="C2424" s="17"/>
    </row>
    <row r="2425" spans="1:3" s="13" customFormat="1" x14ac:dyDescent="0.25">
      <c r="A2425" s="15"/>
      <c r="B2425" s="16"/>
      <c r="C2425" s="17"/>
    </row>
    <row r="2426" spans="1:3" s="13" customFormat="1" x14ac:dyDescent="0.25">
      <c r="A2426" s="15"/>
      <c r="B2426" s="16"/>
      <c r="C2426" s="17"/>
    </row>
    <row r="2427" spans="1:3" s="13" customFormat="1" x14ac:dyDescent="0.25">
      <c r="A2427" s="15"/>
      <c r="B2427" s="16"/>
      <c r="C2427" s="17"/>
    </row>
    <row r="2428" spans="1:3" s="13" customFormat="1" x14ac:dyDescent="0.25">
      <c r="A2428" s="15"/>
      <c r="B2428" s="16"/>
      <c r="C2428" s="17"/>
    </row>
    <row r="2429" spans="1:3" s="13" customFormat="1" x14ac:dyDescent="0.25">
      <c r="A2429" s="15"/>
      <c r="B2429" s="16"/>
      <c r="C2429" s="17"/>
    </row>
    <row r="2430" spans="1:3" s="13" customFormat="1" x14ac:dyDescent="0.25">
      <c r="A2430" s="15"/>
      <c r="B2430" s="16"/>
      <c r="C2430" s="17"/>
    </row>
    <row r="2431" spans="1:3" s="13" customFormat="1" x14ac:dyDescent="0.25">
      <c r="A2431" s="15"/>
      <c r="B2431" s="16"/>
      <c r="C2431" s="17"/>
    </row>
    <row r="2432" spans="1:3" s="13" customFormat="1" x14ac:dyDescent="0.25">
      <c r="A2432" s="15"/>
      <c r="B2432" s="16"/>
      <c r="C2432" s="17"/>
    </row>
    <row r="2433" spans="1:3" s="13" customFormat="1" x14ac:dyDescent="0.25">
      <c r="A2433" s="15"/>
      <c r="B2433" s="16"/>
      <c r="C2433" s="17"/>
    </row>
    <row r="2434" spans="1:3" s="13" customFormat="1" x14ac:dyDescent="0.25">
      <c r="A2434" s="15"/>
      <c r="B2434" s="16"/>
      <c r="C2434" s="17"/>
    </row>
    <row r="2435" spans="1:3" s="13" customFormat="1" x14ac:dyDescent="0.25">
      <c r="A2435" s="15"/>
      <c r="B2435" s="16"/>
      <c r="C2435" s="17"/>
    </row>
    <row r="2436" spans="1:3" s="13" customFormat="1" x14ac:dyDescent="0.25">
      <c r="A2436" s="15"/>
      <c r="B2436" s="16"/>
      <c r="C2436" s="17"/>
    </row>
    <row r="2437" spans="1:3" s="13" customFormat="1" x14ac:dyDescent="0.25">
      <c r="A2437" s="15"/>
      <c r="B2437" s="16"/>
      <c r="C2437" s="17"/>
    </row>
    <row r="2438" spans="1:3" s="13" customFormat="1" x14ac:dyDescent="0.25">
      <c r="A2438" s="15"/>
      <c r="B2438" s="16"/>
      <c r="C2438" s="17"/>
    </row>
    <row r="2439" spans="1:3" s="13" customFormat="1" x14ac:dyDescent="0.25">
      <c r="A2439" s="15"/>
      <c r="B2439" s="16"/>
      <c r="C2439" s="17"/>
    </row>
    <row r="2440" spans="1:3" s="13" customFormat="1" x14ac:dyDescent="0.25">
      <c r="A2440" s="15"/>
      <c r="B2440" s="16"/>
      <c r="C2440" s="17"/>
    </row>
    <row r="2441" spans="1:3" s="13" customFormat="1" x14ac:dyDescent="0.25">
      <c r="A2441" s="15"/>
      <c r="B2441" s="16"/>
      <c r="C2441" s="17"/>
    </row>
    <row r="2442" spans="1:3" s="13" customFormat="1" x14ac:dyDescent="0.25">
      <c r="A2442" s="15"/>
      <c r="B2442" s="16"/>
      <c r="C2442" s="17"/>
    </row>
    <row r="2443" spans="1:3" s="13" customFormat="1" x14ac:dyDescent="0.25">
      <c r="A2443" s="15"/>
      <c r="B2443" s="16"/>
      <c r="C2443" s="17"/>
    </row>
    <row r="2444" spans="1:3" s="13" customFormat="1" x14ac:dyDescent="0.25">
      <c r="A2444" s="15"/>
      <c r="B2444" s="16"/>
      <c r="C2444" s="17"/>
    </row>
    <row r="2445" spans="1:3" s="13" customFormat="1" x14ac:dyDescent="0.25">
      <c r="A2445" s="15"/>
      <c r="B2445" s="16"/>
      <c r="C2445" s="17"/>
    </row>
    <row r="2446" spans="1:3" s="13" customFormat="1" x14ac:dyDescent="0.25">
      <c r="A2446" s="15"/>
      <c r="B2446" s="16"/>
      <c r="C2446" s="17"/>
    </row>
    <row r="2447" spans="1:3" s="13" customFormat="1" x14ac:dyDescent="0.25">
      <c r="A2447" s="15"/>
      <c r="B2447" s="16"/>
      <c r="C2447" s="17"/>
    </row>
    <row r="2448" spans="1:3" s="13" customFormat="1" x14ac:dyDescent="0.25">
      <c r="A2448" s="15"/>
      <c r="B2448" s="16"/>
      <c r="C2448" s="17"/>
    </row>
    <row r="2449" spans="1:3" s="13" customFormat="1" x14ac:dyDescent="0.25">
      <c r="A2449" s="15"/>
      <c r="B2449" s="16"/>
      <c r="C2449" s="17"/>
    </row>
    <row r="2450" spans="1:3" s="13" customFormat="1" x14ac:dyDescent="0.25">
      <c r="A2450" s="15"/>
      <c r="B2450" s="16"/>
      <c r="C2450" s="17"/>
    </row>
    <row r="2451" spans="1:3" s="13" customFormat="1" x14ac:dyDescent="0.25">
      <c r="A2451" s="15"/>
      <c r="B2451" s="16"/>
      <c r="C2451" s="17"/>
    </row>
    <row r="2452" spans="1:3" s="13" customFormat="1" x14ac:dyDescent="0.25">
      <c r="A2452" s="15"/>
      <c r="B2452" s="16"/>
      <c r="C2452" s="17"/>
    </row>
    <row r="2453" spans="1:3" s="13" customFormat="1" x14ac:dyDescent="0.25">
      <c r="A2453" s="15"/>
      <c r="B2453" s="16"/>
      <c r="C2453" s="17"/>
    </row>
    <row r="2454" spans="1:3" s="13" customFormat="1" x14ac:dyDescent="0.25">
      <c r="A2454" s="15"/>
      <c r="B2454" s="16"/>
      <c r="C2454" s="17"/>
    </row>
    <row r="2455" spans="1:3" s="13" customFormat="1" x14ac:dyDescent="0.25">
      <c r="A2455" s="15"/>
      <c r="B2455" s="16"/>
      <c r="C2455" s="17"/>
    </row>
    <row r="2456" spans="1:3" s="13" customFormat="1" x14ac:dyDescent="0.25">
      <c r="A2456" s="15"/>
      <c r="B2456" s="16"/>
      <c r="C2456" s="17"/>
    </row>
    <row r="2457" spans="1:3" s="13" customFormat="1" x14ac:dyDescent="0.25">
      <c r="A2457" s="15"/>
      <c r="B2457" s="16"/>
      <c r="C2457" s="17"/>
    </row>
    <row r="2458" spans="1:3" s="13" customFormat="1" x14ac:dyDescent="0.25">
      <c r="A2458" s="15"/>
      <c r="B2458" s="16"/>
      <c r="C2458" s="17"/>
    </row>
    <row r="2459" spans="1:3" s="13" customFormat="1" x14ac:dyDescent="0.25">
      <c r="A2459" s="15"/>
      <c r="B2459" s="16"/>
      <c r="C2459" s="17"/>
    </row>
    <row r="2460" spans="1:3" s="13" customFormat="1" x14ac:dyDescent="0.25">
      <c r="A2460" s="15"/>
      <c r="B2460" s="16"/>
      <c r="C2460" s="17"/>
    </row>
    <row r="2461" spans="1:3" s="13" customFormat="1" x14ac:dyDescent="0.25">
      <c r="A2461" s="15"/>
      <c r="B2461" s="16"/>
      <c r="C2461" s="17"/>
    </row>
    <row r="2462" spans="1:3" s="13" customFormat="1" x14ac:dyDescent="0.25">
      <c r="A2462" s="15"/>
      <c r="B2462" s="16"/>
      <c r="C2462" s="17"/>
    </row>
    <row r="2463" spans="1:3" s="13" customFormat="1" x14ac:dyDescent="0.25">
      <c r="A2463" s="15"/>
      <c r="B2463" s="16"/>
      <c r="C2463" s="17"/>
    </row>
    <row r="2464" spans="1:3" s="13" customFormat="1" x14ac:dyDescent="0.25">
      <c r="A2464" s="15"/>
      <c r="B2464" s="16"/>
      <c r="C2464" s="17"/>
    </row>
    <row r="2465" spans="1:3" s="13" customFormat="1" x14ac:dyDescent="0.25">
      <c r="A2465" s="15"/>
      <c r="B2465" s="16"/>
      <c r="C2465" s="17"/>
    </row>
    <row r="2466" spans="1:3" s="13" customFormat="1" x14ac:dyDescent="0.25">
      <c r="A2466" s="15"/>
      <c r="B2466" s="16"/>
      <c r="C2466" s="17"/>
    </row>
    <row r="2467" spans="1:3" s="13" customFormat="1" x14ac:dyDescent="0.25">
      <c r="A2467" s="15"/>
      <c r="B2467" s="16"/>
      <c r="C2467" s="17"/>
    </row>
    <row r="2468" spans="1:3" s="13" customFormat="1" x14ac:dyDescent="0.25">
      <c r="A2468" s="15"/>
      <c r="B2468" s="16"/>
      <c r="C2468" s="17"/>
    </row>
    <row r="2469" spans="1:3" s="13" customFormat="1" x14ac:dyDescent="0.25">
      <c r="A2469" s="15"/>
      <c r="B2469" s="16"/>
      <c r="C2469" s="17"/>
    </row>
    <row r="2470" spans="1:3" s="13" customFormat="1" x14ac:dyDescent="0.25">
      <c r="A2470" s="15"/>
      <c r="B2470" s="16"/>
      <c r="C2470" s="17"/>
    </row>
    <row r="2471" spans="1:3" s="13" customFormat="1" x14ac:dyDescent="0.25">
      <c r="A2471" s="15"/>
      <c r="B2471" s="16"/>
      <c r="C2471" s="17"/>
    </row>
    <row r="2472" spans="1:3" s="13" customFormat="1" x14ac:dyDescent="0.25">
      <c r="A2472" s="15"/>
      <c r="B2472" s="16"/>
      <c r="C2472" s="17"/>
    </row>
    <row r="2473" spans="1:3" s="13" customFormat="1" x14ac:dyDescent="0.25">
      <c r="A2473" s="15"/>
      <c r="B2473" s="16"/>
      <c r="C2473" s="17"/>
    </row>
    <row r="2474" spans="1:3" s="13" customFormat="1" x14ac:dyDescent="0.25">
      <c r="A2474" s="15"/>
      <c r="B2474" s="16"/>
      <c r="C2474" s="17"/>
    </row>
    <row r="2475" spans="1:3" s="13" customFormat="1" x14ac:dyDescent="0.25">
      <c r="A2475" s="15"/>
      <c r="B2475" s="16"/>
      <c r="C2475" s="17"/>
    </row>
    <row r="2476" spans="1:3" s="13" customFormat="1" x14ac:dyDescent="0.25">
      <c r="A2476" s="15"/>
      <c r="B2476" s="16"/>
      <c r="C2476" s="17"/>
    </row>
    <row r="2477" spans="1:3" s="13" customFormat="1" x14ac:dyDescent="0.25">
      <c r="A2477" s="15"/>
      <c r="B2477" s="16"/>
      <c r="C2477" s="17"/>
    </row>
    <row r="2478" spans="1:3" s="13" customFormat="1" x14ac:dyDescent="0.25">
      <c r="A2478" s="15"/>
      <c r="B2478" s="16"/>
      <c r="C2478" s="17"/>
    </row>
    <row r="2479" spans="1:3" s="13" customFormat="1" x14ac:dyDescent="0.25">
      <c r="A2479" s="15"/>
      <c r="B2479" s="16"/>
      <c r="C2479" s="17"/>
    </row>
    <row r="2480" spans="1:3" s="13" customFormat="1" x14ac:dyDescent="0.25">
      <c r="A2480" s="15"/>
      <c r="B2480" s="16"/>
      <c r="C2480" s="17"/>
    </row>
    <row r="2481" spans="1:3" s="13" customFormat="1" x14ac:dyDescent="0.25">
      <c r="A2481" s="15"/>
      <c r="B2481" s="16"/>
      <c r="C2481" s="17"/>
    </row>
    <row r="2482" spans="1:3" s="13" customFormat="1" x14ac:dyDescent="0.25">
      <c r="A2482" s="15"/>
      <c r="B2482" s="16"/>
      <c r="C2482" s="17"/>
    </row>
    <row r="2483" spans="1:3" s="13" customFormat="1" x14ac:dyDescent="0.25">
      <c r="A2483" s="15"/>
      <c r="B2483" s="16"/>
      <c r="C2483" s="17"/>
    </row>
    <row r="2484" spans="1:3" s="13" customFormat="1" x14ac:dyDescent="0.25">
      <c r="A2484" s="15"/>
      <c r="B2484" s="16"/>
      <c r="C2484" s="17"/>
    </row>
    <row r="2485" spans="1:3" s="13" customFormat="1" x14ac:dyDescent="0.25">
      <c r="A2485" s="15"/>
      <c r="B2485" s="16"/>
      <c r="C2485" s="17"/>
    </row>
    <row r="2486" spans="1:3" s="13" customFormat="1" x14ac:dyDescent="0.25">
      <c r="A2486" s="15"/>
      <c r="B2486" s="16"/>
      <c r="C2486" s="17"/>
    </row>
    <row r="2487" spans="1:3" s="13" customFormat="1" x14ac:dyDescent="0.25">
      <c r="A2487" s="15"/>
      <c r="B2487" s="16"/>
      <c r="C2487" s="17"/>
    </row>
    <row r="2488" spans="1:3" s="13" customFormat="1" x14ac:dyDescent="0.25">
      <c r="A2488" s="15"/>
      <c r="B2488" s="16"/>
      <c r="C2488" s="17"/>
    </row>
    <row r="2489" spans="1:3" s="13" customFormat="1" x14ac:dyDescent="0.25">
      <c r="A2489" s="15"/>
      <c r="B2489" s="16"/>
      <c r="C2489" s="17"/>
    </row>
    <row r="2490" spans="1:3" s="13" customFormat="1" x14ac:dyDescent="0.25">
      <c r="A2490" s="15"/>
      <c r="B2490" s="16"/>
      <c r="C2490" s="17"/>
    </row>
    <row r="2491" spans="1:3" s="13" customFormat="1" x14ac:dyDescent="0.25">
      <c r="A2491" s="15"/>
      <c r="B2491" s="16"/>
      <c r="C2491" s="17"/>
    </row>
    <row r="2492" spans="1:3" s="13" customFormat="1" x14ac:dyDescent="0.25">
      <c r="A2492" s="15"/>
      <c r="B2492" s="16"/>
      <c r="C2492" s="17"/>
    </row>
    <row r="2493" spans="1:3" s="13" customFormat="1" x14ac:dyDescent="0.25">
      <c r="A2493" s="15"/>
      <c r="B2493" s="16"/>
      <c r="C2493" s="17"/>
    </row>
    <row r="2494" spans="1:3" s="13" customFormat="1" x14ac:dyDescent="0.25">
      <c r="A2494" s="15"/>
      <c r="B2494" s="16"/>
      <c r="C2494" s="17"/>
    </row>
    <row r="2495" spans="1:3" s="13" customFormat="1" x14ac:dyDescent="0.25">
      <c r="A2495" s="15"/>
      <c r="B2495" s="16"/>
      <c r="C2495" s="17"/>
    </row>
    <row r="2496" spans="1:3" s="13" customFormat="1" x14ac:dyDescent="0.25">
      <c r="A2496" s="15"/>
      <c r="B2496" s="16"/>
      <c r="C2496" s="17"/>
    </row>
    <row r="2497" spans="1:3" s="13" customFormat="1" x14ac:dyDescent="0.25">
      <c r="A2497" s="15"/>
      <c r="B2497" s="16"/>
      <c r="C2497" s="17"/>
    </row>
    <row r="2498" spans="1:3" s="13" customFormat="1" x14ac:dyDescent="0.25">
      <c r="A2498" s="15"/>
      <c r="B2498" s="16"/>
      <c r="C2498" s="17"/>
    </row>
    <row r="2499" spans="1:3" s="13" customFormat="1" x14ac:dyDescent="0.25">
      <c r="A2499" s="15"/>
      <c r="B2499" s="16"/>
      <c r="C2499" s="17"/>
    </row>
    <row r="2500" spans="1:3" s="13" customFormat="1" x14ac:dyDescent="0.25">
      <c r="A2500" s="15"/>
      <c r="B2500" s="16"/>
      <c r="C2500" s="17"/>
    </row>
    <row r="2501" spans="1:3" s="13" customFormat="1" x14ac:dyDescent="0.25">
      <c r="A2501" s="15"/>
      <c r="B2501" s="16"/>
      <c r="C2501" s="17"/>
    </row>
    <row r="2502" spans="1:3" s="13" customFormat="1" x14ac:dyDescent="0.25">
      <c r="A2502" s="15"/>
      <c r="B2502" s="16"/>
      <c r="C2502" s="17"/>
    </row>
    <row r="2503" spans="1:3" s="13" customFormat="1" x14ac:dyDescent="0.25">
      <c r="A2503" s="15"/>
      <c r="B2503" s="16"/>
      <c r="C2503" s="17"/>
    </row>
    <row r="2504" spans="1:3" s="13" customFormat="1" x14ac:dyDescent="0.25">
      <c r="A2504" s="15"/>
      <c r="B2504" s="16"/>
      <c r="C2504" s="17"/>
    </row>
    <row r="2505" spans="1:3" s="13" customFormat="1" x14ac:dyDescent="0.25">
      <c r="A2505" s="15"/>
      <c r="B2505" s="16"/>
      <c r="C2505" s="17"/>
    </row>
    <row r="2506" spans="1:3" s="13" customFormat="1" x14ac:dyDescent="0.25">
      <c r="A2506" s="15"/>
      <c r="B2506" s="16"/>
      <c r="C2506" s="17"/>
    </row>
    <row r="2507" spans="1:3" s="13" customFormat="1" x14ac:dyDescent="0.25">
      <c r="A2507" s="15"/>
      <c r="B2507" s="16"/>
      <c r="C2507" s="17"/>
    </row>
    <row r="2508" spans="1:3" s="13" customFormat="1" x14ac:dyDescent="0.25">
      <c r="A2508" s="15"/>
      <c r="B2508" s="16"/>
      <c r="C2508" s="17"/>
    </row>
    <row r="2509" spans="1:3" s="13" customFormat="1" x14ac:dyDescent="0.25">
      <c r="A2509" s="15"/>
      <c r="B2509" s="16"/>
      <c r="C2509" s="17"/>
    </row>
    <row r="2510" spans="1:3" s="13" customFormat="1" x14ac:dyDescent="0.25">
      <c r="A2510" s="15"/>
      <c r="B2510" s="16"/>
      <c r="C2510" s="17"/>
    </row>
    <row r="2511" spans="1:3" s="13" customFormat="1" x14ac:dyDescent="0.25">
      <c r="A2511" s="15"/>
      <c r="B2511" s="16"/>
      <c r="C2511" s="17"/>
    </row>
    <row r="2512" spans="1:3" s="13" customFormat="1" x14ac:dyDescent="0.25">
      <c r="A2512" s="15"/>
      <c r="B2512" s="16"/>
      <c r="C2512" s="17"/>
    </row>
    <row r="2513" spans="1:3" s="13" customFormat="1" x14ac:dyDescent="0.25">
      <c r="A2513" s="15"/>
      <c r="B2513" s="16"/>
      <c r="C2513" s="17"/>
    </row>
    <row r="2514" spans="1:3" s="13" customFormat="1" x14ac:dyDescent="0.25">
      <c r="A2514" s="15"/>
      <c r="B2514" s="16"/>
      <c r="C2514" s="17"/>
    </row>
    <row r="2515" spans="1:3" s="13" customFormat="1" x14ac:dyDescent="0.25">
      <c r="A2515" s="15"/>
      <c r="B2515" s="16"/>
      <c r="C2515" s="17"/>
    </row>
    <row r="2516" spans="1:3" s="13" customFormat="1" x14ac:dyDescent="0.25">
      <c r="A2516" s="15"/>
      <c r="B2516" s="16"/>
      <c r="C2516" s="17"/>
    </row>
    <row r="2517" spans="1:3" s="13" customFormat="1" x14ac:dyDescent="0.25">
      <c r="A2517" s="15"/>
      <c r="B2517" s="16"/>
      <c r="C2517" s="17"/>
    </row>
    <row r="2518" spans="1:3" s="13" customFormat="1" x14ac:dyDescent="0.25">
      <c r="A2518" s="15"/>
      <c r="B2518" s="16"/>
      <c r="C2518" s="17"/>
    </row>
    <row r="2519" spans="1:3" s="13" customFormat="1" x14ac:dyDescent="0.25">
      <c r="A2519" s="15"/>
      <c r="B2519" s="16"/>
      <c r="C2519" s="17"/>
    </row>
    <row r="2520" spans="1:3" s="13" customFormat="1" x14ac:dyDescent="0.25">
      <c r="A2520" s="15"/>
      <c r="B2520" s="16"/>
      <c r="C2520" s="17"/>
    </row>
    <row r="2521" spans="1:3" s="13" customFormat="1" x14ac:dyDescent="0.25">
      <c r="A2521" s="15"/>
      <c r="B2521" s="16"/>
      <c r="C2521" s="17"/>
    </row>
    <row r="2522" spans="1:3" s="13" customFormat="1" x14ac:dyDescent="0.25">
      <c r="A2522" s="15"/>
      <c r="B2522" s="16"/>
      <c r="C2522" s="17"/>
    </row>
    <row r="2523" spans="1:3" s="13" customFormat="1" x14ac:dyDescent="0.25">
      <c r="A2523" s="15"/>
      <c r="B2523" s="16"/>
      <c r="C2523" s="17"/>
    </row>
    <row r="2524" spans="1:3" s="13" customFormat="1" x14ac:dyDescent="0.25">
      <c r="A2524" s="15"/>
      <c r="B2524" s="16"/>
      <c r="C2524" s="17"/>
    </row>
    <row r="2525" spans="1:3" s="13" customFormat="1" x14ac:dyDescent="0.25">
      <c r="A2525" s="15"/>
      <c r="B2525" s="16"/>
      <c r="C2525" s="17"/>
    </row>
    <row r="2526" spans="1:3" s="13" customFormat="1" x14ac:dyDescent="0.25">
      <c r="A2526" s="15"/>
      <c r="B2526" s="16"/>
      <c r="C2526" s="17"/>
    </row>
    <row r="2527" spans="1:3" s="13" customFormat="1" x14ac:dyDescent="0.25">
      <c r="A2527" s="15"/>
      <c r="B2527" s="16"/>
      <c r="C2527" s="17"/>
    </row>
    <row r="2528" spans="1:3" s="13" customFormat="1" x14ac:dyDescent="0.25">
      <c r="A2528" s="15"/>
      <c r="B2528" s="16"/>
      <c r="C2528" s="17"/>
    </row>
    <row r="2529" spans="1:3" s="13" customFormat="1" x14ac:dyDescent="0.25">
      <c r="A2529" s="15"/>
      <c r="B2529" s="16"/>
      <c r="C2529" s="17"/>
    </row>
    <row r="2530" spans="1:3" s="13" customFormat="1" x14ac:dyDescent="0.25">
      <c r="A2530" s="15"/>
      <c r="B2530" s="16"/>
      <c r="C2530" s="17"/>
    </row>
    <row r="2531" spans="1:3" s="13" customFormat="1" x14ac:dyDescent="0.25">
      <c r="A2531" s="15"/>
      <c r="B2531" s="16"/>
      <c r="C2531" s="17"/>
    </row>
    <row r="2532" spans="1:3" s="13" customFormat="1" x14ac:dyDescent="0.25">
      <c r="A2532" s="15"/>
      <c r="B2532" s="16"/>
      <c r="C2532" s="17"/>
    </row>
    <row r="2533" spans="1:3" s="13" customFormat="1" x14ac:dyDescent="0.25">
      <c r="A2533" s="15"/>
      <c r="B2533" s="16"/>
      <c r="C2533" s="17"/>
    </row>
    <row r="2534" spans="1:3" s="13" customFormat="1" x14ac:dyDescent="0.25">
      <c r="A2534" s="15"/>
      <c r="B2534" s="16"/>
      <c r="C2534" s="17"/>
    </row>
    <row r="2535" spans="1:3" s="13" customFormat="1" x14ac:dyDescent="0.25">
      <c r="A2535" s="15"/>
      <c r="B2535" s="16"/>
      <c r="C2535" s="17"/>
    </row>
    <row r="2536" spans="1:3" s="13" customFormat="1" x14ac:dyDescent="0.25">
      <c r="A2536" s="15"/>
      <c r="B2536" s="16"/>
      <c r="C2536" s="17"/>
    </row>
    <row r="2537" spans="1:3" s="13" customFormat="1" x14ac:dyDescent="0.25">
      <c r="A2537" s="15"/>
      <c r="B2537" s="16"/>
      <c r="C2537" s="17"/>
    </row>
    <row r="2538" spans="1:3" s="13" customFormat="1" x14ac:dyDescent="0.25">
      <c r="A2538" s="15"/>
      <c r="B2538" s="16"/>
      <c r="C2538" s="17"/>
    </row>
    <row r="2539" spans="1:3" s="13" customFormat="1" x14ac:dyDescent="0.25">
      <c r="A2539" s="15"/>
      <c r="B2539" s="16"/>
      <c r="C2539" s="17"/>
    </row>
    <row r="2540" spans="1:3" s="13" customFormat="1" x14ac:dyDescent="0.25">
      <c r="A2540" s="15"/>
      <c r="B2540" s="16"/>
      <c r="C2540" s="17"/>
    </row>
    <row r="2541" spans="1:3" s="13" customFormat="1" x14ac:dyDescent="0.25">
      <c r="A2541" s="15"/>
      <c r="B2541" s="16"/>
      <c r="C2541" s="17"/>
    </row>
    <row r="2542" spans="1:3" s="13" customFormat="1" x14ac:dyDescent="0.25">
      <c r="A2542" s="15"/>
      <c r="B2542" s="16"/>
      <c r="C2542" s="17"/>
    </row>
    <row r="2543" spans="1:3" s="13" customFormat="1" x14ac:dyDescent="0.25">
      <c r="A2543" s="15"/>
      <c r="B2543" s="16"/>
      <c r="C2543" s="17"/>
    </row>
    <row r="2544" spans="1:3" s="13" customFormat="1" x14ac:dyDescent="0.25">
      <c r="A2544" s="15"/>
      <c r="B2544" s="16"/>
      <c r="C2544" s="17"/>
    </row>
    <row r="2545" spans="1:3" s="13" customFormat="1" x14ac:dyDescent="0.25">
      <c r="A2545" s="15"/>
      <c r="B2545" s="16"/>
      <c r="C2545" s="17"/>
    </row>
    <row r="2546" spans="1:3" s="13" customFormat="1" x14ac:dyDescent="0.25">
      <c r="A2546" s="15"/>
      <c r="B2546" s="16"/>
      <c r="C2546" s="17"/>
    </row>
    <row r="2547" spans="1:3" s="13" customFormat="1" x14ac:dyDescent="0.25">
      <c r="A2547" s="15"/>
      <c r="B2547" s="16"/>
      <c r="C2547" s="17"/>
    </row>
    <row r="2548" spans="1:3" s="13" customFormat="1" x14ac:dyDescent="0.25">
      <c r="A2548" s="15"/>
      <c r="B2548" s="16"/>
      <c r="C2548" s="17"/>
    </row>
    <row r="2549" spans="1:3" s="13" customFormat="1" x14ac:dyDescent="0.25">
      <c r="A2549" s="15"/>
      <c r="B2549" s="16"/>
      <c r="C2549" s="17"/>
    </row>
    <row r="2550" spans="1:3" s="13" customFormat="1" x14ac:dyDescent="0.25">
      <c r="A2550" s="15"/>
      <c r="B2550" s="16"/>
      <c r="C2550" s="17"/>
    </row>
    <row r="2551" spans="1:3" s="13" customFormat="1" x14ac:dyDescent="0.25">
      <c r="A2551" s="15"/>
      <c r="B2551" s="16"/>
      <c r="C2551" s="17"/>
    </row>
    <row r="2552" spans="1:3" s="13" customFormat="1" x14ac:dyDescent="0.25">
      <c r="A2552" s="15"/>
      <c r="B2552" s="16"/>
      <c r="C2552" s="17"/>
    </row>
    <row r="2553" spans="1:3" s="13" customFormat="1" x14ac:dyDescent="0.25">
      <c r="A2553" s="15"/>
      <c r="B2553" s="16"/>
      <c r="C2553" s="17"/>
    </row>
    <row r="2554" spans="1:3" s="13" customFormat="1" x14ac:dyDescent="0.25">
      <c r="A2554" s="15"/>
      <c r="B2554" s="16"/>
      <c r="C2554" s="17"/>
    </row>
    <row r="2555" spans="1:3" s="13" customFormat="1" x14ac:dyDescent="0.25">
      <c r="A2555" s="15"/>
      <c r="B2555" s="16"/>
      <c r="C2555" s="17"/>
    </row>
    <row r="2556" spans="1:3" s="13" customFormat="1" x14ac:dyDescent="0.25">
      <c r="A2556" s="15"/>
      <c r="B2556" s="16"/>
      <c r="C2556" s="17"/>
    </row>
    <row r="2557" spans="1:3" s="13" customFormat="1" x14ac:dyDescent="0.25">
      <c r="A2557" s="15"/>
      <c r="B2557" s="16"/>
      <c r="C2557" s="17"/>
    </row>
    <row r="2558" spans="1:3" s="13" customFormat="1" x14ac:dyDescent="0.25">
      <c r="A2558" s="15"/>
      <c r="B2558" s="16"/>
      <c r="C2558" s="17"/>
    </row>
    <row r="2559" spans="1:3" s="13" customFormat="1" x14ac:dyDescent="0.25">
      <c r="A2559" s="15"/>
      <c r="B2559" s="16"/>
      <c r="C2559" s="17"/>
    </row>
    <row r="2560" spans="1:3" s="13" customFormat="1" x14ac:dyDescent="0.25">
      <c r="A2560" s="15"/>
      <c r="B2560" s="16"/>
      <c r="C2560" s="17"/>
    </row>
    <row r="2561" spans="1:3" s="13" customFormat="1" x14ac:dyDescent="0.25">
      <c r="A2561" s="15"/>
      <c r="B2561" s="16"/>
      <c r="C2561" s="17"/>
    </row>
    <row r="2562" spans="1:3" s="13" customFormat="1" x14ac:dyDescent="0.25">
      <c r="A2562" s="15"/>
      <c r="B2562" s="16"/>
      <c r="C2562" s="17"/>
    </row>
    <row r="2563" spans="1:3" s="13" customFormat="1" x14ac:dyDescent="0.25">
      <c r="A2563" s="15"/>
      <c r="B2563" s="16"/>
      <c r="C2563" s="17"/>
    </row>
    <row r="2564" spans="1:3" s="13" customFormat="1" x14ac:dyDescent="0.25">
      <c r="A2564" s="15"/>
      <c r="B2564" s="16"/>
      <c r="C2564" s="17"/>
    </row>
    <row r="2565" spans="1:3" s="13" customFormat="1" x14ac:dyDescent="0.25">
      <c r="A2565" s="15"/>
      <c r="B2565" s="16"/>
      <c r="C2565" s="17"/>
    </row>
    <row r="2566" spans="1:3" s="13" customFormat="1" x14ac:dyDescent="0.25">
      <c r="A2566" s="15"/>
      <c r="B2566" s="16"/>
      <c r="C2566" s="17"/>
    </row>
    <row r="2567" spans="1:3" s="13" customFormat="1" x14ac:dyDescent="0.25">
      <c r="A2567" s="15"/>
      <c r="B2567" s="16"/>
      <c r="C2567" s="17"/>
    </row>
    <row r="2568" spans="1:3" s="13" customFormat="1" x14ac:dyDescent="0.25">
      <c r="A2568" s="15"/>
      <c r="B2568" s="16"/>
      <c r="C2568" s="17"/>
    </row>
    <row r="2569" spans="1:3" s="13" customFormat="1" x14ac:dyDescent="0.25">
      <c r="A2569" s="15"/>
      <c r="B2569" s="16"/>
      <c r="C2569" s="17"/>
    </row>
    <row r="2570" spans="1:3" s="13" customFormat="1" x14ac:dyDescent="0.25">
      <c r="A2570" s="15"/>
      <c r="B2570" s="16"/>
      <c r="C2570" s="17"/>
    </row>
    <row r="2571" spans="1:3" s="13" customFormat="1" x14ac:dyDescent="0.25">
      <c r="A2571" s="15"/>
      <c r="B2571" s="16"/>
      <c r="C2571" s="17"/>
    </row>
    <row r="2572" spans="1:3" s="13" customFormat="1" x14ac:dyDescent="0.25">
      <c r="A2572" s="15"/>
      <c r="B2572" s="16"/>
      <c r="C2572" s="17"/>
    </row>
    <row r="2573" spans="1:3" s="13" customFormat="1" x14ac:dyDescent="0.25">
      <c r="A2573" s="15"/>
      <c r="B2573" s="16"/>
      <c r="C2573" s="17"/>
    </row>
    <row r="2574" spans="1:3" s="13" customFormat="1" x14ac:dyDescent="0.25">
      <c r="A2574" s="15"/>
      <c r="B2574" s="16"/>
      <c r="C2574" s="17"/>
    </row>
    <row r="2575" spans="1:3" s="13" customFormat="1" x14ac:dyDescent="0.25">
      <c r="A2575" s="15"/>
      <c r="B2575" s="16"/>
      <c r="C2575" s="17"/>
    </row>
    <row r="2576" spans="1:3" s="13" customFormat="1" x14ac:dyDescent="0.25">
      <c r="A2576" s="15"/>
      <c r="B2576" s="16"/>
      <c r="C2576" s="17"/>
    </row>
    <row r="2577" spans="1:3" s="13" customFormat="1" x14ac:dyDescent="0.25">
      <c r="A2577" s="15"/>
      <c r="B2577" s="16"/>
      <c r="C2577" s="17"/>
    </row>
    <row r="2578" spans="1:3" s="13" customFormat="1" x14ac:dyDescent="0.25">
      <c r="A2578" s="15"/>
      <c r="B2578" s="16"/>
      <c r="C2578" s="17"/>
    </row>
    <row r="2579" spans="1:3" s="13" customFormat="1" x14ac:dyDescent="0.25">
      <c r="A2579" s="15"/>
      <c r="B2579" s="16"/>
      <c r="C2579" s="17"/>
    </row>
    <row r="2580" spans="1:3" s="13" customFormat="1" x14ac:dyDescent="0.25">
      <c r="A2580" s="15"/>
      <c r="B2580" s="16"/>
      <c r="C2580" s="17"/>
    </row>
    <row r="2581" spans="1:3" s="13" customFormat="1" x14ac:dyDescent="0.25">
      <c r="A2581" s="15"/>
      <c r="B2581" s="16"/>
      <c r="C2581" s="17"/>
    </row>
    <row r="2582" spans="1:3" s="13" customFormat="1" x14ac:dyDescent="0.25">
      <c r="A2582" s="15"/>
      <c r="B2582" s="16"/>
      <c r="C2582" s="17"/>
    </row>
    <row r="2583" spans="1:3" s="13" customFormat="1" x14ac:dyDescent="0.25">
      <c r="A2583" s="15"/>
      <c r="B2583" s="16"/>
      <c r="C2583" s="17"/>
    </row>
    <row r="2584" spans="1:3" s="13" customFormat="1" x14ac:dyDescent="0.25">
      <c r="A2584" s="15"/>
      <c r="B2584" s="16"/>
      <c r="C2584" s="17"/>
    </row>
    <row r="2585" spans="1:3" s="13" customFormat="1" x14ac:dyDescent="0.25">
      <c r="A2585" s="15"/>
      <c r="B2585" s="16"/>
      <c r="C2585" s="17"/>
    </row>
    <row r="2586" spans="1:3" s="13" customFormat="1" x14ac:dyDescent="0.25">
      <c r="A2586" s="15"/>
      <c r="B2586" s="16"/>
      <c r="C2586" s="17"/>
    </row>
    <row r="2587" spans="1:3" s="13" customFormat="1" x14ac:dyDescent="0.25">
      <c r="A2587" s="15"/>
      <c r="B2587" s="16"/>
      <c r="C2587" s="17"/>
    </row>
    <row r="2588" spans="1:3" s="13" customFormat="1" x14ac:dyDescent="0.25">
      <c r="A2588" s="15"/>
      <c r="B2588" s="16"/>
      <c r="C2588" s="17"/>
    </row>
    <row r="2589" spans="1:3" s="13" customFormat="1" x14ac:dyDescent="0.25">
      <c r="A2589" s="15"/>
      <c r="B2589" s="16"/>
      <c r="C2589" s="17"/>
    </row>
    <row r="2590" spans="1:3" s="13" customFormat="1" x14ac:dyDescent="0.25">
      <c r="A2590" s="15"/>
      <c r="B2590" s="16"/>
      <c r="C2590" s="17"/>
    </row>
    <row r="2591" spans="1:3" s="13" customFormat="1" x14ac:dyDescent="0.25">
      <c r="A2591" s="15"/>
      <c r="B2591" s="16"/>
      <c r="C2591" s="17"/>
    </row>
    <row r="2592" spans="1:3" s="13" customFormat="1" x14ac:dyDescent="0.25">
      <c r="A2592" s="15"/>
      <c r="B2592" s="16"/>
      <c r="C2592" s="17"/>
    </row>
    <row r="2593" spans="1:3" s="13" customFormat="1" x14ac:dyDescent="0.25">
      <c r="A2593" s="15"/>
      <c r="B2593" s="16"/>
      <c r="C2593" s="17"/>
    </row>
    <row r="2594" spans="1:3" s="13" customFormat="1" x14ac:dyDescent="0.25">
      <c r="A2594" s="15"/>
      <c r="B2594" s="16"/>
      <c r="C2594" s="17"/>
    </row>
    <row r="2595" spans="1:3" s="13" customFormat="1" x14ac:dyDescent="0.25">
      <c r="A2595" s="15"/>
      <c r="B2595" s="16"/>
      <c r="C2595" s="17"/>
    </row>
    <row r="2596" spans="1:3" s="13" customFormat="1" x14ac:dyDescent="0.25">
      <c r="A2596" s="15"/>
      <c r="B2596" s="16"/>
      <c r="C2596" s="17"/>
    </row>
    <row r="2597" spans="1:3" s="13" customFormat="1" x14ac:dyDescent="0.25">
      <c r="A2597" s="15"/>
      <c r="B2597" s="16"/>
      <c r="C2597" s="17"/>
    </row>
    <row r="2598" spans="1:3" s="13" customFormat="1" x14ac:dyDescent="0.25">
      <c r="A2598" s="15"/>
      <c r="B2598" s="16"/>
      <c r="C2598" s="17"/>
    </row>
    <row r="2599" spans="1:3" s="13" customFormat="1" x14ac:dyDescent="0.25">
      <c r="A2599" s="15"/>
      <c r="B2599" s="16"/>
      <c r="C2599" s="17"/>
    </row>
    <row r="2600" spans="1:3" s="13" customFormat="1" x14ac:dyDescent="0.25">
      <c r="A2600" s="15"/>
      <c r="B2600" s="16"/>
      <c r="C2600" s="17"/>
    </row>
    <row r="2601" spans="1:3" s="13" customFormat="1" x14ac:dyDescent="0.25">
      <c r="A2601" s="15"/>
      <c r="B2601" s="16"/>
      <c r="C2601" s="17"/>
    </row>
    <row r="2602" spans="1:3" s="13" customFormat="1" x14ac:dyDescent="0.25">
      <c r="A2602" s="15"/>
      <c r="B2602" s="16"/>
      <c r="C2602" s="17"/>
    </row>
    <row r="2603" spans="1:3" s="13" customFormat="1" x14ac:dyDescent="0.25">
      <c r="A2603" s="15"/>
      <c r="B2603" s="16"/>
      <c r="C2603" s="17"/>
    </row>
    <row r="2604" spans="1:3" s="13" customFormat="1" x14ac:dyDescent="0.25">
      <c r="A2604" s="15"/>
      <c r="B2604" s="16"/>
      <c r="C2604" s="17"/>
    </row>
    <row r="2605" spans="1:3" s="13" customFormat="1" x14ac:dyDescent="0.25">
      <c r="A2605" s="15"/>
      <c r="B2605" s="16"/>
      <c r="C2605" s="17"/>
    </row>
    <row r="2606" spans="1:3" s="13" customFormat="1" x14ac:dyDescent="0.25">
      <c r="A2606" s="15"/>
      <c r="B2606" s="16"/>
      <c r="C2606" s="17"/>
    </row>
    <row r="2607" spans="1:3" s="13" customFormat="1" x14ac:dyDescent="0.25">
      <c r="A2607" s="15"/>
      <c r="B2607" s="16"/>
      <c r="C2607" s="17"/>
    </row>
    <row r="2608" spans="1:3" s="13" customFormat="1" x14ac:dyDescent="0.25">
      <c r="A2608" s="15"/>
      <c r="B2608" s="16"/>
      <c r="C2608" s="17"/>
    </row>
    <row r="2609" spans="1:3" s="13" customFormat="1" x14ac:dyDescent="0.25">
      <c r="A2609" s="15"/>
      <c r="B2609" s="16"/>
      <c r="C2609" s="17"/>
    </row>
    <row r="2610" spans="1:3" s="13" customFormat="1" x14ac:dyDescent="0.25">
      <c r="A2610" s="15"/>
      <c r="B2610" s="16"/>
      <c r="C2610" s="17"/>
    </row>
    <row r="2611" spans="1:3" s="13" customFormat="1" x14ac:dyDescent="0.25">
      <c r="A2611" s="15"/>
      <c r="B2611" s="16"/>
      <c r="C2611" s="17"/>
    </row>
    <row r="2612" spans="1:3" s="13" customFormat="1" x14ac:dyDescent="0.25">
      <c r="A2612" s="15"/>
      <c r="B2612" s="16"/>
      <c r="C2612" s="17"/>
    </row>
    <row r="2613" spans="1:3" s="13" customFormat="1" x14ac:dyDescent="0.25">
      <c r="A2613" s="15"/>
      <c r="B2613" s="16"/>
      <c r="C2613" s="17"/>
    </row>
    <row r="2614" spans="1:3" s="13" customFormat="1" x14ac:dyDescent="0.25">
      <c r="A2614" s="15"/>
      <c r="B2614" s="16"/>
      <c r="C2614" s="17"/>
    </row>
    <row r="2615" spans="1:3" s="13" customFormat="1" x14ac:dyDescent="0.25">
      <c r="A2615" s="15"/>
      <c r="B2615" s="16"/>
      <c r="C2615" s="17"/>
    </row>
    <row r="2616" spans="1:3" s="13" customFormat="1" x14ac:dyDescent="0.25">
      <c r="A2616" s="15"/>
      <c r="B2616" s="16"/>
      <c r="C2616" s="17"/>
    </row>
    <row r="2617" spans="1:3" s="13" customFormat="1" x14ac:dyDescent="0.25">
      <c r="A2617" s="15"/>
      <c r="B2617" s="16"/>
      <c r="C2617" s="17"/>
    </row>
    <row r="2618" spans="1:3" s="13" customFormat="1" x14ac:dyDescent="0.25">
      <c r="A2618" s="15"/>
      <c r="B2618" s="16"/>
      <c r="C2618" s="17"/>
    </row>
    <row r="2619" spans="1:3" s="13" customFormat="1" x14ac:dyDescent="0.25">
      <c r="A2619" s="15"/>
      <c r="B2619" s="16"/>
      <c r="C2619" s="17"/>
    </row>
    <row r="2620" spans="1:3" s="13" customFormat="1" x14ac:dyDescent="0.25">
      <c r="A2620" s="15"/>
      <c r="B2620" s="16"/>
      <c r="C2620" s="17"/>
    </row>
    <row r="2621" spans="1:3" s="13" customFormat="1" x14ac:dyDescent="0.25">
      <c r="A2621" s="15"/>
      <c r="B2621" s="16"/>
      <c r="C2621" s="17"/>
    </row>
    <row r="2622" spans="1:3" s="13" customFormat="1" x14ac:dyDescent="0.25">
      <c r="A2622" s="15"/>
      <c r="B2622" s="16"/>
      <c r="C2622" s="17"/>
    </row>
    <row r="2623" spans="1:3" s="13" customFormat="1" x14ac:dyDescent="0.25">
      <c r="A2623" s="15"/>
      <c r="B2623" s="16"/>
      <c r="C2623" s="17"/>
    </row>
    <row r="2624" spans="1:3" s="13" customFormat="1" x14ac:dyDescent="0.25">
      <c r="A2624" s="15"/>
      <c r="B2624" s="16"/>
      <c r="C2624" s="17"/>
    </row>
    <row r="2625" spans="1:3" s="13" customFormat="1" x14ac:dyDescent="0.25">
      <c r="A2625" s="15"/>
      <c r="B2625" s="16"/>
      <c r="C2625" s="17"/>
    </row>
    <row r="2626" spans="1:3" s="13" customFormat="1" x14ac:dyDescent="0.25">
      <c r="A2626" s="15"/>
      <c r="B2626" s="16"/>
      <c r="C2626" s="17"/>
    </row>
    <row r="2627" spans="1:3" s="13" customFormat="1" x14ac:dyDescent="0.25">
      <c r="A2627" s="15"/>
      <c r="B2627" s="16"/>
      <c r="C2627" s="17"/>
    </row>
    <row r="2628" spans="1:3" s="13" customFormat="1" x14ac:dyDescent="0.25">
      <c r="A2628" s="15"/>
      <c r="B2628" s="16"/>
      <c r="C2628" s="17"/>
    </row>
    <row r="2629" spans="1:3" s="13" customFormat="1" x14ac:dyDescent="0.25">
      <c r="A2629" s="15"/>
      <c r="B2629" s="16"/>
      <c r="C2629" s="17"/>
    </row>
    <row r="2630" spans="1:3" s="13" customFormat="1" x14ac:dyDescent="0.25">
      <c r="A2630" s="15"/>
      <c r="B2630" s="16"/>
      <c r="C2630" s="17"/>
    </row>
    <row r="2631" spans="1:3" s="13" customFormat="1" x14ac:dyDescent="0.25">
      <c r="A2631" s="15"/>
      <c r="B2631" s="16"/>
      <c r="C2631" s="17"/>
    </row>
    <row r="2632" spans="1:3" s="13" customFormat="1" x14ac:dyDescent="0.25">
      <c r="A2632" s="15"/>
      <c r="B2632" s="16"/>
      <c r="C2632" s="17"/>
    </row>
    <row r="2633" spans="1:3" s="13" customFormat="1" x14ac:dyDescent="0.25">
      <c r="A2633" s="15"/>
      <c r="B2633" s="16"/>
      <c r="C2633" s="17"/>
    </row>
    <row r="2634" spans="1:3" s="13" customFormat="1" x14ac:dyDescent="0.25">
      <c r="A2634" s="15"/>
      <c r="B2634" s="16"/>
      <c r="C2634" s="17"/>
    </row>
    <row r="2635" spans="1:3" s="13" customFormat="1" x14ac:dyDescent="0.25">
      <c r="A2635" s="15"/>
      <c r="B2635" s="16"/>
      <c r="C2635" s="17"/>
    </row>
    <row r="2636" spans="1:3" s="13" customFormat="1" x14ac:dyDescent="0.25">
      <c r="A2636" s="15"/>
      <c r="B2636" s="16"/>
      <c r="C2636" s="17"/>
    </row>
    <row r="2637" spans="1:3" s="13" customFormat="1" x14ac:dyDescent="0.25">
      <c r="A2637" s="15"/>
      <c r="B2637" s="16"/>
      <c r="C2637" s="17"/>
    </row>
    <row r="2638" spans="1:3" s="13" customFormat="1" x14ac:dyDescent="0.25">
      <c r="A2638" s="15"/>
      <c r="B2638" s="16"/>
      <c r="C2638" s="17"/>
    </row>
    <row r="2639" spans="1:3" s="13" customFormat="1" x14ac:dyDescent="0.25">
      <c r="A2639" s="15"/>
      <c r="B2639" s="16"/>
      <c r="C2639" s="17"/>
    </row>
    <row r="2640" spans="1:3" s="13" customFormat="1" x14ac:dyDescent="0.25">
      <c r="A2640" s="15"/>
      <c r="B2640" s="16"/>
      <c r="C2640" s="17"/>
    </row>
    <row r="2641" spans="1:3" s="13" customFormat="1" x14ac:dyDescent="0.25">
      <c r="A2641" s="15"/>
      <c r="B2641" s="16"/>
      <c r="C2641" s="17"/>
    </row>
    <row r="2642" spans="1:3" s="13" customFormat="1" x14ac:dyDescent="0.25">
      <c r="A2642" s="15"/>
      <c r="B2642" s="16"/>
      <c r="C2642" s="17"/>
    </row>
    <row r="2643" spans="1:3" s="13" customFormat="1" x14ac:dyDescent="0.25">
      <c r="A2643" s="15"/>
      <c r="B2643" s="16"/>
      <c r="C2643" s="17"/>
    </row>
    <row r="2644" spans="1:3" s="13" customFormat="1" x14ac:dyDescent="0.25">
      <c r="A2644" s="15"/>
      <c r="B2644" s="16"/>
      <c r="C2644" s="17"/>
    </row>
    <row r="2645" spans="1:3" s="13" customFormat="1" x14ac:dyDescent="0.25">
      <c r="A2645" s="15"/>
      <c r="B2645" s="16"/>
      <c r="C2645" s="17"/>
    </row>
    <row r="2646" spans="1:3" s="13" customFormat="1" x14ac:dyDescent="0.25">
      <c r="A2646" s="15"/>
      <c r="B2646" s="16"/>
      <c r="C2646" s="17"/>
    </row>
    <row r="2647" spans="1:3" s="13" customFormat="1" x14ac:dyDescent="0.25">
      <c r="A2647" s="15"/>
      <c r="B2647" s="16"/>
      <c r="C2647" s="17"/>
    </row>
    <row r="2648" spans="1:3" s="13" customFormat="1" x14ac:dyDescent="0.25">
      <c r="A2648" s="15"/>
      <c r="B2648" s="16"/>
      <c r="C2648" s="17"/>
    </row>
    <row r="2649" spans="1:3" s="13" customFormat="1" x14ac:dyDescent="0.25">
      <c r="A2649" s="15"/>
      <c r="B2649" s="16"/>
      <c r="C2649" s="17"/>
    </row>
    <row r="2650" spans="1:3" s="13" customFormat="1" x14ac:dyDescent="0.25">
      <c r="A2650" s="15"/>
      <c r="B2650" s="16"/>
      <c r="C2650" s="17"/>
    </row>
    <row r="2651" spans="1:3" s="13" customFormat="1" x14ac:dyDescent="0.25">
      <c r="A2651" s="15"/>
      <c r="B2651" s="16"/>
      <c r="C2651" s="17"/>
    </row>
    <row r="2652" spans="1:3" s="13" customFormat="1" x14ac:dyDescent="0.25">
      <c r="A2652" s="15"/>
      <c r="B2652" s="16"/>
      <c r="C2652" s="17"/>
    </row>
    <row r="2653" spans="1:3" s="13" customFormat="1" x14ac:dyDescent="0.25">
      <c r="A2653" s="15"/>
      <c r="B2653" s="16"/>
      <c r="C2653" s="17"/>
    </row>
    <row r="2654" spans="1:3" s="13" customFormat="1" x14ac:dyDescent="0.25">
      <c r="A2654" s="15"/>
      <c r="B2654" s="16"/>
      <c r="C2654" s="17"/>
    </row>
    <row r="2655" spans="1:3" s="13" customFormat="1" x14ac:dyDescent="0.25">
      <c r="A2655" s="15"/>
      <c r="B2655" s="16"/>
      <c r="C2655" s="17"/>
    </row>
    <row r="2656" spans="1:3" s="13" customFormat="1" x14ac:dyDescent="0.25">
      <c r="A2656" s="15"/>
      <c r="B2656" s="16"/>
      <c r="C2656" s="17"/>
    </row>
    <row r="2657" spans="1:3" s="13" customFormat="1" x14ac:dyDescent="0.25">
      <c r="A2657" s="15"/>
      <c r="B2657" s="16"/>
      <c r="C2657" s="17"/>
    </row>
    <row r="2658" spans="1:3" s="13" customFormat="1" x14ac:dyDescent="0.25">
      <c r="A2658" s="15"/>
      <c r="B2658" s="16"/>
      <c r="C2658" s="17"/>
    </row>
    <row r="2659" spans="1:3" s="13" customFormat="1" x14ac:dyDescent="0.25">
      <c r="A2659" s="15"/>
      <c r="B2659" s="16"/>
      <c r="C2659" s="17"/>
    </row>
    <row r="2660" spans="1:3" s="13" customFormat="1" x14ac:dyDescent="0.25">
      <c r="A2660" s="15"/>
      <c r="B2660" s="16"/>
      <c r="C2660" s="17"/>
    </row>
    <row r="2661" spans="1:3" s="13" customFormat="1" x14ac:dyDescent="0.25">
      <c r="A2661" s="15"/>
      <c r="B2661" s="16"/>
      <c r="C2661" s="17"/>
    </row>
    <row r="2662" spans="1:3" s="13" customFormat="1" x14ac:dyDescent="0.25">
      <c r="A2662" s="15"/>
      <c r="B2662" s="16"/>
      <c r="C2662" s="17"/>
    </row>
    <row r="2663" spans="1:3" s="13" customFormat="1" x14ac:dyDescent="0.25">
      <c r="A2663" s="15"/>
      <c r="B2663" s="16"/>
      <c r="C2663" s="17"/>
    </row>
    <row r="2664" spans="1:3" s="13" customFormat="1" x14ac:dyDescent="0.25">
      <c r="A2664" s="15"/>
      <c r="B2664" s="16"/>
      <c r="C2664" s="17"/>
    </row>
    <row r="2665" spans="1:3" s="13" customFormat="1" x14ac:dyDescent="0.25">
      <c r="A2665" s="15"/>
      <c r="B2665" s="16"/>
      <c r="C2665" s="17"/>
    </row>
    <row r="2666" spans="1:3" s="13" customFormat="1" x14ac:dyDescent="0.25">
      <c r="A2666" s="15"/>
      <c r="B2666" s="16"/>
      <c r="C2666" s="17"/>
    </row>
    <row r="2667" spans="1:3" s="13" customFormat="1" x14ac:dyDescent="0.25">
      <c r="A2667" s="15"/>
      <c r="B2667" s="16"/>
      <c r="C2667" s="17"/>
    </row>
    <row r="2668" spans="1:3" s="13" customFormat="1" x14ac:dyDescent="0.25">
      <c r="A2668" s="15"/>
      <c r="B2668" s="16"/>
      <c r="C2668" s="17"/>
    </row>
    <row r="2669" spans="1:3" s="13" customFormat="1" x14ac:dyDescent="0.25">
      <c r="A2669" s="15"/>
      <c r="B2669" s="16"/>
      <c r="C2669" s="17"/>
    </row>
    <row r="2670" spans="1:3" s="13" customFormat="1" x14ac:dyDescent="0.25">
      <c r="A2670" s="15"/>
      <c r="B2670" s="16"/>
      <c r="C2670" s="17"/>
    </row>
    <row r="2671" spans="1:3" s="13" customFormat="1" x14ac:dyDescent="0.25">
      <c r="A2671" s="15"/>
      <c r="B2671" s="16"/>
      <c r="C2671" s="17"/>
    </row>
    <row r="2672" spans="1:3" s="13" customFormat="1" x14ac:dyDescent="0.25">
      <c r="A2672" s="15"/>
      <c r="B2672" s="16"/>
      <c r="C2672" s="17"/>
    </row>
    <row r="2673" spans="1:3" s="13" customFormat="1" x14ac:dyDescent="0.25">
      <c r="A2673" s="15"/>
      <c r="B2673" s="16"/>
      <c r="C2673" s="17"/>
    </row>
    <row r="2674" spans="1:3" s="13" customFormat="1" x14ac:dyDescent="0.25">
      <c r="A2674" s="15"/>
      <c r="B2674" s="16"/>
      <c r="C2674" s="17"/>
    </row>
    <row r="2675" spans="1:3" s="13" customFormat="1" x14ac:dyDescent="0.25">
      <c r="A2675" s="15"/>
      <c r="B2675" s="16"/>
      <c r="C2675" s="17"/>
    </row>
    <row r="2676" spans="1:3" s="13" customFormat="1" x14ac:dyDescent="0.25">
      <c r="A2676" s="15"/>
      <c r="B2676" s="16"/>
      <c r="C2676" s="17"/>
    </row>
    <row r="2677" spans="1:3" s="13" customFormat="1" x14ac:dyDescent="0.25">
      <c r="A2677" s="15"/>
      <c r="B2677" s="16"/>
      <c r="C2677" s="17"/>
    </row>
    <row r="2678" spans="1:3" s="13" customFormat="1" x14ac:dyDescent="0.25">
      <c r="A2678" s="15"/>
      <c r="B2678" s="16"/>
      <c r="C2678" s="17"/>
    </row>
    <row r="2679" spans="1:3" s="13" customFormat="1" x14ac:dyDescent="0.25">
      <c r="A2679" s="15"/>
      <c r="B2679" s="16"/>
      <c r="C2679" s="17"/>
    </row>
    <row r="2680" spans="1:3" s="13" customFormat="1" x14ac:dyDescent="0.25">
      <c r="A2680" s="15"/>
      <c r="B2680" s="16"/>
      <c r="C2680" s="17"/>
    </row>
    <row r="2681" spans="1:3" s="13" customFormat="1" x14ac:dyDescent="0.25">
      <c r="A2681" s="15"/>
      <c r="B2681" s="16"/>
      <c r="C2681" s="17"/>
    </row>
    <row r="2682" spans="1:3" s="13" customFormat="1" x14ac:dyDescent="0.25">
      <c r="A2682" s="15"/>
      <c r="B2682" s="16"/>
      <c r="C2682" s="17"/>
    </row>
    <row r="2683" spans="1:3" s="13" customFormat="1" x14ac:dyDescent="0.25">
      <c r="A2683" s="15"/>
      <c r="B2683" s="16"/>
      <c r="C2683" s="17"/>
    </row>
    <row r="2684" spans="1:3" s="13" customFormat="1" x14ac:dyDescent="0.25">
      <c r="A2684" s="15"/>
      <c r="B2684" s="16"/>
      <c r="C2684" s="17"/>
    </row>
    <row r="2685" spans="1:3" s="13" customFormat="1" x14ac:dyDescent="0.25">
      <c r="A2685" s="15"/>
      <c r="B2685" s="16"/>
      <c r="C2685" s="17"/>
    </row>
    <row r="2686" spans="1:3" s="13" customFormat="1" x14ac:dyDescent="0.25">
      <c r="A2686" s="15"/>
      <c r="B2686" s="16"/>
      <c r="C2686" s="17"/>
    </row>
    <row r="2687" spans="1:3" s="13" customFormat="1" x14ac:dyDescent="0.25">
      <c r="A2687" s="15"/>
      <c r="B2687" s="16"/>
      <c r="C2687" s="17"/>
    </row>
    <row r="2688" spans="1:3" s="13" customFormat="1" x14ac:dyDescent="0.25">
      <c r="A2688" s="15"/>
      <c r="B2688" s="16"/>
      <c r="C2688" s="17"/>
    </row>
    <row r="2689" spans="1:3" s="13" customFormat="1" x14ac:dyDescent="0.25">
      <c r="A2689" s="15"/>
      <c r="B2689" s="16"/>
      <c r="C2689" s="17"/>
    </row>
    <row r="2690" spans="1:3" s="13" customFormat="1" x14ac:dyDescent="0.25">
      <c r="A2690" s="15"/>
      <c r="B2690" s="16"/>
      <c r="C2690" s="17"/>
    </row>
    <row r="2691" spans="1:3" s="13" customFormat="1" x14ac:dyDescent="0.25">
      <c r="A2691" s="15"/>
      <c r="B2691" s="16"/>
      <c r="C2691" s="17"/>
    </row>
    <row r="2692" spans="1:3" s="13" customFormat="1" x14ac:dyDescent="0.25">
      <c r="A2692" s="15"/>
      <c r="B2692" s="16"/>
      <c r="C2692" s="17"/>
    </row>
    <row r="2693" spans="1:3" s="13" customFormat="1" x14ac:dyDescent="0.25">
      <c r="A2693" s="15"/>
      <c r="B2693" s="16"/>
      <c r="C2693" s="17"/>
    </row>
    <row r="2694" spans="1:3" s="13" customFormat="1" x14ac:dyDescent="0.25">
      <c r="A2694" s="15"/>
      <c r="B2694" s="16"/>
      <c r="C2694" s="17"/>
    </row>
    <row r="2695" spans="1:3" s="13" customFormat="1" x14ac:dyDescent="0.25">
      <c r="A2695" s="15"/>
      <c r="B2695" s="16"/>
      <c r="C2695" s="17"/>
    </row>
    <row r="2696" spans="1:3" s="13" customFormat="1" x14ac:dyDescent="0.25">
      <c r="A2696" s="15"/>
      <c r="B2696" s="16"/>
      <c r="C2696" s="17"/>
    </row>
    <row r="2697" spans="1:3" s="13" customFormat="1" x14ac:dyDescent="0.25">
      <c r="A2697" s="15"/>
      <c r="B2697" s="16"/>
      <c r="C2697" s="17"/>
    </row>
    <row r="2698" spans="1:3" s="13" customFormat="1" x14ac:dyDescent="0.25">
      <c r="A2698" s="15"/>
      <c r="B2698" s="16"/>
      <c r="C2698" s="17"/>
    </row>
    <row r="2699" spans="1:3" s="13" customFormat="1" x14ac:dyDescent="0.25">
      <c r="A2699" s="15"/>
      <c r="B2699" s="16"/>
      <c r="C2699" s="17"/>
    </row>
    <row r="2700" spans="1:3" s="13" customFormat="1" x14ac:dyDescent="0.25">
      <c r="A2700" s="15"/>
      <c r="B2700" s="16"/>
      <c r="C2700" s="17"/>
    </row>
    <row r="2701" spans="1:3" s="13" customFormat="1" x14ac:dyDescent="0.25">
      <c r="A2701" s="15"/>
      <c r="B2701" s="16"/>
      <c r="C2701" s="17"/>
    </row>
    <row r="2702" spans="1:3" s="13" customFormat="1" x14ac:dyDescent="0.25">
      <c r="A2702" s="15"/>
      <c r="B2702" s="16"/>
      <c r="C2702" s="17"/>
    </row>
    <row r="2703" spans="1:3" s="13" customFormat="1" x14ac:dyDescent="0.25">
      <c r="A2703" s="15"/>
      <c r="B2703" s="16"/>
      <c r="C2703" s="17"/>
    </row>
    <row r="2704" spans="1:3" s="13" customFormat="1" x14ac:dyDescent="0.25">
      <c r="A2704" s="15"/>
      <c r="B2704" s="16"/>
      <c r="C2704" s="17"/>
    </row>
    <row r="2705" spans="1:3" s="13" customFormat="1" x14ac:dyDescent="0.25">
      <c r="A2705" s="15"/>
      <c r="B2705" s="16"/>
      <c r="C2705" s="17"/>
    </row>
    <row r="2706" spans="1:3" s="13" customFormat="1" x14ac:dyDescent="0.25">
      <c r="A2706" s="15"/>
      <c r="B2706" s="16"/>
      <c r="C2706" s="17"/>
    </row>
    <row r="2707" spans="1:3" s="13" customFormat="1" x14ac:dyDescent="0.25">
      <c r="A2707" s="15"/>
      <c r="B2707" s="16"/>
      <c r="C2707" s="17"/>
    </row>
    <row r="2708" spans="1:3" s="13" customFormat="1" x14ac:dyDescent="0.25">
      <c r="A2708" s="15"/>
      <c r="B2708" s="16"/>
      <c r="C2708" s="17"/>
    </row>
    <row r="2709" spans="1:3" s="13" customFormat="1" x14ac:dyDescent="0.25">
      <c r="A2709" s="15"/>
      <c r="B2709" s="16"/>
      <c r="C2709" s="17"/>
    </row>
    <row r="2710" spans="1:3" s="13" customFormat="1" x14ac:dyDescent="0.25">
      <c r="A2710" s="15"/>
      <c r="B2710" s="16"/>
      <c r="C2710" s="17"/>
    </row>
    <row r="2711" spans="1:3" s="13" customFormat="1" x14ac:dyDescent="0.25">
      <c r="A2711" s="15"/>
      <c r="B2711" s="16"/>
      <c r="C2711" s="17"/>
    </row>
    <row r="2712" spans="1:3" s="13" customFormat="1" x14ac:dyDescent="0.25">
      <c r="A2712" s="15"/>
      <c r="B2712" s="16"/>
      <c r="C2712" s="17"/>
    </row>
    <row r="2713" spans="1:3" s="13" customFormat="1" x14ac:dyDescent="0.25">
      <c r="A2713" s="15"/>
      <c r="B2713" s="16"/>
      <c r="C2713" s="17"/>
    </row>
    <row r="2714" spans="1:3" s="13" customFormat="1" x14ac:dyDescent="0.25">
      <c r="A2714" s="15"/>
      <c r="B2714" s="16"/>
      <c r="C2714" s="17"/>
    </row>
    <row r="2715" spans="1:3" s="13" customFormat="1" x14ac:dyDescent="0.25">
      <c r="A2715" s="15"/>
      <c r="B2715" s="16"/>
      <c r="C2715" s="17"/>
    </row>
    <row r="2716" spans="1:3" s="13" customFormat="1" x14ac:dyDescent="0.25">
      <c r="A2716" s="15"/>
      <c r="B2716" s="16"/>
      <c r="C2716" s="17"/>
    </row>
    <row r="2717" spans="1:3" s="13" customFormat="1" x14ac:dyDescent="0.25">
      <c r="A2717" s="15"/>
      <c r="B2717" s="16"/>
      <c r="C2717" s="17"/>
    </row>
    <row r="2718" spans="1:3" s="13" customFormat="1" x14ac:dyDescent="0.25">
      <c r="A2718" s="15"/>
      <c r="B2718" s="16"/>
      <c r="C2718" s="17"/>
    </row>
    <row r="2719" spans="1:3" s="13" customFormat="1" x14ac:dyDescent="0.25">
      <c r="A2719" s="15"/>
      <c r="B2719" s="16"/>
      <c r="C2719" s="17"/>
    </row>
    <row r="2720" spans="1:3" s="13" customFormat="1" x14ac:dyDescent="0.25">
      <c r="A2720" s="15"/>
      <c r="B2720" s="16"/>
      <c r="C2720" s="17"/>
    </row>
    <row r="2721" spans="1:3" s="13" customFormat="1" x14ac:dyDescent="0.25">
      <c r="A2721" s="15"/>
      <c r="B2721" s="16"/>
      <c r="C2721" s="17"/>
    </row>
    <row r="2722" spans="1:3" s="13" customFormat="1" x14ac:dyDescent="0.25">
      <c r="A2722" s="15"/>
      <c r="B2722" s="16"/>
      <c r="C2722" s="17"/>
    </row>
    <row r="2723" spans="1:3" s="13" customFormat="1" x14ac:dyDescent="0.25">
      <c r="A2723" s="15"/>
      <c r="B2723" s="16"/>
      <c r="C2723" s="17"/>
    </row>
    <row r="2724" spans="1:3" s="13" customFormat="1" x14ac:dyDescent="0.25">
      <c r="A2724" s="15"/>
      <c r="B2724" s="16"/>
      <c r="C2724" s="17"/>
    </row>
    <row r="2725" spans="1:3" s="13" customFormat="1" x14ac:dyDescent="0.25">
      <c r="A2725" s="15"/>
      <c r="B2725" s="16"/>
      <c r="C2725" s="17"/>
    </row>
    <row r="2726" spans="1:3" s="13" customFormat="1" x14ac:dyDescent="0.25">
      <c r="A2726" s="15"/>
      <c r="B2726" s="16"/>
      <c r="C2726" s="17"/>
    </row>
    <row r="2727" spans="1:3" s="13" customFormat="1" x14ac:dyDescent="0.25">
      <c r="A2727" s="15"/>
      <c r="B2727" s="16"/>
      <c r="C2727" s="17"/>
    </row>
    <row r="2728" spans="1:3" s="13" customFormat="1" x14ac:dyDescent="0.25">
      <c r="A2728" s="15"/>
      <c r="B2728" s="16"/>
      <c r="C2728" s="17"/>
    </row>
    <row r="2729" spans="1:3" s="13" customFormat="1" x14ac:dyDescent="0.25">
      <c r="A2729" s="15"/>
      <c r="B2729" s="16"/>
      <c r="C2729" s="17"/>
    </row>
    <row r="2730" spans="1:3" s="13" customFormat="1" x14ac:dyDescent="0.25">
      <c r="A2730" s="15"/>
      <c r="B2730" s="16"/>
      <c r="C2730" s="17"/>
    </row>
    <row r="2731" spans="1:3" s="13" customFormat="1" x14ac:dyDescent="0.25">
      <c r="A2731" s="15"/>
      <c r="B2731" s="16"/>
      <c r="C2731" s="17"/>
    </row>
    <row r="2732" spans="1:3" s="13" customFormat="1" x14ac:dyDescent="0.25">
      <c r="A2732" s="15"/>
      <c r="B2732" s="16"/>
      <c r="C2732" s="17"/>
    </row>
    <row r="2733" spans="1:3" s="13" customFormat="1" x14ac:dyDescent="0.25">
      <c r="A2733" s="15"/>
      <c r="B2733" s="16"/>
      <c r="C2733" s="17"/>
    </row>
    <row r="2734" spans="1:3" s="13" customFormat="1" x14ac:dyDescent="0.25">
      <c r="A2734" s="15"/>
      <c r="B2734" s="16"/>
      <c r="C2734" s="17"/>
    </row>
    <row r="2735" spans="1:3" s="13" customFormat="1" x14ac:dyDescent="0.25">
      <c r="A2735" s="15"/>
      <c r="B2735" s="16"/>
      <c r="C2735" s="17"/>
    </row>
    <row r="2736" spans="1:3" s="13" customFormat="1" x14ac:dyDescent="0.25">
      <c r="A2736" s="15"/>
      <c r="B2736" s="16"/>
      <c r="C2736" s="17"/>
    </row>
    <row r="2737" spans="1:3" s="13" customFormat="1" x14ac:dyDescent="0.25">
      <c r="A2737" s="15"/>
      <c r="B2737" s="16"/>
      <c r="C2737" s="17"/>
    </row>
    <row r="2738" spans="1:3" s="13" customFormat="1" x14ac:dyDescent="0.25">
      <c r="A2738" s="15"/>
      <c r="B2738" s="16"/>
      <c r="C2738" s="17"/>
    </row>
    <row r="2739" spans="1:3" s="13" customFormat="1" x14ac:dyDescent="0.25">
      <c r="A2739" s="15"/>
      <c r="B2739" s="16"/>
      <c r="C2739" s="17"/>
    </row>
    <row r="2740" spans="1:3" s="13" customFormat="1" x14ac:dyDescent="0.25">
      <c r="A2740" s="15"/>
      <c r="B2740" s="16"/>
      <c r="C2740" s="17"/>
    </row>
    <row r="2741" spans="1:3" s="13" customFormat="1" x14ac:dyDescent="0.25">
      <c r="A2741" s="15"/>
      <c r="B2741" s="16"/>
      <c r="C2741" s="17"/>
    </row>
    <row r="2742" spans="1:3" s="13" customFormat="1" x14ac:dyDescent="0.25">
      <c r="A2742" s="15"/>
      <c r="B2742" s="16"/>
      <c r="C2742" s="17"/>
    </row>
    <row r="2743" spans="1:3" s="13" customFormat="1" x14ac:dyDescent="0.25">
      <c r="A2743" s="15"/>
      <c r="B2743" s="16"/>
      <c r="C2743" s="17"/>
    </row>
    <row r="2744" spans="1:3" s="13" customFormat="1" x14ac:dyDescent="0.25">
      <c r="A2744" s="15"/>
      <c r="B2744" s="16"/>
      <c r="C2744" s="17"/>
    </row>
    <row r="2745" spans="1:3" s="13" customFormat="1" x14ac:dyDescent="0.25">
      <c r="A2745" s="15"/>
      <c r="B2745" s="16"/>
      <c r="C2745" s="17"/>
    </row>
    <row r="2746" spans="1:3" s="13" customFormat="1" x14ac:dyDescent="0.25">
      <c r="A2746" s="15"/>
      <c r="B2746" s="16"/>
      <c r="C2746" s="17"/>
    </row>
    <row r="2747" spans="1:3" s="13" customFormat="1" x14ac:dyDescent="0.25">
      <c r="A2747" s="15"/>
      <c r="B2747" s="16"/>
      <c r="C2747" s="17"/>
    </row>
    <row r="2748" spans="1:3" s="13" customFormat="1" x14ac:dyDescent="0.25">
      <c r="A2748" s="15"/>
      <c r="B2748" s="16"/>
      <c r="C2748" s="17"/>
    </row>
    <row r="2749" spans="1:3" s="13" customFormat="1" x14ac:dyDescent="0.25">
      <c r="A2749" s="15"/>
      <c r="B2749" s="16"/>
      <c r="C2749" s="17"/>
    </row>
    <row r="2750" spans="1:3" s="13" customFormat="1" x14ac:dyDescent="0.25">
      <c r="A2750" s="15"/>
      <c r="B2750" s="16"/>
      <c r="C2750" s="17"/>
    </row>
    <row r="2751" spans="1:3" s="13" customFormat="1" x14ac:dyDescent="0.25">
      <c r="A2751" s="15"/>
      <c r="B2751" s="16"/>
      <c r="C2751" s="17"/>
    </row>
    <row r="2752" spans="1:3" s="13" customFormat="1" x14ac:dyDescent="0.25">
      <c r="A2752" s="15"/>
      <c r="B2752" s="16"/>
      <c r="C2752" s="17"/>
    </row>
    <row r="2753" spans="1:3" s="13" customFormat="1" x14ac:dyDescent="0.25">
      <c r="A2753" s="15"/>
      <c r="B2753" s="16"/>
      <c r="C2753" s="17"/>
    </row>
    <row r="2754" spans="1:3" s="13" customFormat="1" x14ac:dyDescent="0.25">
      <c r="A2754" s="15"/>
      <c r="B2754" s="16"/>
      <c r="C2754" s="17"/>
    </row>
    <row r="2755" spans="1:3" s="13" customFormat="1" x14ac:dyDescent="0.25">
      <c r="A2755" s="15"/>
      <c r="B2755" s="16"/>
      <c r="C2755" s="17"/>
    </row>
    <row r="2756" spans="1:3" s="13" customFormat="1" x14ac:dyDescent="0.25">
      <c r="A2756" s="15"/>
      <c r="B2756" s="16"/>
      <c r="C2756" s="17"/>
    </row>
    <row r="2757" spans="1:3" s="13" customFormat="1" x14ac:dyDescent="0.25">
      <c r="A2757" s="15"/>
      <c r="B2757" s="16"/>
      <c r="C2757" s="17"/>
    </row>
    <row r="2758" spans="1:3" s="13" customFormat="1" x14ac:dyDescent="0.25">
      <c r="A2758" s="15"/>
      <c r="B2758" s="16"/>
      <c r="C2758" s="17"/>
    </row>
    <row r="2759" spans="1:3" s="13" customFormat="1" x14ac:dyDescent="0.25">
      <c r="A2759" s="15"/>
      <c r="B2759" s="16"/>
      <c r="C2759" s="17"/>
    </row>
    <row r="2760" spans="1:3" s="13" customFormat="1" x14ac:dyDescent="0.25">
      <c r="A2760" s="15"/>
      <c r="B2760" s="16"/>
      <c r="C2760" s="17"/>
    </row>
    <row r="2761" spans="1:3" s="13" customFormat="1" x14ac:dyDescent="0.25">
      <c r="A2761" s="15"/>
      <c r="B2761" s="16"/>
      <c r="C2761" s="17"/>
    </row>
    <row r="2762" spans="1:3" s="13" customFormat="1" x14ac:dyDescent="0.25">
      <c r="A2762" s="15"/>
      <c r="B2762" s="16"/>
      <c r="C2762" s="17"/>
    </row>
    <row r="2763" spans="1:3" s="13" customFormat="1" x14ac:dyDescent="0.25">
      <c r="A2763" s="15"/>
      <c r="B2763" s="16"/>
      <c r="C2763" s="17"/>
    </row>
    <row r="2764" spans="1:3" s="13" customFormat="1" x14ac:dyDescent="0.25">
      <c r="A2764" s="15"/>
      <c r="B2764" s="16"/>
      <c r="C2764" s="17"/>
    </row>
    <row r="2765" spans="1:3" s="13" customFormat="1" x14ac:dyDescent="0.25">
      <c r="A2765" s="15"/>
      <c r="B2765" s="16"/>
      <c r="C2765" s="17"/>
    </row>
    <row r="2766" spans="1:3" s="13" customFormat="1" x14ac:dyDescent="0.25">
      <c r="A2766" s="15"/>
      <c r="B2766" s="16"/>
      <c r="C2766" s="17"/>
    </row>
    <row r="2767" spans="1:3" s="13" customFormat="1" x14ac:dyDescent="0.25">
      <c r="A2767" s="15"/>
      <c r="B2767" s="16"/>
      <c r="C2767" s="17"/>
    </row>
    <row r="2768" spans="1:3" s="13" customFormat="1" x14ac:dyDescent="0.25">
      <c r="A2768" s="15"/>
      <c r="B2768" s="16"/>
      <c r="C2768" s="17"/>
    </row>
    <row r="2769" spans="1:3" s="13" customFormat="1" x14ac:dyDescent="0.25">
      <c r="A2769" s="15"/>
      <c r="B2769" s="16"/>
      <c r="C2769" s="17"/>
    </row>
    <row r="2770" spans="1:3" s="13" customFormat="1" x14ac:dyDescent="0.25">
      <c r="A2770" s="15"/>
      <c r="B2770" s="16"/>
      <c r="C2770" s="17"/>
    </row>
    <row r="2771" spans="1:3" s="13" customFormat="1" x14ac:dyDescent="0.25">
      <c r="A2771" s="15"/>
      <c r="B2771" s="16"/>
      <c r="C2771" s="17"/>
    </row>
    <row r="2772" spans="1:3" s="13" customFormat="1" x14ac:dyDescent="0.25">
      <c r="A2772" s="15"/>
      <c r="B2772" s="16"/>
      <c r="C2772" s="17"/>
    </row>
    <row r="2773" spans="1:3" s="13" customFormat="1" x14ac:dyDescent="0.25">
      <c r="A2773" s="15"/>
      <c r="B2773" s="16"/>
      <c r="C2773" s="17"/>
    </row>
    <row r="2774" spans="1:3" s="13" customFormat="1" x14ac:dyDescent="0.25">
      <c r="A2774" s="15"/>
      <c r="B2774" s="16"/>
      <c r="C2774" s="17"/>
    </row>
    <row r="2775" spans="1:3" s="13" customFormat="1" x14ac:dyDescent="0.25">
      <c r="A2775" s="15"/>
      <c r="B2775" s="16"/>
      <c r="C2775" s="17"/>
    </row>
    <row r="2776" spans="1:3" s="13" customFormat="1" x14ac:dyDescent="0.25">
      <c r="A2776" s="15"/>
      <c r="B2776" s="16"/>
      <c r="C2776" s="17"/>
    </row>
    <row r="2777" spans="1:3" s="13" customFormat="1" x14ac:dyDescent="0.25">
      <c r="A2777" s="15"/>
      <c r="B2777" s="16"/>
      <c r="C2777" s="17"/>
    </row>
    <row r="2778" spans="1:3" s="13" customFormat="1" x14ac:dyDescent="0.25">
      <c r="A2778" s="15"/>
      <c r="B2778" s="16"/>
      <c r="C2778" s="17"/>
    </row>
    <row r="2779" spans="1:3" s="13" customFormat="1" x14ac:dyDescent="0.25">
      <c r="A2779" s="15"/>
      <c r="B2779" s="16"/>
      <c r="C2779" s="17"/>
    </row>
    <row r="2780" spans="1:3" s="13" customFormat="1" x14ac:dyDescent="0.25">
      <c r="A2780" s="15"/>
      <c r="B2780" s="16"/>
      <c r="C2780" s="17"/>
    </row>
    <row r="2781" spans="1:3" s="13" customFormat="1" x14ac:dyDescent="0.25">
      <c r="A2781" s="15"/>
      <c r="B2781" s="16"/>
      <c r="C2781" s="17"/>
    </row>
    <row r="2782" spans="1:3" s="13" customFormat="1" x14ac:dyDescent="0.25">
      <c r="A2782" s="15"/>
      <c r="B2782" s="16"/>
      <c r="C2782" s="17"/>
    </row>
    <row r="2783" spans="1:3" s="13" customFormat="1" x14ac:dyDescent="0.25">
      <c r="A2783" s="15"/>
      <c r="B2783" s="16"/>
      <c r="C2783" s="17"/>
    </row>
    <row r="2784" spans="1:3" s="13" customFormat="1" x14ac:dyDescent="0.25">
      <c r="A2784" s="15"/>
      <c r="B2784" s="16"/>
      <c r="C2784" s="17"/>
    </row>
    <row r="2785" spans="1:3" s="13" customFormat="1" x14ac:dyDescent="0.25">
      <c r="A2785" s="15"/>
      <c r="B2785" s="16"/>
      <c r="C2785" s="17"/>
    </row>
    <row r="2786" spans="1:3" s="13" customFormat="1" x14ac:dyDescent="0.25">
      <c r="A2786" s="15"/>
      <c r="B2786" s="16"/>
      <c r="C2786" s="17"/>
    </row>
    <row r="2787" spans="1:3" s="13" customFormat="1" x14ac:dyDescent="0.25">
      <c r="A2787" s="15"/>
      <c r="B2787" s="16"/>
      <c r="C2787" s="17"/>
    </row>
    <row r="2788" spans="1:3" s="13" customFormat="1" x14ac:dyDescent="0.25">
      <c r="A2788" s="15"/>
      <c r="B2788" s="16"/>
      <c r="C2788" s="17"/>
    </row>
    <row r="2789" spans="1:3" s="13" customFormat="1" x14ac:dyDescent="0.25">
      <c r="A2789" s="15"/>
      <c r="B2789" s="16"/>
      <c r="C2789" s="17"/>
    </row>
    <row r="2790" spans="1:3" s="13" customFormat="1" x14ac:dyDescent="0.25">
      <c r="A2790" s="15"/>
      <c r="B2790" s="16"/>
      <c r="C2790" s="17"/>
    </row>
    <row r="2791" spans="1:3" s="13" customFormat="1" x14ac:dyDescent="0.25">
      <c r="A2791" s="15"/>
      <c r="B2791" s="16"/>
      <c r="C2791" s="17"/>
    </row>
    <row r="2792" spans="1:3" s="13" customFormat="1" x14ac:dyDescent="0.25">
      <c r="A2792" s="15"/>
      <c r="B2792" s="16"/>
      <c r="C2792" s="17"/>
    </row>
    <row r="2793" spans="1:3" s="13" customFormat="1" x14ac:dyDescent="0.25">
      <c r="A2793" s="15"/>
      <c r="B2793" s="16"/>
      <c r="C2793" s="17"/>
    </row>
    <row r="2794" spans="1:3" s="13" customFormat="1" x14ac:dyDescent="0.25">
      <c r="A2794" s="15"/>
      <c r="B2794" s="16"/>
      <c r="C2794" s="17"/>
    </row>
    <row r="2795" spans="1:3" s="13" customFormat="1" x14ac:dyDescent="0.25">
      <c r="A2795" s="15"/>
      <c r="B2795" s="16"/>
      <c r="C2795" s="17"/>
    </row>
    <row r="2796" spans="1:3" s="13" customFormat="1" x14ac:dyDescent="0.25">
      <c r="A2796" s="15"/>
      <c r="B2796" s="16"/>
      <c r="C2796" s="17"/>
    </row>
    <row r="2797" spans="1:3" s="13" customFormat="1" x14ac:dyDescent="0.25">
      <c r="A2797" s="15"/>
      <c r="B2797" s="16"/>
      <c r="C2797" s="17"/>
    </row>
    <row r="2798" spans="1:3" s="13" customFormat="1" x14ac:dyDescent="0.25">
      <c r="A2798" s="15"/>
      <c r="B2798" s="16"/>
      <c r="C2798" s="17"/>
    </row>
    <row r="2799" spans="1:3" s="13" customFormat="1" x14ac:dyDescent="0.25">
      <c r="A2799" s="15"/>
      <c r="B2799" s="16"/>
      <c r="C2799" s="17"/>
    </row>
    <row r="2800" spans="1:3" s="13" customFormat="1" x14ac:dyDescent="0.25">
      <c r="A2800" s="15"/>
      <c r="B2800" s="16"/>
      <c r="C2800" s="17"/>
    </row>
    <row r="2801" spans="1:3" s="13" customFormat="1" x14ac:dyDescent="0.25">
      <c r="A2801" s="15"/>
      <c r="B2801" s="16"/>
      <c r="C2801" s="17"/>
    </row>
    <row r="2802" spans="1:3" s="13" customFormat="1" x14ac:dyDescent="0.25">
      <c r="A2802" s="15"/>
      <c r="B2802" s="16"/>
      <c r="C2802" s="17"/>
    </row>
    <row r="2803" spans="1:3" s="13" customFormat="1" x14ac:dyDescent="0.25">
      <c r="A2803" s="15"/>
      <c r="B2803" s="16"/>
      <c r="C2803" s="17"/>
    </row>
    <row r="2804" spans="1:3" s="13" customFormat="1" x14ac:dyDescent="0.25">
      <c r="A2804" s="15"/>
      <c r="B2804" s="16"/>
      <c r="C2804" s="17"/>
    </row>
    <row r="2805" spans="1:3" s="13" customFormat="1" x14ac:dyDescent="0.25">
      <c r="A2805" s="15"/>
      <c r="B2805" s="16"/>
      <c r="C2805" s="17"/>
    </row>
    <row r="2806" spans="1:3" s="13" customFormat="1" x14ac:dyDescent="0.25">
      <c r="A2806" s="15"/>
      <c r="B2806" s="16"/>
      <c r="C2806" s="17"/>
    </row>
    <row r="2807" spans="1:3" s="13" customFormat="1" x14ac:dyDescent="0.25">
      <c r="A2807" s="15"/>
      <c r="B2807" s="16"/>
      <c r="C2807" s="17"/>
    </row>
    <row r="2808" spans="1:3" s="13" customFormat="1" x14ac:dyDescent="0.25">
      <c r="A2808" s="15"/>
      <c r="B2808" s="16"/>
      <c r="C2808" s="17"/>
    </row>
    <row r="2809" spans="1:3" s="13" customFormat="1" x14ac:dyDescent="0.25">
      <c r="A2809" s="15"/>
      <c r="B2809" s="16"/>
      <c r="C2809" s="17"/>
    </row>
    <row r="2810" spans="1:3" s="13" customFormat="1" x14ac:dyDescent="0.25">
      <c r="A2810" s="15"/>
      <c r="B2810" s="16"/>
      <c r="C2810" s="17"/>
    </row>
    <row r="2811" spans="1:3" s="13" customFormat="1" x14ac:dyDescent="0.25">
      <c r="A2811" s="15"/>
      <c r="B2811" s="16"/>
      <c r="C2811" s="17"/>
    </row>
    <row r="2812" spans="1:3" s="13" customFormat="1" x14ac:dyDescent="0.25">
      <c r="A2812" s="15"/>
      <c r="B2812" s="16"/>
      <c r="C2812" s="17"/>
    </row>
    <row r="2813" spans="1:3" s="13" customFormat="1" x14ac:dyDescent="0.25">
      <c r="A2813" s="15"/>
      <c r="B2813" s="16"/>
      <c r="C2813" s="17"/>
    </row>
    <row r="2814" spans="1:3" s="13" customFormat="1" x14ac:dyDescent="0.25">
      <c r="A2814" s="15"/>
      <c r="B2814" s="16"/>
      <c r="C2814" s="17"/>
    </row>
    <row r="2815" spans="1:3" s="13" customFormat="1" x14ac:dyDescent="0.25">
      <c r="A2815" s="15"/>
      <c r="B2815" s="16"/>
      <c r="C2815" s="17"/>
    </row>
    <row r="2816" spans="1:3" s="13" customFormat="1" x14ac:dyDescent="0.25">
      <c r="A2816" s="15"/>
      <c r="B2816" s="16"/>
      <c r="C2816" s="17"/>
    </row>
    <row r="2817" spans="1:3" s="13" customFormat="1" x14ac:dyDescent="0.25">
      <c r="A2817" s="15"/>
      <c r="B2817" s="16"/>
      <c r="C2817" s="17"/>
    </row>
    <row r="2818" spans="1:3" s="13" customFormat="1" x14ac:dyDescent="0.25">
      <c r="A2818" s="15"/>
      <c r="B2818" s="16"/>
      <c r="C2818" s="17"/>
    </row>
    <row r="2819" spans="1:3" s="13" customFormat="1" x14ac:dyDescent="0.25">
      <c r="A2819" s="15"/>
      <c r="B2819" s="16"/>
      <c r="C2819" s="17"/>
    </row>
    <row r="2820" spans="1:3" s="13" customFormat="1" x14ac:dyDescent="0.25">
      <c r="A2820" s="15"/>
      <c r="B2820" s="16"/>
      <c r="C2820" s="17"/>
    </row>
    <row r="2821" spans="1:3" s="13" customFormat="1" x14ac:dyDescent="0.25">
      <c r="A2821" s="15"/>
      <c r="B2821" s="16"/>
      <c r="C2821" s="17"/>
    </row>
    <row r="2822" spans="1:3" s="13" customFormat="1" x14ac:dyDescent="0.25">
      <c r="A2822" s="15"/>
      <c r="B2822" s="16"/>
      <c r="C2822" s="17"/>
    </row>
    <row r="2823" spans="1:3" s="13" customFormat="1" x14ac:dyDescent="0.25">
      <c r="A2823" s="15"/>
      <c r="B2823" s="16"/>
      <c r="C2823" s="17"/>
    </row>
    <row r="2824" spans="1:3" s="13" customFormat="1" x14ac:dyDescent="0.25">
      <c r="A2824" s="15"/>
      <c r="B2824" s="16"/>
      <c r="C2824" s="17"/>
    </row>
    <row r="2825" spans="1:3" s="13" customFormat="1" x14ac:dyDescent="0.25">
      <c r="A2825" s="15"/>
      <c r="B2825" s="16"/>
      <c r="C2825" s="17"/>
    </row>
    <row r="2826" spans="1:3" s="13" customFormat="1" x14ac:dyDescent="0.25">
      <c r="A2826" s="15"/>
      <c r="B2826" s="16"/>
      <c r="C2826" s="17"/>
    </row>
    <row r="2827" spans="1:3" s="13" customFormat="1" x14ac:dyDescent="0.25">
      <c r="A2827" s="15"/>
      <c r="B2827" s="16"/>
      <c r="C2827" s="17"/>
    </row>
    <row r="2828" spans="1:3" s="13" customFormat="1" x14ac:dyDescent="0.25">
      <c r="A2828" s="15"/>
      <c r="B2828" s="16"/>
      <c r="C2828" s="17"/>
    </row>
    <row r="2829" spans="1:3" s="13" customFormat="1" x14ac:dyDescent="0.25">
      <c r="A2829" s="15"/>
      <c r="B2829" s="16"/>
      <c r="C2829" s="17"/>
    </row>
    <row r="2830" spans="1:3" s="13" customFormat="1" x14ac:dyDescent="0.25">
      <c r="A2830" s="15"/>
      <c r="B2830" s="16"/>
      <c r="C2830" s="17"/>
    </row>
    <row r="2831" spans="1:3" s="13" customFormat="1" x14ac:dyDescent="0.25">
      <c r="A2831" s="15"/>
      <c r="B2831" s="16"/>
      <c r="C2831" s="17"/>
    </row>
    <row r="2832" spans="1:3" s="13" customFormat="1" x14ac:dyDescent="0.25">
      <c r="A2832" s="15"/>
      <c r="B2832" s="16"/>
      <c r="C2832" s="17"/>
    </row>
    <row r="2833" spans="1:3" s="13" customFormat="1" x14ac:dyDescent="0.25">
      <c r="A2833" s="15"/>
      <c r="B2833" s="16"/>
      <c r="C2833" s="17"/>
    </row>
    <row r="2834" spans="1:3" s="13" customFormat="1" x14ac:dyDescent="0.25">
      <c r="A2834" s="15"/>
      <c r="B2834" s="16"/>
      <c r="C2834" s="17"/>
    </row>
    <row r="2835" spans="1:3" s="13" customFormat="1" x14ac:dyDescent="0.25">
      <c r="A2835" s="15"/>
      <c r="B2835" s="16"/>
      <c r="C2835" s="17"/>
    </row>
    <row r="2836" spans="1:3" s="13" customFormat="1" x14ac:dyDescent="0.25">
      <c r="A2836" s="15"/>
      <c r="B2836" s="16"/>
      <c r="C2836" s="17"/>
    </row>
    <row r="2837" spans="1:3" s="13" customFormat="1" x14ac:dyDescent="0.25">
      <c r="A2837" s="15"/>
      <c r="B2837" s="16"/>
      <c r="C2837" s="17"/>
    </row>
    <row r="2838" spans="1:3" s="13" customFormat="1" x14ac:dyDescent="0.25">
      <c r="A2838" s="15"/>
      <c r="B2838" s="16"/>
      <c r="C2838" s="17"/>
    </row>
    <row r="2839" spans="1:3" s="13" customFormat="1" x14ac:dyDescent="0.25">
      <c r="A2839" s="15"/>
      <c r="B2839" s="16"/>
      <c r="C2839" s="17"/>
    </row>
    <row r="2840" spans="1:3" s="13" customFormat="1" x14ac:dyDescent="0.25">
      <c r="A2840" s="15"/>
      <c r="B2840" s="16"/>
      <c r="C2840" s="17"/>
    </row>
    <row r="2841" spans="1:3" s="13" customFormat="1" x14ac:dyDescent="0.25">
      <c r="A2841" s="15"/>
      <c r="B2841" s="16"/>
      <c r="C2841" s="17"/>
    </row>
    <row r="2842" spans="1:3" s="13" customFormat="1" x14ac:dyDescent="0.25">
      <c r="A2842" s="15"/>
      <c r="B2842" s="16"/>
      <c r="C2842" s="17"/>
    </row>
    <row r="2843" spans="1:3" s="13" customFormat="1" x14ac:dyDescent="0.25">
      <c r="A2843" s="15"/>
      <c r="B2843" s="16"/>
      <c r="C2843" s="17"/>
    </row>
    <row r="2844" spans="1:3" s="13" customFormat="1" x14ac:dyDescent="0.25">
      <c r="A2844" s="15"/>
      <c r="B2844" s="16"/>
      <c r="C2844" s="17"/>
    </row>
    <row r="2845" spans="1:3" s="13" customFormat="1" x14ac:dyDescent="0.25">
      <c r="A2845" s="15"/>
      <c r="B2845" s="16"/>
      <c r="C2845" s="17"/>
    </row>
    <row r="2846" spans="1:3" s="13" customFormat="1" x14ac:dyDescent="0.25">
      <c r="A2846" s="15"/>
      <c r="B2846" s="16"/>
      <c r="C2846" s="17"/>
    </row>
    <row r="2847" spans="1:3" s="13" customFormat="1" x14ac:dyDescent="0.25">
      <c r="A2847" s="15"/>
      <c r="B2847" s="16"/>
      <c r="C2847" s="17"/>
    </row>
    <row r="2848" spans="1:3" s="13" customFormat="1" x14ac:dyDescent="0.25">
      <c r="A2848" s="15"/>
      <c r="B2848" s="16"/>
      <c r="C2848" s="17"/>
    </row>
    <row r="2849" spans="1:3" s="13" customFormat="1" x14ac:dyDescent="0.25">
      <c r="A2849" s="15"/>
      <c r="B2849" s="16"/>
      <c r="C2849" s="17"/>
    </row>
    <row r="2850" spans="1:3" s="13" customFormat="1" x14ac:dyDescent="0.25">
      <c r="A2850" s="15"/>
      <c r="B2850" s="16"/>
      <c r="C2850" s="17"/>
    </row>
    <row r="2851" spans="1:3" s="13" customFormat="1" x14ac:dyDescent="0.25">
      <c r="A2851" s="15"/>
      <c r="B2851" s="16"/>
      <c r="C2851" s="17"/>
    </row>
    <row r="2852" spans="1:3" s="13" customFormat="1" x14ac:dyDescent="0.25">
      <c r="A2852" s="15"/>
      <c r="B2852" s="16"/>
      <c r="C2852" s="17"/>
    </row>
    <row r="2853" spans="1:3" s="13" customFormat="1" x14ac:dyDescent="0.25">
      <c r="A2853" s="15"/>
      <c r="B2853" s="16"/>
      <c r="C2853" s="17"/>
    </row>
    <row r="2854" spans="1:3" s="13" customFormat="1" x14ac:dyDescent="0.25">
      <c r="A2854" s="15"/>
      <c r="B2854" s="16"/>
      <c r="C2854" s="17"/>
    </row>
    <row r="2855" spans="1:3" s="13" customFormat="1" x14ac:dyDescent="0.25">
      <c r="A2855" s="15"/>
      <c r="B2855" s="16"/>
      <c r="C2855" s="17"/>
    </row>
    <row r="2856" spans="1:3" s="13" customFormat="1" x14ac:dyDescent="0.25">
      <c r="A2856" s="15"/>
      <c r="B2856" s="16"/>
      <c r="C2856" s="17"/>
    </row>
    <row r="2857" spans="1:3" s="13" customFormat="1" x14ac:dyDescent="0.25">
      <c r="A2857" s="15"/>
      <c r="B2857" s="16"/>
      <c r="C2857" s="17"/>
    </row>
    <row r="2858" spans="1:3" s="13" customFormat="1" x14ac:dyDescent="0.25">
      <c r="A2858" s="15"/>
      <c r="B2858" s="16"/>
      <c r="C2858" s="17"/>
    </row>
    <row r="2859" spans="1:3" s="13" customFormat="1" x14ac:dyDescent="0.25">
      <c r="A2859" s="15"/>
      <c r="B2859" s="16"/>
      <c r="C2859" s="17"/>
    </row>
    <row r="2860" spans="1:3" s="13" customFormat="1" x14ac:dyDescent="0.25">
      <c r="A2860" s="15"/>
      <c r="B2860" s="16"/>
      <c r="C2860" s="17"/>
    </row>
    <row r="2861" spans="1:3" s="13" customFormat="1" x14ac:dyDescent="0.25">
      <c r="A2861" s="15"/>
      <c r="B2861" s="16"/>
      <c r="C2861" s="17"/>
    </row>
    <row r="2862" spans="1:3" s="13" customFormat="1" x14ac:dyDescent="0.25">
      <c r="A2862" s="15"/>
      <c r="B2862" s="16"/>
      <c r="C2862" s="17"/>
    </row>
    <row r="2863" spans="1:3" s="13" customFormat="1" x14ac:dyDescent="0.25">
      <c r="A2863" s="15"/>
      <c r="B2863" s="16"/>
      <c r="C2863" s="17"/>
    </row>
    <row r="2864" spans="1:3" s="13" customFormat="1" x14ac:dyDescent="0.25">
      <c r="A2864" s="15"/>
      <c r="B2864" s="16"/>
      <c r="C2864" s="17"/>
    </row>
    <row r="2865" spans="1:3" s="13" customFormat="1" x14ac:dyDescent="0.25">
      <c r="A2865" s="15"/>
      <c r="B2865" s="16"/>
      <c r="C2865" s="17"/>
    </row>
    <row r="2866" spans="1:3" s="13" customFormat="1" x14ac:dyDescent="0.25">
      <c r="A2866" s="15"/>
      <c r="B2866" s="16"/>
      <c r="C2866" s="17"/>
    </row>
    <row r="2867" spans="1:3" s="13" customFormat="1" x14ac:dyDescent="0.25">
      <c r="A2867" s="15"/>
      <c r="B2867" s="16"/>
      <c r="C2867" s="17"/>
    </row>
    <row r="2868" spans="1:3" s="13" customFormat="1" x14ac:dyDescent="0.25">
      <c r="A2868" s="15"/>
      <c r="B2868" s="16"/>
      <c r="C2868" s="17"/>
    </row>
    <row r="2869" spans="1:3" s="13" customFormat="1" x14ac:dyDescent="0.25">
      <c r="A2869" s="15"/>
      <c r="B2869" s="16"/>
      <c r="C2869" s="17"/>
    </row>
    <row r="2870" spans="1:3" s="13" customFormat="1" x14ac:dyDescent="0.25">
      <c r="A2870" s="15"/>
      <c r="B2870" s="16"/>
      <c r="C2870" s="17"/>
    </row>
    <row r="2871" spans="1:3" s="13" customFormat="1" x14ac:dyDescent="0.25">
      <c r="A2871" s="15"/>
      <c r="B2871" s="16"/>
      <c r="C2871" s="17"/>
    </row>
    <row r="2872" spans="1:3" s="13" customFormat="1" x14ac:dyDescent="0.25">
      <c r="A2872" s="15"/>
      <c r="B2872" s="16"/>
      <c r="C2872" s="17"/>
    </row>
    <row r="2873" spans="1:3" s="13" customFormat="1" x14ac:dyDescent="0.25">
      <c r="A2873" s="15"/>
      <c r="B2873" s="16"/>
      <c r="C2873" s="17"/>
    </row>
    <row r="2874" spans="1:3" s="13" customFormat="1" x14ac:dyDescent="0.25">
      <c r="A2874" s="15"/>
      <c r="B2874" s="16"/>
      <c r="C2874" s="17"/>
    </row>
    <row r="2875" spans="1:3" s="13" customFormat="1" x14ac:dyDescent="0.25">
      <c r="A2875" s="15"/>
      <c r="B2875" s="16"/>
      <c r="C2875" s="17"/>
    </row>
    <row r="2876" spans="1:3" s="13" customFormat="1" x14ac:dyDescent="0.25">
      <c r="A2876" s="15"/>
      <c r="B2876" s="16"/>
      <c r="C2876" s="17"/>
    </row>
    <row r="2877" spans="1:3" s="13" customFormat="1" x14ac:dyDescent="0.25">
      <c r="A2877" s="15"/>
      <c r="B2877" s="16"/>
      <c r="C2877" s="17"/>
    </row>
    <row r="2878" spans="1:3" s="13" customFormat="1" x14ac:dyDescent="0.25">
      <c r="A2878" s="15"/>
      <c r="B2878" s="16"/>
      <c r="C2878" s="17"/>
    </row>
    <row r="2879" spans="1:3" s="13" customFormat="1" x14ac:dyDescent="0.25">
      <c r="A2879" s="15"/>
      <c r="B2879" s="16"/>
      <c r="C2879" s="17"/>
    </row>
    <row r="2880" spans="1:3" s="13" customFormat="1" x14ac:dyDescent="0.25">
      <c r="A2880" s="15"/>
      <c r="B2880" s="16"/>
      <c r="C2880" s="17"/>
    </row>
    <row r="2881" spans="1:3" s="13" customFormat="1" x14ac:dyDescent="0.25">
      <c r="A2881" s="15"/>
      <c r="B2881" s="16"/>
      <c r="C2881" s="17"/>
    </row>
    <row r="2882" spans="1:3" s="13" customFormat="1" x14ac:dyDescent="0.25">
      <c r="A2882" s="15"/>
      <c r="B2882" s="16"/>
      <c r="C2882" s="17"/>
    </row>
    <row r="2883" spans="1:3" s="13" customFormat="1" x14ac:dyDescent="0.25">
      <c r="A2883" s="15"/>
      <c r="B2883" s="16"/>
      <c r="C2883" s="17"/>
    </row>
    <row r="2884" spans="1:3" s="13" customFormat="1" x14ac:dyDescent="0.25">
      <c r="A2884" s="15"/>
      <c r="B2884" s="16"/>
      <c r="C2884" s="17"/>
    </row>
    <row r="2885" spans="1:3" s="13" customFormat="1" x14ac:dyDescent="0.25">
      <c r="A2885" s="15"/>
      <c r="B2885" s="16"/>
      <c r="C2885" s="17"/>
    </row>
    <row r="2886" spans="1:3" s="13" customFormat="1" x14ac:dyDescent="0.25">
      <c r="A2886" s="15"/>
      <c r="B2886" s="16"/>
      <c r="C2886" s="17"/>
    </row>
    <row r="2887" spans="1:3" s="13" customFormat="1" x14ac:dyDescent="0.25">
      <c r="A2887" s="15"/>
      <c r="B2887" s="16"/>
      <c r="C2887" s="17"/>
    </row>
    <row r="2888" spans="1:3" s="13" customFormat="1" x14ac:dyDescent="0.25">
      <c r="A2888" s="15"/>
      <c r="B2888" s="16"/>
      <c r="C2888" s="17"/>
    </row>
    <row r="2889" spans="1:3" s="13" customFormat="1" x14ac:dyDescent="0.25">
      <c r="A2889" s="15"/>
      <c r="B2889" s="16"/>
      <c r="C2889" s="17"/>
    </row>
    <row r="2890" spans="1:3" s="13" customFormat="1" x14ac:dyDescent="0.25">
      <c r="A2890" s="15"/>
      <c r="B2890" s="16"/>
      <c r="C2890" s="17"/>
    </row>
    <row r="2891" spans="1:3" s="13" customFormat="1" x14ac:dyDescent="0.25">
      <c r="A2891" s="15"/>
      <c r="B2891" s="16"/>
      <c r="C2891" s="17"/>
    </row>
    <row r="2892" spans="1:3" s="13" customFormat="1" x14ac:dyDescent="0.25">
      <c r="A2892" s="15"/>
      <c r="B2892" s="16"/>
      <c r="C2892" s="17"/>
    </row>
    <row r="2893" spans="1:3" s="13" customFormat="1" x14ac:dyDescent="0.25">
      <c r="A2893" s="15"/>
      <c r="B2893" s="16"/>
      <c r="C2893" s="17"/>
    </row>
    <row r="2894" spans="1:3" s="13" customFormat="1" x14ac:dyDescent="0.25">
      <c r="A2894" s="15"/>
      <c r="B2894" s="16"/>
      <c r="C2894" s="17"/>
    </row>
    <row r="2895" spans="1:3" s="13" customFormat="1" x14ac:dyDescent="0.25">
      <c r="A2895" s="15"/>
      <c r="B2895" s="16"/>
      <c r="C2895" s="17"/>
    </row>
    <row r="2896" spans="1:3" s="13" customFormat="1" x14ac:dyDescent="0.25">
      <c r="A2896" s="15"/>
      <c r="B2896" s="16"/>
      <c r="C2896" s="17"/>
    </row>
    <row r="2897" spans="1:3" s="13" customFormat="1" x14ac:dyDescent="0.25">
      <c r="A2897" s="15"/>
      <c r="B2897" s="16"/>
      <c r="C2897" s="17"/>
    </row>
    <row r="2898" spans="1:3" s="13" customFormat="1" x14ac:dyDescent="0.25">
      <c r="A2898" s="15"/>
      <c r="B2898" s="16"/>
      <c r="C2898" s="17"/>
    </row>
    <row r="2899" spans="1:3" s="13" customFormat="1" x14ac:dyDescent="0.25">
      <c r="A2899" s="15"/>
      <c r="B2899" s="16"/>
      <c r="C2899" s="17"/>
    </row>
    <row r="2900" spans="1:3" s="13" customFormat="1" x14ac:dyDescent="0.25">
      <c r="A2900" s="15"/>
      <c r="B2900" s="16"/>
      <c r="C2900" s="17"/>
    </row>
    <row r="2901" spans="1:3" s="13" customFormat="1" x14ac:dyDescent="0.25">
      <c r="A2901" s="15"/>
      <c r="B2901" s="16"/>
      <c r="C2901" s="17"/>
    </row>
    <row r="2902" spans="1:3" s="13" customFormat="1" x14ac:dyDescent="0.25">
      <c r="A2902" s="15"/>
      <c r="B2902" s="16"/>
      <c r="C2902" s="17"/>
    </row>
    <row r="2903" spans="1:3" s="13" customFormat="1" x14ac:dyDescent="0.25">
      <c r="A2903" s="15"/>
      <c r="B2903" s="16"/>
      <c r="C2903" s="17"/>
    </row>
    <row r="2904" spans="1:3" s="13" customFormat="1" x14ac:dyDescent="0.25">
      <c r="A2904" s="15"/>
      <c r="B2904" s="16"/>
      <c r="C2904" s="17"/>
    </row>
    <row r="2905" spans="1:3" s="13" customFormat="1" x14ac:dyDescent="0.25">
      <c r="A2905" s="15"/>
      <c r="B2905" s="16"/>
      <c r="C2905" s="17"/>
    </row>
    <row r="2906" spans="1:3" s="13" customFormat="1" x14ac:dyDescent="0.25">
      <c r="A2906" s="15"/>
      <c r="B2906" s="16"/>
      <c r="C2906" s="17"/>
    </row>
    <row r="2907" spans="1:3" s="13" customFormat="1" x14ac:dyDescent="0.25">
      <c r="A2907" s="15"/>
      <c r="B2907" s="16"/>
      <c r="C2907" s="17"/>
    </row>
    <row r="2908" spans="1:3" s="13" customFormat="1" x14ac:dyDescent="0.25">
      <c r="A2908" s="15"/>
      <c r="B2908" s="16"/>
      <c r="C2908" s="17"/>
    </row>
    <row r="2909" spans="1:3" s="13" customFormat="1" x14ac:dyDescent="0.25">
      <c r="A2909" s="15"/>
      <c r="B2909" s="16"/>
      <c r="C2909" s="17"/>
    </row>
    <row r="2910" spans="1:3" s="13" customFormat="1" x14ac:dyDescent="0.25">
      <c r="A2910" s="15"/>
      <c r="B2910" s="16"/>
      <c r="C2910" s="17"/>
    </row>
    <row r="2911" spans="1:3" s="13" customFormat="1" x14ac:dyDescent="0.25">
      <c r="A2911" s="15"/>
      <c r="B2911" s="16"/>
      <c r="C2911" s="17"/>
    </row>
    <row r="2912" spans="1:3" s="13" customFormat="1" x14ac:dyDescent="0.25">
      <c r="A2912" s="15"/>
      <c r="B2912" s="16"/>
      <c r="C2912" s="17"/>
    </row>
    <row r="2913" spans="1:3" s="13" customFormat="1" x14ac:dyDescent="0.25">
      <c r="A2913" s="15"/>
      <c r="B2913" s="16"/>
      <c r="C2913" s="17"/>
    </row>
    <row r="2914" spans="1:3" s="13" customFormat="1" x14ac:dyDescent="0.25">
      <c r="A2914" s="15"/>
      <c r="B2914" s="16"/>
      <c r="C2914" s="17"/>
    </row>
    <row r="2915" spans="1:3" s="13" customFormat="1" x14ac:dyDescent="0.25">
      <c r="A2915" s="15"/>
      <c r="B2915" s="16"/>
      <c r="C2915" s="17"/>
    </row>
    <row r="2916" spans="1:3" s="13" customFormat="1" x14ac:dyDescent="0.25">
      <c r="A2916" s="15"/>
      <c r="B2916" s="16"/>
      <c r="C2916" s="17"/>
    </row>
    <row r="2917" spans="1:3" s="13" customFormat="1" x14ac:dyDescent="0.25">
      <c r="A2917" s="15"/>
      <c r="B2917" s="16"/>
      <c r="C2917" s="17"/>
    </row>
    <row r="2918" spans="1:3" s="13" customFormat="1" x14ac:dyDescent="0.25">
      <c r="A2918" s="15"/>
      <c r="B2918" s="16"/>
      <c r="C2918" s="17"/>
    </row>
    <row r="2919" spans="1:3" s="13" customFormat="1" x14ac:dyDescent="0.25">
      <c r="A2919" s="15"/>
      <c r="B2919" s="16"/>
      <c r="C2919" s="17"/>
    </row>
    <row r="2920" spans="1:3" s="13" customFormat="1" x14ac:dyDescent="0.25">
      <c r="A2920" s="15"/>
      <c r="B2920" s="16"/>
      <c r="C2920" s="17"/>
    </row>
    <row r="2921" spans="1:3" s="13" customFormat="1" x14ac:dyDescent="0.25">
      <c r="A2921" s="15"/>
      <c r="B2921" s="16"/>
      <c r="C2921" s="17"/>
    </row>
    <row r="2922" spans="1:3" s="13" customFormat="1" x14ac:dyDescent="0.25">
      <c r="A2922" s="15"/>
      <c r="B2922" s="16"/>
      <c r="C2922" s="17"/>
    </row>
    <row r="2923" spans="1:3" s="13" customFormat="1" x14ac:dyDescent="0.25">
      <c r="A2923" s="15"/>
      <c r="B2923" s="16"/>
      <c r="C2923" s="17"/>
    </row>
    <row r="2924" spans="1:3" s="13" customFormat="1" x14ac:dyDescent="0.25">
      <c r="A2924" s="15"/>
      <c r="B2924" s="16"/>
      <c r="C2924" s="17"/>
    </row>
    <row r="2925" spans="1:3" s="13" customFormat="1" x14ac:dyDescent="0.25">
      <c r="A2925" s="15"/>
      <c r="B2925" s="16"/>
      <c r="C2925" s="17"/>
    </row>
    <row r="2926" spans="1:3" s="13" customFormat="1" x14ac:dyDescent="0.25">
      <c r="A2926" s="15"/>
      <c r="B2926" s="16"/>
      <c r="C2926" s="17"/>
    </row>
    <row r="2927" spans="1:3" s="13" customFormat="1" x14ac:dyDescent="0.25">
      <c r="A2927" s="15"/>
      <c r="B2927" s="16"/>
      <c r="C2927" s="17"/>
    </row>
    <row r="2928" spans="1:3" s="13" customFormat="1" x14ac:dyDescent="0.25">
      <c r="A2928" s="15"/>
      <c r="B2928" s="16"/>
      <c r="C2928" s="17"/>
    </row>
    <row r="2929" spans="1:3" s="13" customFormat="1" x14ac:dyDescent="0.25">
      <c r="A2929" s="15"/>
      <c r="B2929" s="16"/>
      <c r="C2929" s="17"/>
    </row>
    <row r="2930" spans="1:3" s="13" customFormat="1" x14ac:dyDescent="0.25">
      <c r="A2930" s="15"/>
      <c r="B2930" s="16"/>
      <c r="C2930" s="17"/>
    </row>
    <row r="2931" spans="1:3" s="13" customFormat="1" x14ac:dyDescent="0.25">
      <c r="A2931" s="15"/>
      <c r="B2931" s="16"/>
      <c r="C2931" s="17"/>
    </row>
    <row r="2932" spans="1:3" s="13" customFormat="1" x14ac:dyDescent="0.25">
      <c r="A2932" s="15"/>
      <c r="B2932" s="16"/>
      <c r="C2932" s="17"/>
    </row>
    <row r="2933" spans="1:3" s="13" customFormat="1" x14ac:dyDescent="0.25">
      <c r="A2933" s="15"/>
      <c r="B2933" s="16"/>
      <c r="C2933" s="17"/>
    </row>
    <row r="2934" spans="1:3" s="13" customFormat="1" x14ac:dyDescent="0.25">
      <c r="A2934" s="15"/>
      <c r="B2934" s="16"/>
      <c r="C2934" s="17"/>
    </row>
    <row r="2935" spans="1:3" s="13" customFormat="1" x14ac:dyDescent="0.25">
      <c r="A2935" s="15"/>
      <c r="B2935" s="16"/>
      <c r="C2935" s="17"/>
    </row>
    <row r="2936" spans="1:3" s="13" customFormat="1" x14ac:dyDescent="0.25">
      <c r="A2936" s="15"/>
      <c r="B2936" s="16"/>
      <c r="C2936" s="17"/>
    </row>
    <row r="2937" spans="1:3" s="13" customFormat="1" x14ac:dyDescent="0.25">
      <c r="A2937" s="15"/>
      <c r="B2937" s="16"/>
      <c r="C2937" s="17"/>
    </row>
    <row r="2938" spans="1:3" s="13" customFormat="1" x14ac:dyDescent="0.25">
      <c r="A2938" s="15"/>
      <c r="B2938" s="16"/>
      <c r="C2938" s="17"/>
    </row>
    <row r="2939" spans="1:3" s="13" customFormat="1" x14ac:dyDescent="0.25">
      <c r="A2939" s="15"/>
      <c r="B2939" s="16"/>
      <c r="C2939" s="17"/>
    </row>
    <row r="2940" spans="1:3" s="13" customFormat="1" x14ac:dyDescent="0.25">
      <c r="A2940" s="15"/>
      <c r="B2940" s="16"/>
      <c r="C2940" s="17"/>
    </row>
    <row r="2941" spans="1:3" s="13" customFormat="1" x14ac:dyDescent="0.25">
      <c r="A2941" s="15"/>
      <c r="B2941" s="16"/>
      <c r="C2941" s="17"/>
    </row>
    <row r="2942" spans="1:3" s="13" customFormat="1" x14ac:dyDescent="0.25">
      <c r="A2942" s="15"/>
      <c r="B2942" s="16"/>
      <c r="C2942" s="17"/>
    </row>
    <row r="2943" spans="1:3" s="13" customFormat="1" x14ac:dyDescent="0.25">
      <c r="A2943" s="15"/>
      <c r="B2943" s="16"/>
      <c r="C2943" s="17"/>
    </row>
    <row r="2944" spans="1:3" s="13" customFormat="1" x14ac:dyDescent="0.25">
      <c r="A2944" s="15"/>
      <c r="B2944" s="16"/>
      <c r="C2944" s="17"/>
    </row>
    <row r="2945" spans="1:3" s="13" customFormat="1" x14ac:dyDescent="0.25">
      <c r="A2945" s="15"/>
      <c r="B2945" s="16"/>
      <c r="C2945" s="17"/>
    </row>
    <row r="2946" spans="1:3" s="13" customFormat="1" x14ac:dyDescent="0.25">
      <c r="A2946" s="15"/>
      <c r="B2946" s="16"/>
      <c r="C2946" s="17"/>
    </row>
    <row r="2947" spans="1:3" s="13" customFormat="1" x14ac:dyDescent="0.25">
      <c r="A2947" s="15"/>
      <c r="B2947" s="16"/>
      <c r="C2947" s="17"/>
    </row>
    <row r="2948" spans="1:3" s="13" customFormat="1" x14ac:dyDescent="0.25">
      <c r="A2948" s="15"/>
      <c r="B2948" s="16"/>
      <c r="C2948" s="17"/>
    </row>
    <row r="2949" spans="1:3" s="13" customFormat="1" x14ac:dyDescent="0.25">
      <c r="A2949" s="15"/>
      <c r="B2949" s="16"/>
      <c r="C2949" s="17"/>
    </row>
    <row r="2950" spans="1:3" s="13" customFormat="1" x14ac:dyDescent="0.25">
      <c r="A2950" s="15"/>
      <c r="B2950" s="16"/>
      <c r="C2950" s="17"/>
    </row>
    <row r="2951" spans="1:3" s="13" customFormat="1" x14ac:dyDescent="0.25">
      <c r="A2951" s="15"/>
      <c r="B2951" s="16"/>
      <c r="C2951" s="17"/>
    </row>
    <row r="2952" spans="1:3" s="13" customFormat="1" x14ac:dyDescent="0.25">
      <c r="A2952" s="15"/>
      <c r="B2952" s="16"/>
      <c r="C2952" s="17"/>
    </row>
    <row r="2953" spans="1:3" s="13" customFormat="1" x14ac:dyDescent="0.25">
      <c r="A2953" s="15"/>
      <c r="B2953" s="16"/>
      <c r="C2953" s="17"/>
    </row>
    <row r="2954" spans="1:3" s="13" customFormat="1" x14ac:dyDescent="0.25">
      <c r="A2954" s="15"/>
      <c r="B2954" s="16"/>
      <c r="C2954" s="17"/>
    </row>
    <row r="2955" spans="1:3" s="13" customFormat="1" x14ac:dyDescent="0.25">
      <c r="A2955" s="15"/>
      <c r="B2955" s="16"/>
      <c r="C2955" s="17"/>
    </row>
    <row r="2956" spans="1:3" s="13" customFormat="1" x14ac:dyDescent="0.25">
      <c r="A2956" s="15"/>
      <c r="B2956" s="16"/>
      <c r="C2956" s="17"/>
    </row>
    <row r="2957" spans="1:3" s="13" customFormat="1" x14ac:dyDescent="0.25">
      <c r="A2957" s="15"/>
      <c r="B2957" s="16"/>
      <c r="C2957" s="17"/>
    </row>
    <row r="2958" spans="1:3" s="13" customFormat="1" x14ac:dyDescent="0.25">
      <c r="A2958" s="15"/>
      <c r="B2958" s="16"/>
      <c r="C2958" s="17"/>
    </row>
    <row r="2959" spans="1:3" s="13" customFormat="1" x14ac:dyDescent="0.25">
      <c r="A2959" s="15"/>
      <c r="B2959" s="16"/>
      <c r="C2959" s="17"/>
    </row>
    <row r="2960" spans="1:3" s="13" customFormat="1" x14ac:dyDescent="0.25">
      <c r="A2960" s="15"/>
      <c r="B2960" s="16"/>
      <c r="C2960" s="17"/>
    </row>
    <row r="2961" spans="1:3" s="13" customFormat="1" x14ac:dyDescent="0.25">
      <c r="A2961" s="15"/>
      <c r="B2961" s="16"/>
      <c r="C2961" s="17"/>
    </row>
    <row r="2962" spans="1:3" s="13" customFormat="1" x14ac:dyDescent="0.25">
      <c r="A2962" s="15"/>
      <c r="B2962" s="16"/>
      <c r="C2962" s="17"/>
    </row>
    <row r="2963" spans="1:3" s="13" customFormat="1" x14ac:dyDescent="0.25">
      <c r="A2963" s="15"/>
      <c r="B2963" s="16"/>
      <c r="C2963" s="17"/>
    </row>
    <row r="2964" spans="1:3" s="13" customFormat="1" x14ac:dyDescent="0.25">
      <c r="A2964" s="15"/>
      <c r="B2964" s="16"/>
      <c r="C2964" s="17"/>
    </row>
    <row r="2965" spans="1:3" s="13" customFormat="1" x14ac:dyDescent="0.25">
      <c r="A2965" s="15"/>
      <c r="B2965" s="16"/>
      <c r="C2965" s="17"/>
    </row>
    <row r="2966" spans="1:3" s="13" customFormat="1" x14ac:dyDescent="0.25">
      <c r="A2966" s="15"/>
      <c r="B2966" s="16"/>
      <c r="C2966" s="17"/>
    </row>
    <row r="2967" spans="1:3" s="13" customFormat="1" x14ac:dyDescent="0.25">
      <c r="A2967" s="15"/>
      <c r="B2967" s="16"/>
      <c r="C2967" s="17"/>
    </row>
    <row r="2968" spans="1:3" s="13" customFormat="1" x14ac:dyDescent="0.25">
      <c r="A2968" s="15"/>
      <c r="B2968" s="16"/>
      <c r="C2968" s="17"/>
    </row>
    <row r="2969" spans="1:3" s="13" customFormat="1" x14ac:dyDescent="0.25">
      <c r="A2969" s="15"/>
      <c r="B2969" s="16"/>
      <c r="C2969" s="17"/>
    </row>
    <row r="2970" spans="1:3" s="13" customFormat="1" x14ac:dyDescent="0.25">
      <c r="A2970" s="15"/>
      <c r="B2970" s="16"/>
      <c r="C2970" s="17"/>
    </row>
    <row r="2971" spans="1:3" s="13" customFormat="1" x14ac:dyDescent="0.25">
      <c r="A2971" s="15"/>
      <c r="B2971" s="16"/>
      <c r="C2971" s="17"/>
    </row>
    <row r="2972" spans="1:3" s="13" customFormat="1" x14ac:dyDescent="0.25">
      <c r="A2972" s="15"/>
      <c r="B2972" s="16"/>
      <c r="C2972" s="17"/>
    </row>
    <row r="2973" spans="1:3" s="13" customFormat="1" x14ac:dyDescent="0.25">
      <c r="A2973" s="15"/>
      <c r="B2973" s="16"/>
      <c r="C2973" s="17"/>
    </row>
    <row r="2974" spans="1:3" s="13" customFormat="1" x14ac:dyDescent="0.25">
      <c r="A2974" s="15"/>
      <c r="B2974" s="16"/>
      <c r="C2974" s="17"/>
    </row>
    <row r="2975" spans="1:3" s="13" customFormat="1" x14ac:dyDescent="0.25">
      <c r="A2975" s="15"/>
      <c r="B2975" s="16"/>
      <c r="C2975" s="17"/>
    </row>
    <row r="2976" spans="1:3" s="13" customFormat="1" x14ac:dyDescent="0.25">
      <c r="A2976" s="15"/>
      <c r="B2976" s="16"/>
      <c r="C2976" s="17"/>
    </row>
    <row r="2977" spans="1:3" s="13" customFormat="1" x14ac:dyDescent="0.25">
      <c r="A2977" s="15"/>
      <c r="B2977" s="16"/>
      <c r="C2977" s="17"/>
    </row>
    <row r="2978" spans="1:3" s="13" customFormat="1" x14ac:dyDescent="0.25">
      <c r="A2978" s="15"/>
      <c r="B2978" s="16"/>
      <c r="C2978" s="17"/>
    </row>
    <row r="2979" spans="1:3" s="13" customFormat="1" x14ac:dyDescent="0.25">
      <c r="A2979" s="15"/>
      <c r="B2979" s="16"/>
      <c r="C2979" s="17"/>
    </row>
    <row r="2980" spans="1:3" s="13" customFormat="1" x14ac:dyDescent="0.25">
      <c r="A2980" s="15"/>
      <c r="B2980" s="16"/>
      <c r="C2980" s="17"/>
    </row>
    <row r="2981" spans="1:3" s="13" customFormat="1" x14ac:dyDescent="0.25">
      <c r="A2981" s="15"/>
      <c r="B2981" s="16"/>
      <c r="C2981" s="17"/>
    </row>
    <row r="2982" spans="1:3" s="13" customFormat="1" x14ac:dyDescent="0.25">
      <c r="A2982" s="15"/>
      <c r="B2982" s="16"/>
      <c r="C2982" s="17"/>
    </row>
    <row r="2983" spans="1:3" s="13" customFormat="1" x14ac:dyDescent="0.25">
      <c r="A2983" s="15"/>
      <c r="B2983" s="16"/>
      <c r="C2983" s="17"/>
    </row>
    <row r="2984" spans="1:3" s="13" customFormat="1" x14ac:dyDescent="0.25">
      <c r="A2984" s="15"/>
      <c r="B2984" s="16"/>
      <c r="C2984" s="17"/>
    </row>
    <row r="2985" spans="1:3" s="13" customFormat="1" x14ac:dyDescent="0.25">
      <c r="A2985" s="15"/>
      <c r="B2985" s="16"/>
      <c r="C2985" s="17"/>
    </row>
    <row r="2986" spans="1:3" s="13" customFormat="1" x14ac:dyDescent="0.25">
      <c r="A2986" s="15"/>
      <c r="B2986" s="16"/>
      <c r="C2986" s="17"/>
    </row>
    <row r="2987" spans="1:3" s="13" customFormat="1" x14ac:dyDescent="0.25">
      <c r="A2987" s="15"/>
      <c r="B2987" s="16"/>
      <c r="C2987" s="17"/>
    </row>
    <row r="2988" spans="1:3" s="13" customFormat="1" x14ac:dyDescent="0.25">
      <c r="A2988" s="15"/>
      <c r="B2988" s="16"/>
      <c r="C2988" s="17"/>
    </row>
    <row r="2989" spans="1:3" s="13" customFormat="1" x14ac:dyDescent="0.25">
      <c r="A2989" s="15"/>
      <c r="B2989" s="16"/>
      <c r="C2989" s="17"/>
    </row>
    <row r="2990" spans="1:3" s="13" customFormat="1" x14ac:dyDescent="0.25">
      <c r="A2990" s="15"/>
      <c r="B2990" s="16"/>
      <c r="C2990" s="17"/>
    </row>
    <row r="2991" spans="1:3" s="13" customFormat="1" x14ac:dyDescent="0.25">
      <c r="A2991" s="15"/>
      <c r="B2991" s="16"/>
      <c r="C2991" s="17"/>
    </row>
    <row r="2992" spans="1:3" s="13" customFormat="1" x14ac:dyDescent="0.25">
      <c r="A2992" s="15"/>
      <c r="B2992" s="16"/>
      <c r="C2992" s="17"/>
    </row>
    <row r="2993" spans="1:3" s="13" customFormat="1" x14ac:dyDescent="0.25">
      <c r="A2993" s="15"/>
      <c r="B2993" s="16"/>
      <c r="C2993" s="17"/>
    </row>
    <row r="2994" spans="1:3" s="13" customFormat="1" x14ac:dyDescent="0.25">
      <c r="A2994" s="15"/>
      <c r="B2994" s="16"/>
      <c r="C2994" s="17"/>
    </row>
    <row r="2995" spans="1:3" s="13" customFormat="1" x14ac:dyDescent="0.25">
      <c r="A2995" s="15"/>
      <c r="B2995" s="16"/>
      <c r="C2995" s="17"/>
    </row>
    <row r="2996" spans="1:3" s="13" customFormat="1" x14ac:dyDescent="0.25">
      <c r="A2996" s="15"/>
      <c r="B2996" s="16"/>
      <c r="C2996" s="17"/>
    </row>
    <row r="2997" spans="1:3" s="13" customFormat="1" x14ac:dyDescent="0.25">
      <c r="A2997" s="15"/>
      <c r="B2997" s="16"/>
      <c r="C2997" s="17"/>
    </row>
    <row r="2998" spans="1:3" s="13" customFormat="1" x14ac:dyDescent="0.25">
      <c r="A2998" s="15"/>
      <c r="B2998" s="16"/>
      <c r="C2998" s="17"/>
    </row>
    <row r="2999" spans="1:3" s="13" customFormat="1" x14ac:dyDescent="0.25">
      <c r="A2999" s="15"/>
      <c r="B2999" s="16"/>
      <c r="C2999" s="17"/>
    </row>
    <row r="3000" spans="1:3" s="13" customFormat="1" x14ac:dyDescent="0.25">
      <c r="A3000" s="15"/>
      <c r="B3000" s="16"/>
      <c r="C3000" s="17"/>
    </row>
    <row r="3001" spans="1:3" s="13" customFormat="1" x14ac:dyDescent="0.25">
      <c r="A3001" s="15"/>
      <c r="B3001" s="16"/>
      <c r="C3001" s="17"/>
    </row>
    <row r="3002" spans="1:3" s="13" customFormat="1" x14ac:dyDescent="0.25">
      <c r="A3002" s="15"/>
      <c r="B3002" s="16"/>
      <c r="C3002" s="17"/>
    </row>
    <row r="3003" spans="1:3" s="13" customFormat="1" x14ac:dyDescent="0.25">
      <c r="A3003" s="15"/>
      <c r="B3003" s="16"/>
      <c r="C3003" s="17"/>
    </row>
    <row r="3004" spans="1:3" s="13" customFormat="1" x14ac:dyDescent="0.25">
      <c r="A3004" s="15"/>
      <c r="B3004" s="16"/>
      <c r="C3004" s="17"/>
    </row>
    <row r="3005" spans="1:3" s="13" customFormat="1" x14ac:dyDescent="0.25">
      <c r="A3005" s="15"/>
      <c r="B3005" s="16"/>
      <c r="C3005" s="17"/>
    </row>
    <row r="3006" spans="1:3" s="13" customFormat="1" x14ac:dyDescent="0.25">
      <c r="A3006" s="15"/>
      <c r="B3006" s="16"/>
      <c r="C3006" s="17"/>
    </row>
    <row r="3007" spans="1:3" s="13" customFormat="1" x14ac:dyDescent="0.25">
      <c r="A3007" s="15"/>
      <c r="B3007" s="16"/>
      <c r="C3007" s="17"/>
    </row>
    <row r="3008" spans="1:3" s="13" customFormat="1" x14ac:dyDescent="0.25">
      <c r="A3008" s="15"/>
      <c r="B3008" s="16"/>
      <c r="C3008" s="17"/>
    </row>
    <row r="3009" spans="1:3" s="13" customFormat="1" x14ac:dyDescent="0.25">
      <c r="A3009" s="15"/>
      <c r="B3009" s="16"/>
      <c r="C3009" s="17"/>
    </row>
    <row r="3010" spans="1:3" s="13" customFormat="1" x14ac:dyDescent="0.25">
      <c r="A3010" s="15"/>
      <c r="B3010" s="16"/>
      <c r="C3010" s="17"/>
    </row>
    <row r="3011" spans="1:3" s="13" customFormat="1" x14ac:dyDescent="0.25">
      <c r="A3011" s="15"/>
      <c r="B3011" s="16"/>
      <c r="C3011" s="17"/>
    </row>
    <row r="3012" spans="1:3" s="13" customFormat="1" x14ac:dyDescent="0.25">
      <c r="A3012" s="15"/>
      <c r="B3012" s="16"/>
      <c r="C3012" s="17"/>
    </row>
    <row r="3013" spans="1:3" s="13" customFormat="1" x14ac:dyDescent="0.25">
      <c r="A3013" s="15"/>
      <c r="B3013" s="16"/>
      <c r="C3013" s="17"/>
    </row>
    <row r="3014" spans="1:3" s="13" customFormat="1" x14ac:dyDescent="0.25">
      <c r="A3014" s="15"/>
      <c r="B3014" s="16"/>
      <c r="C3014" s="17"/>
    </row>
    <row r="3015" spans="1:3" s="13" customFormat="1" x14ac:dyDescent="0.25">
      <c r="A3015" s="15"/>
      <c r="B3015" s="16"/>
      <c r="C3015" s="17"/>
    </row>
    <row r="3016" spans="1:3" s="13" customFormat="1" x14ac:dyDescent="0.25">
      <c r="A3016" s="15"/>
      <c r="B3016" s="16"/>
      <c r="C3016" s="17"/>
    </row>
    <row r="3017" spans="1:3" s="13" customFormat="1" x14ac:dyDescent="0.25">
      <c r="A3017" s="15"/>
      <c r="B3017" s="16"/>
      <c r="C3017" s="17"/>
    </row>
    <row r="3018" spans="1:3" s="13" customFormat="1" x14ac:dyDescent="0.25">
      <c r="A3018" s="15"/>
      <c r="B3018" s="16"/>
      <c r="C3018" s="17"/>
    </row>
    <row r="3019" spans="1:3" s="13" customFormat="1" x14ac:dyDescent="0.25">
      <c r="A3019" s="15"/>
      <c r="B3019" s="16"/>
      <c r="C3019" s="17"/>
    </row>
    <row r="3020" spans="1:3" s="13" customFormat="1" x14ac:dyDescent="0.25">
      <c r="A3020" s="15"/>
      <c r="B3020" s="16"/>
      <c r="C3020" s="17"/>
    </row>
    <row r="3021" spans="1:3" s="13" customFormat="1" x14ac:dyDescent="0.25">
      <c r="A3021" s="15"/>
      <c r="B3021" s="16"/>
      <c r="C3021" s="17"/>
    </row>
    <row r="3022" spans="1:3" s="13" customFormat="1" x14ac:dyDescent="0.25">
      <c r="A3022" s="15"/>
      <c r="B3022" s="16"/>
      <c r="C3022" s="17"/>
    </row>
    <row r="3023" spans="1:3" s="13" customFormat="1" x14ac:dyDescent="0.25">
      <c r="A3023" s="15"/>
      <c r="B3023" s="16"/>
      <c r="C3023" s="17"/>
    </row>
    <row r="3024" spans="1:3" s="13" customFormat="1" x14ac:dyDescent="0.25">
      <c r="A3024" s="15"/>
      <c r="B3024" s="16"/>
      <c r="C3024" s="17"/>
    </row>
    <row r="3025" spans="1:3" s="13" customFormat="1" x14ac:dyDescent="0.25">
      <c r="A3025" s="15"/>
      <c r="B3025" s="16"/>
      <c r="C3025" s="17"/>
    </row>
    <row r="3026" spans="1:3" s="13" customFormat="1" x14ac:dyDescent="0.25">
      <c r="A3026" s="15"/>
      <c r="B3026" s="16"/>
      <c r="C3026" s="17"/>
    </row>
    <row r="3027" spans="1:3" s="13" customFormat="1" x14ac:dyDescent="0.25">
      <c r="A3027" s="15"/>
      <c r="B3027" s="16"/>
      <c r="C3027" s="17"/>
    </row>
    <row r="3028" spans="1:3" s="13" customFormat="1" x14ac:dyDescent="0.25">
      <c r="A3028" s="15"/>
      <c r="B3028" s="16"/>
      <c r="C3028" s="17"/>
    </row>
    <row r="3029" spans="1:3" s="13" customFormat="1" x14ac:dyDescent="0.25">
      <c r="A3029" s="15"/>
      <c r="B3029" s="16"/>
      <c r="C3029" s="17"/>
    </row>
    <row r="3030" spans="1:3" s="13" customFormat="1" x14ac:dyDescent="0.25">
      <c r="A3030" s="15"/>
      <c r="B3030" s="16"/>
      <c r="C3030" s="17"/>
    </row>
    <row r="3031" spans="1:3" s="13" customFormat="1" x14ac:dyDescent="0.25">
      <c r="A3031" s="15"/>
      <c r="B3031" s="16"/>
      <c r="C3031" s="17"/>
    </row>
    <row r="3032" spans="1:3" s="13" customFormat="1" x14ac:dyDescent="0.25">
      <c r="A3032" s="15"/>
      <c r="B3032" s="16"/>
      <c r="C3032" s="17"/>
    </row>
    <row r="3033" spans="1:3" s="13" customFormat="1" x14ac:dyDescent="0.25">
      <c r="A3033" s="15"/>
      <c r="B3033" s="16"/>
      <c r="C3033" s="17"/>
    </row>
    <row r="3034" spans="1:3" s="13" customFormat="1" x14ac:dyDescent="0.25">
      <c r="A3034" s="15"/>
      <c r="B3034" s="16"/>
      <c r="C3034" s="17"/>
    </row>
    <row r="3035" spans="1:3" s="13" customFormat="1" x14ac:dyDescent="0.25">
      <c r="A3035" s="15"/>
      <c r="B3035" s="16"/>
      <c r="C3035" s="17"/>
    </row>
    <row r="3036" spans="1:3" s="13" customFormat="1" x14ac:dyDescent="0.25">
      <c r="A3036" s="15"/>
      <c r="B3036" s="16"/>
      <c r="C3036" s="17"/>
    </row>
    <row r="3037" spans="1:3" s="13" customFormat="1" x14ac:dyDescent="0.25">
      <c r="A3037" s="15"/>
      <c r="B3037" s="16"/>
      <c r="C3037" s="17"/>
    </row>
    <row r="3038" spans="1:3" s="13" customFormat="1" x14ac:dyDescent="0.25">
      <c r="A3038" s="15"/>
      <c r="B3038" s="16"/>
      <c r="C3038" s="17"/>
    </row>
    <row r="3039" spans="1:3" s="13" customFormat="1" x14ac:dyDescent="0.25">
      <c r="A3039" s="15"/>
      <c r="B3039" s="16"/>
      <c r="C3039" s="17"/>
    </row>
    <row r="3040" spans="1:3" s="13" customFormat="1" x14ac:dyDescent="0.25">
      <c r="A3040" s="15"/>
      <c r="B3040" s="16"/>
      <c r="C3040" s="17"/>
    </row>
    <row r="3041" spans="1:3" s="13" customFormat="1" x14ac:dyDescent="0.25">
      <c r="A3041" s="15"/>
      <c r="B3041" s="16"/>
      <c r="C3041" s="17"/>
    </row>
    <row r="3042" spans="1:3" s="13" customFormat="1" x14ac:dyDescent="0.25">
      <c r="A3042" s="15"/>
      <c r="B3042" s="16"/>
      <c r="C3042" s="17"/>
    </row>
    <row r="3043" spans="1:3" s="13" customFormat="1" x14ac:dyDescent="0.25">
      <c r="A3043" s="15"/>
      <c r="B3043" s="16"/>
      <c r="C3043" s="17"/>
    </row>
    <row r="3044" spans="1:3" s="13" customFormat="1" x14ac:dyDescent="0.25">
      <c r="A3044" s="15"/>
      <c r="B3044" s="16"/>
      <c r="C3044" s="17"/>
    </row>
    <row r="3045" spans="1:3" s="13" customFormat="1" x14ac:dyDescent="0.25">
      <c r="A3045" s="15"/>
      <c r="B3045" s="16"/>
      <c r="C3045" s="17"/>
    </row>
    <row r="3046" spans="1:3" s="13" customFormat="1" x14ac:dyDescent="0.25">
      <c r="A3046" s="15"/>
      <c r="B3046" s="16"/>
      <c r="C3046" s="17"/>
    </row>
    <row r="3047" spans="1:3" s="13" customFormat="1" x14ac:dyDescent="0.25">
      <c r="A3047" s="15"/>
      <c r="B3047" s="16"/>
      <c r="C3047" s="17"/>
    </row>
    <row r="3048" spans="1:3" s="13" customFormat="1" x14ac:dyDescent="0.25">
      <c r="A3048" s="15"/>
      <c r="B3048" s="16"/>
      <c r="C3048" s="17"/>
    </row>
    <row r="3049" spans="1:3" s="13" customFormat="1" x14ac:dyDescent="0.25">
      <c r="A3049" s="15"/>
      <c r="B3049" s="16"/>
      <c r="C3049" s="17"/>
    </row>
    <row r="3050" spans="1:3" s="13" customFormat="1" x14ac:dyDescent="0.25">
      <c r="A3050" s="15"/>
      <c r="B3050" s="16"/>
      <c r="C3050" s="17"/>
    </row>
    <row r="3051" spans="1:3" s="13" customFormat="1" x14ac:dyDescent="0.25">
      <c r="A3051" s="15"/>
      <c r="B3051" s="16"/>
      <c r="C3051" s="17"/>
    </row>
    <row r="3052" spans="1:3" s="13" customFormat="1" x14ac:dyDescent="0.25">
      <c r="A3052" s="15"/>
      <c r="B3052" s="16"/>
      <c r="C3052" s="17"/>
    </row>
    <row r="3053" spans="1:3" s="13" customFormat="1" x14ac:dyDescent="0.25">
      <c r="A3053" s="15"/>
      <c r="B3053" s="16"/>
      <c r="C3053" s="17"/>
    </row>
    <row r="3054" spans="1:3" s="13" customFormat="1" x14ac:dyDescent="0.25">
      <c r="A3054" s="15"/>
      <c r="B3054" s="16"/>
      <c r="C3054" s="17"/>
    </row>
    <row r="3055" spans="1:3" s="13" customFormat="1" x14ac:dyDescent="0.25">
      <c r="A3055" s="15"/>
      <c r="B3055" s="16"/>
      <c r="C3055" s="17"/>
    </row>
    <row r="3056" spans="1:3" s="13" customFormat="1" x14ac:dyDescent="0.25">
      <c r="A3056" s="15"/>
      <c r="B3056" s="16"/>
      <c r="C3056" s="17"/>
    </row>
    <row r="3057" spans="1:3" s="13" customFormat="1" x14ac:dyDescent="0.25">
      <c r="A3057" s="15"/>
      <c r="B3057" s="16"/>
      <c r="C3057" s="17"/>
    </row>
    <row r="3058" spans="1:3" s="13" customFormat="1" x14ac:dyDescent="0.25">
      <c r="A3058" s="15"/>
      <c r="B3058" s="16"/>
      <c r="C3058" s="17"/>
    </row>
    <row r="3059" spans="1:3" s="13" customFormat="1" x14ac:dyDescent="0.25">
      <c r="A3059" s="15"/>
      <c r="B3059" s="16"/>
      <c r="C3059" s="17"/>
    </row>
    <row r="3060" spans="1:3" s="13" customFormat="1" x14ac:dyDescent="0.25">
      <c r="A3060" s="15"/>
      <c r="B3060" s="16"/>
      <c r="C3060" s="17"/>
    </row>
    <row r="3061" spans="1:3" s="13" customFormat="1" x14ac:dyDescent="0.25">
      <c r="A3061" s="15"/>
      <c r="B3061" s="16"/>
      <c r="C3061" s="17"/>
    </row>
    <row r="3062" spans="1:3" s="13" customFormat="1" x14ac:dyDescent="0.25">
      <c r="A3062" s="15"/>
      <c r="B3062" s="16"/>
      <c r="C3062" s="17"/>
    </row>
    <row r="3063" spans="1:3" s="13" customFormat="1" x14ac:dyDescent="0.25">
      <c r="A3063" s="15"/>
      <c r="B3063" s="16"/>
      <c r="C3063" s="17"/>
    </row>
    <row r="3064" spans="1:3" s="13" customFormat="1" x14ac:dyDescent="0.25">
      <c r="A3064" s="15"/>
      <c r="B3064" s="16"/>
      <c r="C3064" s="17"/>
    </row>
    <row r="3065" spans="1:3" s="13" customFormat="1" x14ac:dyDescent="0.25">
      <c r="A3065" s="15"/>
      <c r="B3065" s="16"/>
      <c r="C3065" s="17"/>
    </row>
    <row r="3066" spans="1:3" s="13" customFormat="1" x14ac:dyDescent="0.25">
      <c r="A3066" s="15"/>
      <c r="B3066" s="16"/>
      <c r="C3066" s="17"/>
    </row>
    <row r="3067" spans="1:3" s="13" customFormat="1" x14ac:dyDescent="0.25">
      <c r="A3067" s="15"/>
      <c r="B3067" s="16"/>
      <c r="C3067" s="17"/>
    </row>
    <row r="3068" spans="1:3" s="13" customFormat="1" x14ac:dyDescent="0.25">
      <c r="A3068" s="15"/>
      <c r="B3068" s="16"/>
      <c r="C3068" s="17"/>
    </row>
    <row r="3069" spans="1:3" s="13" customFormat="1" x14ac:dyDescent="0.25">
      <c r="A3069" s="15"/>
      <c r="B3069" s="16"/>
      <c r="C3069" s="17"/>
    </row>
    <row r="3070" spans="1:3" s="13" customFormat="1" x14ac:dyDescent="0.25">
      <c r="A3070" s="15"/>
      <c r="B3070" s="16"/>
      <c r="C3070" s="17"/>
    </row>
    <row r="3071" spans="1:3" s="13" customFormat="1" x14ac:dyDescent="0.25">
      <c r="A3071" s="15"/>
      <c r="B3071" s="16"/>
      <c r="C3071" s="17"/>
    </row>
    <row r="3072" spans="1:3" s="13" customFormat="1" x14ac:dyDescent="0.25">
      <c r="A3072" s="15"/>
      <c r="B3072" s="16"/>
      <c r="C3072" s="17"/>
    </row>
    <row r="3073" spans="1:3" s="13" customFormat="1" x14ac:dyDescent="0.25">
      <c r="A3073" s="15"/>
      <c r="B3073" s="16"/>
      <c r="C3073" s="17"/>
    </row>
    <row r="3074" spans="1:3" s="13" customFormat="1" x14ac:dyDescent="0.25">
      <c r="A3074" s="15"/>
      <c r="B3074" s="16"/>
      <c r="C3074" s="17"/>
    </row>
    <row r="3075" spans="1:3" s="13" customFormat="1" x14ac:dyDescent="0.25">
      <c r="A3075" s="15"/>
      <c r="B3075" s="16"/>
      <c r="C3075" s="17"/>
    </row>
    <row r="3076" spans="1:3" s="13" customFormat="1" x14ac:dyDescent="0.25">
      <c r="A3076" s="15"/>
      <c r="B3076" s="16"/>
      <c r="C3076" s="17"/>
    </row>
    <row r="3077" spans="1:3" s="13" customFormat="1" x14ac:dyDescent="0.25">
      <c r="A3077" s="15"/>
      <c r="B3077" s="16"/>
      <c r="C3077" s="17"/>
    </row>
    <row r="3078" spans="1:3" s="13" customFormat="1" x14ac:dyDescent="0.25">
      <c r="A3078" s="15"/>
      <c r="B3078" s="16"/>
      <c r="C3078" s="17"/>
    </row>
    <row r="3079" spans="1:3" s="13" customFormat="1" x14ac:dyDescent="0.25">
      <c r="A3079" s="15"/>
      <c r="B3079" s="16"/>
      <c r="C3079" s="17"/>
    </row>
    <row r="3080" spans="1:3" s="13" customFormat="1" x14ac:dyDescent="0.25">
      <c r="A3080" s="15"/>
      <c r="B3080" s="16"/>
      <c r="C3080" s="17"/>
    </row>
    <row r="3081" spans="1:3" s="13" customFormat="1" x14ac:dyDescent="0.25">
      <c r="A3081" s="15"/>
      <c r="B3081" s="16"/>
      <c r="C3081" s="17"/>
    </row>
    <row r="3082" spans="1:3" s="13" customFormat="1" x14ac:dyDescent="0.25">
      <c r="A3082" s="15"/>
      <c r="B3082" s="16"/>
      <c r="C3082" s="17"/>
    </row>
    <row r="3083" spans="1:3" s="13" customFormat="1" x14ac:dyDescent="0.25">
      <c r="A3083" s="15"/>
      <c r="B3083" s="16"/>
      <c r="C3083" s="17"/>
    </row>
    <row r="3084" spans="1:3" s="13" customFormat="1" x14ac:dyDescent="0.25">
      <c r="A3084" s="15"/>
      <c r="B3084" s="16"/>
      <c r="C3084" s="17"/>
    </row>
    <row r="3085" spans="1:3" s="13" customFormat="1" x14ac:dyDescent="0.25">
      <c r="A3085" s="15"/>
      <c r="B3085" s="16"/>
      <c r="C3085" s="17"/>
    </row>
    <row r="3086" spans="1:3" s="13" customFormat="1" x14ac:dyDescent="0.25">
      <c r="A3086" s="15"/>
      <c r="B3086" s="16"/>
      <c r="C3086" s="17"/>
    </row>
    <row r="3087" spans="1:3" s="13" customFormat="1" x14ac:dyDescent="0.25">
      <c r="A3087" s="15"/>
      <c r="B3087" s="16"/>
      <c r="C3087" s="17"/>
    </row>
    <row r="3088" spans="1:3" s="13" customFormat="1" x14ac:dyDescent="0.25">
      <c r="A3088" s="15"/>
      <c r="B3088" s="16"/>
      <c r="C3088" s="17"/>
    </row>
    <row r="3089" spans="1:3" s="13" customFormat="1" x14ac:dyDescent="0.25">
      <c r="A3089" s="15"/>
      <c r="B3089" s="16"/>
      <c r="C3089" s="17"/>
    </row>
    <row r="3090" spans="1:3" s="13" customFormat="1" x14ac:dyDescent="0.25">
      <c r="A3090" s="15"/>
      <c r="B3090" s="16"/>
      <c r="C3090" s="17"/>
    </row>
    <row r="3091" spans="1:3" s="13" customFormat="1" x14ac:dyDescent="0.25">
      <c r="A3091" s="15"/>
      <c r="B3091" s="16"/>
      <c r="C3091" s="17"/>
    </row>
    <row r="3092" spans="1:3" s="13" customFormat="1" x14ac:dyDescent="0.25">
      <c r="A3092" s="15"/>
      <c r="B3092" s="16"/>
      <c r="C3092" s="17"/>
    </row>
    <row r="3093" spans="1:3" s="13" customFormat="1" x14ac:dyDescent="0.25">
      <c r="A3093" s="15"/>
      <c r="B3093" s="16"/>
      <c r="C3093" s="17"/>
    </row>
    <row r="3094" spans="1:3" s="13" customFormat="1" x14ac:dyDescent="0.25">
      <c r="A3094" s="15"/>
      <c r="B3094" s="16"/>
      <c r="C3094" s="17"/>
    </row>
    <row r="3095" spans="1:3" s="13" customFormat="1" x14ac:dyDescent="0.25">
      <c r="A3095" s="15"/>
      <c r="B3095" s="16"/>
      <c r="C3095" s="17"/>
    </row>
    <row r="3096" spans="1:3" s="13" customFormat="1" x14ac:dyDescent="0.25">
      <c r="A3096" s="15"/>
      <c r="B3096" s="16"/>
      <c r="C3096" s="17"/>
    </row>
    <row r="3097" spans="1:3" s="13" customFormat="1" x14ac:dyDescent="0.25">
      <c r="A3097" s="15"/>
      <c r="B3097" s="16"/>
      <c r="C3097" s="17"/>
    </row>
    <row r="3098" spans="1:3" s="13" customFormat="1" x14ac:dyDescent="0.25">
      <c r="A3098" s="15"/>
      <c r="B3098" s="16"/>
      <c r="C3098" s="17"/>
    </row>
    <row r="3099" spans="1:3" s="13" customFormat="1" x14ac:dyDescent="0.25">
      <c r="A3099" s="15"/>
      <c r="B3099" s="16"/>
      <c r="C3099" s="17"/>
    </row>
    <row r="3100" spans="1:3" s="13" customFormat="1" x14ac:dyDescent="0.25">
      <c r="A3100" s="15"/>
      <c r="B3100" s="16"/>
      <c r="C3100" s="17"/>
    </row>
    <row r="3101" spans="1:3" s="13" customFormat="1" x14ac:dyDescent="0.25">
      <c r="A3101" s="15"/>
      <c r="B3101" s="16"/>
      <c r="C3101" s="17"/>
    </row>
    <row r="3102" spans="1:3" s="13" customFormat="1" x14ac:dyDescent="0.25">
      <c r="A3102" s="15"/>
      <c r="B3102" s="16"/>
      <c r="C3102" s="17"/>
    </row>
    <row r="3103" spans="1:3" s="13" customFormat="1" x14ac:dyDescent="0.25">
      <c r="A3103" s="15"/>
      <c r="B3103" s="16"/>
      <c r="C3103" s="17"/>
    </row>
    <row r="3104" spans="1:3" s="13" customFormat="1" x14ac:dyDescent="0.25">
      <c r="A3104" s="15"/>
      <c r="B3104" s="16"/>
      <c r="C3104" s="17"/>
    </row>
    <row r="3105" spans="1:3" s="13" customFormat="1" x14ac:dyDescent="0.25">
      <c r="A3105" s="15"/>
      <c r="B3105" s="16"/>
      <c r="C3105" s="17"/>
    </row>
    <row r="3106" spans="1:3" s="13" customFormat="1" x14ac:dyDescent="0.25">
      <c r="A3106" s="15"/>
      <c r="B3106" s="16"/>
      <c r="C3106" s="17"/>
    </row>
    <row r="3107" spans="1:3" s="13" customFormat="1" x14ac:dyDescent="0.25">
      <c r="A3107" s="15"/>
      <c r="B3107" s="16"/>
      <c r="C3107" s="17"/>
    </row>
    <row r="3108" spans="1:3" s="13" customFormat="1" x14ac:dyDescent="0.25">
      <c r="A3108" s="15"/>
      <c r="B3108" s="16"/>
      <c r="C3108" s="17"/>
    </row>
    <row r="3109" spans="1:3" s="13" customFormat="1" x14ac:dyDescent="0.25">
      <c r="A3109" s="15"/>
      <c r="B3109" s="16"/>
      <c r="C3109" s="17"/>
    </row>
    <row r="3110" spans="1:3" s="13" customFormat="1" x14ac:dyDescent="0.25">
      <c r="A3110" s="15"/>
      <c r="B3110" s="16"/>
      <c r="C3110" s="17"/>
    </row>
    <row r="3111" spans="1:3" s="13" customFormat="1" x14ac:dyDescent="0.25">
      <c r="A3111" s="15"/>
      <c r="B3111" s="16"/>
      <c r="C3111" s="17"/>
    </row>
    <row r="3112" spans="1:3" s="13" customFormat="1" x14ac:dyDescent="0.25">
      <c r="A3112" s="15"/>
      <c r="B3112" s="16"/>
      <c r="C3112" s="17"/>
    </row>
    <row r="3113" spans="1:3" s="13" customFormat="1" x14ac:dyDescent="0.25">
      <c r="A3113" s="15"/>
      <c r="B3113" s="16"/>
      <c r="C3113" s="17"/>
    </row>
    <row r="3114" spans="1:3" s="13" customFormat="1" x14ac:dyDescent="0.25">
      <c r="A3114" s="15"/>
      <c r="B3114" s="16"/>
      <c r="C3114" s="17"/>
    </row>
    <row r="3115" spans="1:3" s="13" customFormat="1" x14ac:dyDescent="0.25">
      <c r="A3115" s="15"/>
      <c r="B3115" s="16"/>
      <c r="C3115" s="17"/>
    </row>
    <row r="3116" spans="1:3" s="13" customFormat="1" x14ac:dyDescent="0.25">
      <c r="A3116" s="15"/>
      <c r="B3116" s="16"/>
      <c r="C3116" s="17"/>
    </row>
    <row r="3117" spans="1:3" s="13" customFormat="1" x14ac:dyDescent="0.25">
      <c r="A3117" s="15"/>
      <c r="B3117" s="16"/>
      <c r="C3117" s="17"/>
    </row>
    <row r="3118" spans="1:3" s="13" customFormat="1" x14ac:dyDescent="0.25">
      <c r="A3118" s="15"/>
      <c r="B3118" s="16"/>
      <c r="C3118" s="17"/>
    </row>
    <row r="3119" spans="1:3" s="13" customFormat="1" x14ac:dyDescent="0.25">
      <c r="A3119" s="15"/>
      <c r="B3119" s="16"/>
      <c r="C3119" s="17"/>
    </row>
    <row r="3120" spans="1:3" s="13" customFormat="1" x14ac:dyDescent="0.25">
      <c r="A3120" s="15"/>
      <c r="B3120" s="16"/>
      <c r="C3120" s="17"/>
    </row>
    <row r="3121" spans="1:3" s="13" customFormat="1" x14ac:dyDescent="0.25">
      <c r="A3121" s="15"/>
      <c r="B3121" s="16"/>
      <c r="C3121" s="17"/>
    </row>
    <row r="3122" spans="1:3" s="13" customFormat="1" x14ac:dyDescent="0.25">
      <c r="A3122" s="15"/>
      <c r="B3122" s="16"/>
      <c r="C3122" s="17"/>
    </row>
    <row r="3123" spans="1:3" s="13" customFormat="1" x14ac:dyDescent="0.25">
      <c r="A3123" s="15"/>
      <c r="B3123" s="16"/>
      <c r="C3123" s="17"/>
    </row>
    <row r="3124" spans="1:3" s="13" customFormat="1" x14ac:dyDescent="0.25">
      <c r="A3124" s="15"/>
      <c r="B3124" s="16"/>
      <c r="C3124" s="17"/>
    </row>
    <row r="3125" spans="1:3" s="13" customFormat="1" x14ac:dyDescent="0.25">
      <c r="A3125" s="15"/>
      <c r="B3125" s="16"/>
      <c r="C3125" s="17"/>
    </row>
    <row r="3126" spans="1:3" s="13" customFormat="1" x14ac:dyDescent="0.25">
      <c r="A3126" s="15"/>
      <c r="B3126" s="16"/>
      <c r="C3126" s="17"/>
    </row>
    <row r="3127" spans="1:3" s="13" customFormat="1" x14ac:dyDescent="0.25">
      <c r="A3127" s="15"/>
      <c r="B3127" s="16"/>
      <c r="C3127" s="17"/>
    </row>
    <row r="3128" spans="1:3" s="13" customFormat="1" x14ac:dyDescent="0.25">
      <c r="A3128" s="15"/>
      <c r="B3128" s="16"/>
      <c r="C3128" s="17"/>
    </row>
    <row r="3129" spans="1:3" s="13" customFormat="1" x14ac:dyDescent="0.25">
      <c r="A3129" s="15"/>
      <c r="B3129" s="16"/>
      <c r="C3129" s="17"/>
    </row>
    <row r="3130" spans="1:3" s="13" customFormat="1" x14ac:dyDescent="0.25">
      <c r="A3130" s="15"/>
      <c r="B3130" s="16"/>
      <c r="C3130" s="17"/>
    </row>
    <row r="3131" spans="1:3" s="13" customFormat="1" x14ac:dyDescent="0.25">
      <c r="A3131" s="15"/>
      <c r="B3131" s="16"/>
      <c r="C3131" s="17"/>
    </row>
    <row r="3132" spans="1:3" s="13" customFormat="1" x14ac:dyDescent="0.25">
      <c r="A3132" s="15"/>
      <c r="B3132" s="16"/>
      <c r="C3132" s="17"/>
    </row>
    <row r="3133" spans="1:3" s="13" customFormat="1" x14ac:dyDescent="0.25">
      <c r="A3133" s="15"/>
      <c r="B3133" s="16"/>
      <c r="C3133" s="17"/>
    </row>
    <row r="3134" spans="1:3" s="13" customFormat="1" x14ac:dyDescent="0.25">
      <c r="A3134" s="15"/>
      <c r="B3134" s="16"/>
      <c r="C3134" s="17"/>
    </row>
    <row r="3135" spans="1:3" s="13" customFormat="1" x14ac:dyDescent="0.25">
      <c r="A3135" s="15"/>
      <c r="B3135" s="16"/>
      <c r="C3135" s="17"/>
    </row>
    <row r="3136" spans="1:3" s="13" customFormat="1" x14ac:dyDescent="0.25">
      <c r="A3136" s="15"/>
      <c r="B3136" s="16"/>
      <c r="C3136" s="17"/>
    </row>
    <row r="3137" spans="1:3" s="13" customFormat="1" ht="17.25" thickBot="1" x14ac:dyDescent="0.3">
      <c r="A3137" s="7"/>
      <c r="B3137" s="8"/>
      <c r="C3137" s="9"/>
    </row>
  </sheetData>
  <phoneticPr fontId="1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39997558519241921"/>
  </sheetPr>
  <dimension ref="A1:J20"/>
  <sheetViews>
    <sheetView workbookViewId="0">
      <selection activeCell="F20" sqref="F20:J20"/>
    </sheetView>
  </sheetViews>
  <sheetFormatPr defaultRowHeight="16.5" x14ac:dyDescent="0.25"/>
  <cols>
    <col min="1" max="16384" width="9" style="13"/>
  </cols>
  <sheetData>
    <row r="1" spans="1:10" ht="17.25" thickBot="1" x14ac:dyDescent="0.3">
      <c r="A1" s="13" t="s">
        <v>147</v>
      </c>
    </row>
    <row r="2" spans="1:10" x14ac:dyDescent="0.25">
      <c r="A2" s="13" t="s">
        <v>53</v>
      </c>
      <c r="B2" s="43">
        <f>CAPM!K1</f>
        <v>3.0000000000000001E-3</v>
      </c>
      <c r="C2" s="76" t="s">
        <v>148</v>
      </c>
      <c r="G2" s="67" t="s">
        <v>54</v>
      </c>
      <c r="H2" s="68"/>
      <c r="I2" s="68"/>
      <c r="J2" s="69"/>
    </row>
    <row r="3" spans="1:10" x14ac:dyDescent="0.25">
      <c r="A3" s="13" t="s">
        <v>55</v>
      </c>
      <c r="B3" s="13">
        <f>AVERAGE(CAPM!E2:E1569)</f>
        <v>3.5795280612245031E-3</v>
      </c>
      <c r="C3" s="13" t="s">
        <v>149</v>
      </c>
      <c r="G3" s="73"/>
      <c r="H3" s="74"/>
      <c r="I3" s="74"/>
      <c r="J3" s="75"/>
    </row>
    <row r="4" spans="1:10" ht="17.25" thickBot="1" x14ac:dyDescent="0.3">
      <c r="A4" s="13" t="s">
        <v>56</v>
      </c>
      <c r="B4" s="13">
        <f>CAPM!K3</f>
        <v>1.1111892095201163</v>
      </c>
      <c r="C4" s="13" t="s">
        <v>150</v>
      </c>
      <c r="G4" s="70"/>
      <c r="H4" s="71"/>
      <c r="I4" s="71"/>
      <c r="J4" s="72"/>
    </row>
    <row r="5" spans="1:10" x14ac:dyDescent="0.25">
      <c r="A5" s="13" t="s">
        <v>30</v>
      </c>
      <c r="B5" s="13">
        <f>B2+B4*B3</f>
        <v>6.9775329568071308E-3</v>
      </c>
    </row>
    <row r="7" spans="1:10" x14ac:dyDescent="0.25">
      <c r="A7" s="13" t="s">
        <v>57</v>
      </c>
      <c r="B7" s="13" t="s">
        <v>30</v>
      </c>
    </row>
    <row r="8" spans="1:10" x14ac:dyDescent="0.25">
      <c r="B8" s="13">
        <f>B5</f>
        <v>6.9775329568071308E-3</v>
      </c>
    </row>
    <row r="9" spans="1:10" x14ac:dyDescent="0.25">
      <c r="A9" s="13">
        <v>-2</v>
      </c>
      <c r="B9" s="13">
        <v>-4.1590561224490062E-3</v>
      </c>
    </row>
    <row r="10" spans="1:10" x14ac:dyDescent="0.25">
      <c r="A10" s="13">
        <v>-1.5</v>
      </c>
      <c r="B10" s="13">
        <v>-2.3692920918367546E-3</v>
      </c>
    </row>
    <row r="11" spans="1:10" x14ac:dyDescent="0.25">
      <c r="A11" s="13">
        <v>-1</v>
      </c>
      <c r="B11" s="13">
        <v>-5.7952806122450306E-4</v>
      </c>
    </row>
    <row r="12" spans="1:10" x14ac:dyDescent="0.25">
      <c r="A12" s="13">
        <v>-0.5</v>
      </c>
      <c r="B12" s="13">
        <v>1.2102359693877485E-3</v>
      </c>
    </row>
    <row r="13" spans="1:10" x14ac:dyDescent="0.25">
      <c r="A13" s="13">
        <v>0</v>
      </c>
      <c r="B13" s="13">
        <v>3.0000000000000001E-3</v>
      </c>
    </row>
    <row r="14" spans="1:10" x14ac:dyDescent="0.25">
      <c r="A14" s="13">
        <v>0.5</v>
      </c>
      <c r="B14" s="13">
        <v>4.7897640306122516E-3</v>
      </c>
    </row>
    <row r="15" spans="1:10" x14ac:dyDescent="0.25">
      <c r="A15" s="13">
        <v>1</v>
      </c>
      <c r="B15" s="13">
        <v>6.5795280612245032E-3</v>
      </c>
    </row>
    <row r="16" spans="1:10" x14ac:dyDescent="0.25">
      <c r="A16" s="13">
        <v>1.5</v>
      </c>
      <c r="B16" s="13">
        <v>8.3692920918367539E-3</v>
      </c>
    </row>
    <row r="17" spans="1:9" x14ac:dyDescent="0.25">
      <c r="A17" s="13">
        <v>2</v>
      </c>
      <c r="B17" s="13">
        <v>1.0159056122449005E-2</v>
      </c>
    </row>
    <row r="20" spans="1:9" x14ac:dyDescent="0.25">
      <c r="F20" s="13" t="s">
        <v>58</v>
      </c>
      <c r="G20" s="13" t="s">
        <v>151</v>
      </c>
      <c r="H20" s="13" t="s">
        <v>59</v>
      </c>
      <c r="I20" s="13" t="s">
        <v>152</v>
      </c>
    </row>
  </sheetData>
  <mergeCells count="1">
    <mergeCell ref="G2:J4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9" tint="0.39997558519241921"/>
  </sheetPr>
  <dimension ref="A1:L34"/>
  <sheetViews>
    <sheetView workbookViewId="0">
      <selection activeCell="E4" sqref="E4"/>
    </sheetView>
  </sheetViews>
  <sheetFormatPr defaultRowHeight="16.5" x14ac:dyDescent="0.25"/>
  <cols>
    <col min="1" max="2" width="9" style="13"/>
    <col min="3" max="3" width="10.5" style="13" customWidth="1"/>
    <col min="4" max="4" width="9.875" style="13" customWidth="1"/>
    <col min="5" max="16384" width="9" style="13"/>
  </cols>
  <sheetData>
    <row r="1" spans="1:12" ht="17.25" thickBot="1" x14ac:dyDescent="0.3">
      <c r="E1" s="13" t="s">
        <v>37</v>
      </c>
      <c r="F1" s="13" t="s">
        <v>38</v>
      </c>
      <c r="H1" s="13" t="s">
        <v>39</v>
      </c>
      <c r="I1" s="13" t="s">
        <v>38</v>
      </c>
      <c r="K1" s="13" t="s">
        <v>40</v>
      </c>
      <c r="L1" s="13" t="s">
        <v>38</v>
      </c>
    </row>
    <row r="2" spans="1:12" x14ac:dyDescent="0.25">
      <c r="A2" s="67" t="s">
        <v>41</v>
      </c>
      <c r="B2" s="68"/>
      <c r="C2" s="69"/>
      <c r="F2" s="13">
        <f>B8</f>
        <v>177.15610000000009</v>
      </c>
      <c r="I2" s="13">
        <f>B8</f>
        <v>177.15610000000009</v>
      </c>
      <c r="L2" s="13">
        <f>B8</f>
        <v>177.15610000000009</v>
      </c>
    </row>
    <row r="3" spans="1:12" ht="17.25" thickBot="1" x14ac:dyDescent="0.3">
      <c r="A3" s="70"/>
      <c r="B3" s="71"/>
      <c r="C3" s="72"/>
      <c r="E3" s="13">
        <v>50</v>
      </c>
      <c r="F3" s="13">
        <v>88.578050000000047</v>
      </c>
      <c r="H3" s="13">
        <v>1</v>
      </c>
      <c r="I3" s="13">
        <v>110.00000000000001</v>
      </c>
      <c r="K3" s="29">
        <v>0.05</v>
      </c>
      <c r="L3" s="13">
        <v>134.0095640625</v>
      </c>
    </row>
    <row r="4" spans="1:12" x14ac:dyDescent="0.25">
      <c r="E4" s="13">
        <v>60</v>
      </c>
      <c r="F4" s="13">
        <v>106.29366000000005</v>
      </c>
      <c r="H4" s="13">
        <v>2</v>
      </c>
      <c r="I4" s="13">
        <v>121.00000000000001</v>
      </c>
      <c r="K4" s="29">
        <v>0.06</v>
      </c>
      <c r="L4" s="13">
        <v>141.85191122560005</v>
      </c>
    </row>
    <row r="5" spans="1:12" x14ac:dyDescent="0.25">
      <c r="A5" s="13" t="s">
        <v>42</v>
      </c>
      <c r="B5" s="13">
        <v>100</v>
      </c>
      <c r="C5" s="13" t="s">
        <v>43</v>
      </c>
      <c r="E5" s="13">
        <v>70</v>
      </c>
      <c r="F5" s="13">
        <v>124.00927000000006</v>
      </c>
      <c r="H5" s="13">
        <v>3</v>
      </c>
      <c r="I5" s="13">
        <v>133.10000000000005</v>
      </c>
      <c r="K5" s="29">
        <v>7.0000000000000007E-2</v>
      </c>
      <c r="L5" s="13">
        <v>150.07303518489999</v>
      </c>
    </row>
    <row r="6" spans="1:12" x14ac:dyDescent="0.25">
      <c r="A6" s="13" t="s">
        <v>44</v>
      </c>
      <c r="B6" s="13">
        <v>6</v>
      </c>
      <c r="C6" s="13" t="s">
        <v>45</v>
      </c>
      <c r="E6" s="13">
        <v>80</v>
      </c>
      <c r="F6" s="13">
        <v>141.72488000000007</v>
      </c>
      <c r="H6" s="13">
        <v>4</v>
      </c>
      <c r="I6" s="13">
        <v>146.41000000000005</v>
      </c>
      <c r="K6" s="29">
        <v>0.08</v>
      </c>
      <c r="L6" s="13">
        <v>158.68743229440005</v>
      </c>
    </row>
    <row r="7" spans="1:12" x14ac:dyDescent="0.25">
      <c r="A7" s="13" t="s">
        <v>46</v>
      </c>
      <c r="B7" s="29">
        <v>0.1</v>
      </c>
      <c r="E7" s="13">
        <v>90</v>
      </c>
      <c r="F7" s="13">
        <v>159.44049000000007</v>
      </c>
      <c r="H7" s="13">
        <v>5</v>
      </c>
      <c r="I7" s="13">
        <v>161.05100000000004</v>
      </c>
      <c r="K7" s="29">
        <v>0.09</v>
      </c>
      <c r="L7" s="13">
        <v>167.71001108410007</v>
      </c>
    </row>
    <row r="8" spans="1:12" x14ac:dyDescent="0.25">
      <c r="A8" s="13" t="s">
        <v>47</v>
      </c>
      <c r="B8" s="13">
        <f>B5*(1+B7)^B6</f>
        <v>177.15610000000009</v>
      </c>
      <c r="C8" s="13" t="s">
        <v>43</v>
      </c>
      <c r="E8" s="13">
        <v>100</v>
      </c>
      <c r="F8" s="13">
        <v>177.15610000000009</v>
      </c>
      <c r="H8" s="13">
        <v>6</v>
      </c>
      <c r="I8" s="13">
        <v>177.15610000000009</v>
      </c>
      <c r="K8" s="29">
        <v>0.1</v>
      </c>
      <c r="L8" s="13">
        <v>177.15610000000009</v>
      </c>
    </row>
    <row r="9" spans="1:12" ht="17.25" thickBot="1" x14ac:dyDescent="0.3">
      <c r="E9" s="13">
        <v>110</v>
      </c>
      <c r="F9" s="13">
        <v>194.87171000000009</v>
      </c>
      <c r="H9" s="13">
        <v>7</v>
      </c>
      <c r="I9" s="13">
        <v>194.87171000000012</v>
      </c>
      <c r="K9" s="29">
        <v>0.11</v>
      </c>
      <c r="L9" s="13">
        <v>187.04145521610008</v>
      </c>
    </row>
    <row r="10" spans="1:12" x14ac:dyDescent="0.25">
      <c r="A10" s="20" t="s">
        <v>48</v>
      </c>
      <c r="B10" s="46" t="s">
        <v>49</v>
      </c>
      <c r="C10" s="47" t="s">
        <v>50</v>
      </c>
      <c r="E10" s="13">
        <v>120</v>
      </c>
      <c r="F10" s="13">
        <v>212.58732000000009</v>
      </c>
      <c r="H10" s="13">
        <v>8</v>
      </c>
      <c r="I10" s="13">
        <v>214.35888100000011</v>
      </c>
      <c r="K10" s="29">
        <v>0.12</v>
      </c>
      <c r="L10" s="13">
        <v>197.38226851840008</v>
      </c>
    </row>
    <row r="11" spans="1:12" x14ac:dyDescent="0.25">
      <c r="A11" s="48"/>
      <c r="B11" s="49"/>
      <c r="C11" s="50" t="s">
        <v>51</v>
      </c>
      <c r="E11" s="13">
        <v>130</v>
      </c>
      <c r="F11" s="13">
        <v>230.30293000000012</v>
      </c>
      <c r="H11" s="13">
        <v>9</v>
      </c>
      <c r="I11" s="13">
        <v>235.79476910000014</v>
      </c>
      <c r="K11" s="29">
        <v>0.13</v>
      </c>
      <c r="L11" s="13">
        <v>208.19517526089984</v>
      </c>
    </row>
    <row r="12" spans="1:12" ht="17.25" thickBot="1" x14ac:dyDescent="0.3">
      <c r="A12" s="51" t="s">
        <v>52</v>
      </c>
      <c r="B12" s="52"/>
      <c r="C12" s="53"/>
      <c r="E12" s="13">
        <v>140</v>
      </c>
      <c r="F12" s="13">
        <v>248.01854000000012</v>
      </c>
      <c r="H12" s="13">
        <v>10</v>
      </c>
      <c r="I12" s="13">
        <v>259.37424601000021</v>
      </c>
      <c r="K12" s="29">
        <v>0.14000000000000001</v>
      </c>
      <c r="L12" s="13">
        <v>219.49726239360015</v>
      </c>
    </row>
    <row r="13" spans="1:12" x14ac:dyDescent="0.25">
      <c r="E13" s="13">
        <v>150</v>
      </c>
      <c r="F13" s="13">
        <v>265.73415000000011</v>
      </c>
      <c r="H13" s="13">
        <v>11</v>
      </c>
      <c r="I13" s="13">
        <v>285.31167061100024</v>
      </c>
      <c r="K13" s="29">
        <v>0.15</v>
      </c>
      <c r="L13" s="13">
        <v>231.3060765624999</v>
      </c>
    </row>
    <row r="15" spans="1:12" x14ac:dyDescent="0.25">
      <c r="A15" s="13">
        <f>B8</f>
        <v>177.15610000000009</v>
      </c>
      <c r="B15" s="13">
        <v>1</v>
      </c>
      <c r="C15" s="13">
        <v>2</v>
      </c>
      <c r="D15" s="13">
        <v>3</v>
      </c>
      <c r="E15" s="13">
        <v>4</v>
      </c>
      <c r="F15" s="13">
        <v>5</v>
      </c>
      <c r="G15" s="13">
        <v>6</v>
      </c>
      <c r="H15" s="13">
        <v>7</v>
      </c>
      <c r="I15" s="13">
        <v>8</v>
      </c>
      <c r="J15" s="13">
        <v>9</v>
      </c>
      <c r="K15" s="13">
        <v>10</v>
      </c>
      <c r="L15" s="13">
        <v>11</v>
      </c>
    </row>
    <row r="16" spans="1:12" x14ac:dyDescent="0.25">
      <c r="A16" s="29">
        <v>0.05</v>
      </c>
      <c r="B16" s="30">
        <v>105</v>
      </c>
      <c r="C16" s="31">
        <v>110.25</v>
      </c>
      <c r="D16" s="31">
        <v>115.76250000000002</v>
      </c>
      <c r="E16" s="31">
        <v>121.550625</v>
      </c>
      <c r="F16" s="31">
        <v>127.62815625000002</v>
      </c>
      <c r="G16" s="31">
        <v>134.0095640625</v>
      </c>
      <c r="H16" s="31">
        <v>140.71004226562502</v>
      </c>
      <c r="I16" s="31">
        <v>147.74554437890626</v>
      </c>
      <c r="J16" s="31">
        <v>155.13282159785157</v>
      </c>
      <c r="K16" s="31">
        <v>162.88946267774415</v>
      </c>
      <c r="L16" s="31">
        <v>171.03393581163138</v>
      </c>
    </row>
    <row r="17" spans="1:12" x14ac:dyDescent="0.25">
      <c r="A17" s="29">
        <v>0.06</v>
      </c>
      <c r="B17" s="30">
        <v>106</v>
      </c>
      <c r="C17" s="31">
        <v>112.36000000000001</v>
      </c>
      <c r="D17" s="31">
        <v>119.10160000000003</v>
      </c>
      <c r="E17" s="31">
        <v>126.24769600000003</v>
      </c>
      <c r="F17" s="31">
        <v>133.82255776000005</v>
      </c>
      <c r="G17" s="31">
        <v>141.85191122560005</v>
      </c>
      <c r="H17" s="31">
        <v>150.36302589913609</v>
      </c>
      <c r="I17" s="31">
        <v>159.38480745308422</v>
      </c>
      <c r="J17" s="31">
        <v>168.94789590026929</v>
      </c>
      <c r="K17" s="31">
        <v>179.08476965428545</v>
      </c>
      <c r="L17" s="31">
        <v>189.82985583354261</v>
      </c>
    </row>
    <row r="18" spans="1:12" x14ac:dyDescent="0.25">
      <c r="A18" s="29">
        <v>7.0000000000000007E-2</v>
      </c>
      <c r="B18" s="30">
        <v>107</v>
      </c>
      <c r="C18" s="31">
        <v>114.49000000000001</v>
      </c>
      <c r="D18" s="31">
        <v>122.50430000000001</v>
      </c>
      <c r="E18" s="31">
        <v>131.079601</v>
      </c>
      <c r="F18" s="31">
        <v>140.25517307000001</v>
      </c>
      <c r="G18" s="31">
        <v>150.07303518489999</v>
      </c>
      <c r="H18" s="31">
        <v>160.57814764784302</v>
      </c>
      <c r="I18" s="31">
        <v>171.81861798319201</v>
      </c>
      <c r="J18" s="31">
        <v>183.84592124201549</v>
      </c>
      <c r="K18" s="31">
        <v>196.71513572895657</v>
      </c>
      <c r="L18" s="31">
        <v>210.48519522998356</v>
      </c>
    </row>
    <row r="19" spans="1:12" x14ac:dyDescent="0.25">
      <c r="A19" s="29">
        <v>0.08</v>
      </c>
      <c r="B19" s="30">
        <v>108</v>
      </c>
      <c r="C19" s="31">
        <v>116.64000000000001</v>
      </c>
      <c r="D19" s="31">
        <v>125.97120000000001</v>
      </c>
      <c r="E19" s="31">
        <v>136.04889600000004</v>
      </c>
      <c r="F19" s="31">
        <v>146.93280768000002</v>
      </c>
      <c r="G19" s="31">
        <v>158.68743229440005</v>
      </c>
      <c r="H19" s="31">
        <v>171.38242687795207</v>
      </c>
      <c r="I19" s="31">
        <v>185.09302102818822</v>
      </c>
      <c r="J19" s="31">
        <v>199.90046271044329</v>
      </c>
      <c r="K19" s="31">
        <v>215.89249972727879</v>
      </c>
      <c r="L19" s="31">
        <v>233.16389970546106</v>
      </c>
    </row>
    <row r="20" spans="1:12" x14ac:dyDescent="0.25">
      <c r="A20" s="29">
        <v>0.09</v>
      </c>
      <c r="B20" s="30">
        <v>109.00000000000001</v>
      </c>
      <c r="C20" s="31">
        <v>118.81000000000002</v>
      </c>
      <c r="D20" s="31">
        <v>129.50290000000001</v>
      </c>
      <c r="E20" s="31">
        <v>141.15816100000004</v>
      </c>
      <c r="F20" s="31">
        <v>153.86239549000004</v>
      </c>
      <c r="G20" s="31">
        <v>167.71001108410007</v>
      </c>
      <c r="H20" s="31">
        <v>182.80391208166907</v>
      </c>
      <c r="I20" s="31">
        <v>199.25626416901929</v>
      </c>
      <c r="J20" s="31">
        <v>217.18932794423105</v>
      </c>
      <c r="K20" s="31">
        <v>236.73636745921186</v>
      </c>
      <c r="L20" s="31">
        <v>258.04264053054095</v>
      </c>
    </row>
    <row r="21" spans="1:12" x14ac:dyDescent="0.25">
      <c r="A21" s="29">
        <v>0.1</v>
      </c>
      <c r="B21" s="30">
        <v>110.00000000000001</v>
      </c>
      <c r="C21" s="31">
        <v>121.00000000000001</v>
      </c>
      <c r="D21" s="31">
        <v>133.10000000000005</v>
      </c>
      <c r="E21" s="31">
        <v>146.41000000000005</v>
      </c>
      <c r="F21" s="31">
        <v>161.05100000000004</v>
      </c>
      <c r="G21" s="31">
        <v>177.15610000000009</v>
      </c>
      <c r="H21" s="31">
        <v>194.87171000000012</v>
      </c>
      <c r="I21" s="31">
        <v>214.35888100000011</v>
      </c>
      <c r="J21" s="31">
        <v>235.79476910000014</v>
      </c>
      <c r="K21" s="31">
        <v>259.37424601000021</v>
      </c>
      <c r="L21" s="31">
        <v>285.31167061100024</v>
      </c>
    </row>
    <row r="22" spans="1:12" x14ac:dyDescent="0.25">
      <c r="A22" s="29">
        <v>0.11</v>
      </c>
      <c r="B22" s="30">
        <v>111.00000000000001</v>
      </c>
      <c r="C22" s="31">
        <v>123.21000000000002</v>
      </c>
      <c r="D22" s="31">
        <v>136.76310000000004</v>
      </c>
      <c r="E22" s="31">
        <v>151.80704100000005</v>
      </c>
      <c r="F22" s="31">
        <v>168.50581551000005</v>
      </c>
      <c r="G22" s="31">
        <v>187.04145521610008</v>
      </c>
      <c r="H22" s="31">
        <v>207.61601528987109</v>
      </c>
      <c r="I22" s="31">
        <v>230.45377697175695</v>
      </c>
      <c r="J22" s="31">
        <v>255.80369243865024</v>
      </c>
      <c r="K22" s="31">
        <v>283.94209860690182</v>
      </c>
      <c r="L22" s="31">
        <v>315.17572945366101</v>
      </c>
    </row>
    <row r="23" spans="1:12" x14ac:dyDescent="0.25">
      <c r="A23" s="29">
        <v>0.12</v>
      </c>
      <c r="B23" s="30">
        <v>112.00000000000001</v>
      </c>
      <c r="C23" s="31">
        <v>125.44000000000001</v>
      </c>
      <c r="D23" s="31">
        <v>140.49280000000005</v>
      </c>
      <c r="E23" s="31">
        <v>157.35193600000002</v>
      </c>
      <c r="F23" s="31">
        <v>176.23416832000004</v>
      </c>
      <c r="G23" s="31">
        <v>197.38226851840008</v>
      </c>
      <c r="H23" s="31">
        <v>221.0681407406081</v>
      </c>
      <c r="I23" s="31">
        <v>247.59631762948109</v>
      </c>
      <c r="J23" s="31">
        <v>277.3078757450188</v>
      </c>
      <c r="K23" s="31">
        <v>310.58482083442112</v>
      </c>
      <c r="L23" s="31">
        <v>347.85499933455174</v>
      </c>
    </row>
    <row r="24" spans="1:12" x14ac:dyDescent="0.25">
      <c r="A24" s="29">
        <v>0.13</v>
      </c>
      <c r="B24" s="30">
        <v>112.99999999999999</v>
      </c>
      <c r="C24" s="31">
        <v>127.68999999999997</v>
      </c>
      <c r="D24" s="31">
        <v>144.28969999999995</v>
      </c>
      <c r="E24" s="31">
        <v>163.04736099999991</v>
      </c>
      <c r="F24" s="31">
        <v>184.24351792999988</v>
      </c>
      <c r="G24" s="31">
        <v>208.19517526089984</v>
      </c>
      <c r="H24" s="31">
        <v>235.2605480448168</v>
      </c>
      <c r="I24" s="31">
        <v>265.84441929064297</v>
      </c>
      <c r="J24" s="31">
        <v>300.40419379842655</v>
      </c>
      <c r="K24" s="31">
        <v>339.45673899222191</v>
      </c>
      <c r="L24" s="31">
        <v>383.58611506121071</v>
      </c>
    </row>
    <row r="25" spans="1:12" x14ac:dyDescent="0.25">
      <c r="A25" s="29">
        <v>0.14000000000000001</v>
      </c>
      <c r="B25" s="30">
        <v>114.00000000000001</v>
      </c>
      <c r="C25" s="31">
        <v>129.96000000000004</v>
      </c>
      <c r="D25" s="31">
        <v>148.15440000000004</v>
      </c>
      <c r="E25" s="31">
        <v>168.89601600000009</v>
      </c>
      <c r="F25" s="31">
        <v>192.54145824000011</v>
      </c>
      <c r="G25" s="31">
        <v>219.49726239360015</v>
      </c>
      <c r="H25" s="31">
        <v>250.22687912870421</v>
      </c>
      <c r="I25" s="31">
        <v>285.25864220672281</v>
      </c>
      <c r="J25" s="31">
        <v>325.19485211566405</v>
      </c>
      <c r="K25" s="31">
        <v>370.72213141185711</v>
      </c>
      <c r="L25" s="31">
        <v>422.62322980951711</v>
      </c>
    </row>
    <row r="26" spans="1:12" x14ac:dyDescent="0.25">
      <c r="A26" s="29">
        <v>0.15</v>
      </c>
      <c r="B26" s="30">
        <v>114.99999999999999</v>
      </c>
      <c r="C26" s="31">
        <v>132.24999999999997</v>
      </c>
      <c r="D26" s="31">
        <v>152.08749999999995</v>
      </c>
      <c r="E26" s="31">
        <v>174.90062499999993</v>
      </c>
      <c r="F26" s="31">
        <v>201.13571874999994</v>
      </c>
      <c r="G26" s="31">
        <v>231.3060765624999</v>
      </c>
      <c r="H26" s="31">
        <v>266.00198804687483</v>
      </c>
      <c r="I26" s="31">
        <v>305.90228625390603</v>
      </c>
      <c r="J26" s="31">
        <v>351.78762919199193</v>
      </c>
      <c r="K26" s="31">
        <v>404.55577357079068</v>
      </c>
      <c r="L26" s="31">
        <v>465.23913960640925</v>
      </c>
    </row>
    <row r="27" spans="1:12" x14ac:dyDescent="0.25">
      <c r="K27" s="29"/>
    </row>
    <row r="28" spans="1:12" x14ac:dyDescent="0.25">
      <c r="K28" s="29"/>
    </row>
    <row r="29" spans="1:12" x14ac:dyDescent="0.25">
      <c r="K29" s="29"/>
    </row>
    <row r="30" spans="1:12" x14ac:dyDescent="0.25">
      <c r="K30" s="29"/>
    </row>
    <row r="31" spans="1:12" x14ac:dyDescent="0.25">
      <c r="K31" s="29"/>
    </row>
    <row r="32" spans="1:12" x14ac:dyDescent="0.25">
      <c r="K32" s="29"/>
    </row>
    <row r="33" spans="11:11" x14ac:dyDescent="0.25">
      <c r="K33" s="29"/>
    </row>
    <row r="34" spans="11:11" x14ac:dyDescent="0.25">
      <c r="K34" s="29"/>
    </row>
  </sheetData>
  <mergeCells count="1">
    <mergeCell ref="A2:C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9" tint="0.39997558519241921"/>
  </sheetPr>
  <dimension ref="A1:I1592"/>
  <sheetViews>
    <sheetView workbookViewId="0">
      <selection activeCell="H14" sqref="H14"/>
    </sheetView>
  </sheetViews>
  <sheetFormatPr defaultRowHeight="16.5" x14ac:dyDescent="0.25"/>
  <sheetData>
    <row r="1" spans="1:9" x14ac:dyDescent="0.25">
      <c r="A1" s="13" t="s">
        <v>60</v>
      </c>
      <c r="B1" s="13"/>
      <c r="C1" s="13"/>
      <c r="D1" s="13"/>
      <c r="E1" s="13"/>
      <c r="F1" s="13"/>
      <c r="G1" s="13"/>
      <c r="H1" s="13"/>
      <c r="I1" s="13"/>
    </row>
    <row r="2" spans="1:9" ht="17.25" thickBot="1" x14ac:dyDescent="0.3">
      <c r="A2" s="13"/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s="32" t="s">
        <v>61</v>
      </c>
      <c r="B3" s="32"/>
      <c r="C3" s="13"/>
      <c r="D3" s="13"/>
      <c r="E3" s="13"/>
      <c r="F3" s="13"/>
      <c r="G3" s="13"/>
      <c r="H3" s="13"/>
      <c r="I3" s="13"/>
    </row>
    <row r="4" spans="1:9" x14ac:dyDescent="0.25">
      <c r="A4" s="17" t="s">
        <v>62</v>
      </c>
      <c r="B4" s="17">
        <v>0.71994331442821324</v>
      </c>
      <c r="C4" s="13"/>
      <c r="D4" s="13"/>
      <c r="E4" s="13"/>
      <c r="F4" s="13"/>
      <c r="G4" s="13"/>
      <c r="H4" s="13"/>
      <c r="I4" s="13"/>
    </row>
    <row r="5" spans="1:9" x14ac:dyDescent="0.25">
      <c r="A5" s="17" t="s">
        <v>63</v>
      </c>
      <c r="B5" s="17">
        <v>0.51831837598988106</v>
      </c>
      <c r="C5" s="13"/>
      <c r="D5" s="13"/>
      <c r="E5" s="13"/>
      <c r="F5" s="13"/>
      <c r="G5" s="13"/>
      <c r="H5" s="13"/>
      <c r="I5" s="13"/>
    </row>
    <row r="6" spans="1:9" x14ac:dyDescent="0.25">
      <c r="A6" s="17" t="s">
        <v>64</v>
      </c>
      <c r="B6" s="17">
        <v>0.51801078874594098</v>
      </c>
      <c r="C6" s="13"/>
      <c r="D6" s="13"/>
      <c r="E6" s="13"/>
      <c r="F6" s="13"/>
      <c r="G6" s="13"/>
      <c r="H6" s="13"/>
      <c r="I6" s="13"/>
    </row>
    <row r="7" spans="1:9" x14ac:dyDescent="0.25">
      <c r="A7" s="17" t="s">
        <v>65</v>
      </c>
      <c r="B7" s="17">
        <v>1.0103247190223013</v>
      </c>
      <c r="C7" s="13"/>
      <c r="D7" s="13"/>
      <c r="E7" s="13"/>
      <c r="F7" s="13"/>
      <c r="G7" s="13"/>
      <c r="H7" s="13"/>
      <c r="I7" s="13"/>
    </row>
    <row r="8" spans="1:9" ht="17.25" thickBot="1" x14ac:dyDescent="0.3">
      <c r="A8" s="9" t="s">
        <v>66</v>
      </c>
      <c r="B8" s="9">
        <v>1568</v>
      </c>
      <c r="C8" s="13"/>
      <c r="D8" s="13"/>
      <c r="E8" s="13"/>
      <c r="F8" s="13"/>
      <c r="G8" s="13"/>
      <c r="H8" s="13"/>
      <c r="I8" s="13"/>
    </row>
    <row r="9" spans="1:9" x14ac:dyDescent="0.25">
      <c r="A9" s="13"/>
      <c r="B9" s="13"/>
      <c r="C9" s="13"/>
      <c r="D9" s="13"/>
      <c r="E9" s="13"/>
      <c r="F9" s="13"/>
      <c r="G9" s="13"/>
      <c r="H9" s="13"/>
      <c r="I9" s="13"/>
    </row>
    <row r="10" spans="1:9" ht="17.25" thickBot="1" x14ac:dyDescent="0.3">
      <c r="A10" s="13" t="s">
        <v>67</v>
      </c>
      <c r="B10" s="13"/>
      <c r="C10" s="13"/>
      <c r="D10" s="13"/>
      <c r="E10" s="13"/>
      <c r="F10" s="13"/>
      <c r="G10" s="13"/>
      <c r="H10" s="13"/>
      <c r="I10" s="13"/>
    </row>
    <row r="11" spans="1:9" x14ac:dyDescent="0.25">
      <c r="A11" s="18"/>
      <c r="B11" s="18" t="s">
        <v>68</v>
      </c>
      <c r="C11" s="18" t="s">
        <v>69</v>
      </c>
      <c r="D11" s="18" t="s">
        <v>70</v>
      </c>
      <c r="E11" s="18" t="s">
        <v>71</v>
      </c>
      <c r="F11" s="18" t="s">
        <v>72</v>
      </c>
      <c r="G11" s="13"/>
      <c r="H11" s="13"/>
      <c r="I11" s="13"/>
    </row>
    <row r="12" spans="1:9" x14ac:dyDescent="0.25">
      <c r="A12" s="17" t="s">
        <v>73</v>
      </c>
      <c r="B12" s="17">
        <v>1</v>
      </c>
      <c r="C12" s="17">
        <v>1720.0863242965388</v>
      </c>
      <c r="D12" s="17">
        <v>1720.0863242965388</v>
      </c>
      <c r="E12" s="17">
        <v>1685.1101149399512</v>
      </c>
      <c r="F12" s="17">
        <v>1.1170200100268131E-250</v>
      </c>
      <c r="G12" s="13"/>
      <c r="H12" s="13"/>
      <c r="I12" s="13"/>
    </row>
    <row r="13" spans="1:9" x14ac:dyDescent="0.25">
      <c r="A13" s="17" t="s">
        <v>74</v>
      </c>
      <c r="B13" s="17">
        <v>1566</v>
      </c>
      <c r="C13" s="17">
        <v>1598.5039553004926</v>
      </c>
      <c r="D13" s="17">
        <v>1.020756037867492</v>
      </c>
      <c r="E13" s="17"/>
      <c r="F13" s="17"/>
      <c r="G13" s="13"/>
      <c r="H13" s="13"/>
      <c r="I13" s="13"/>
    </row>
    <row r="14" spans="1:9" ht="17.25" thickBot="1" x14ac:dyDescent="0.3">
      <c r="A14" s="9" t="s">
        <v>75</v>
      </c>
      <c r="B14" s="9">
        <v>1567</v>
      </c>
      <c r="C14" s="9">
        <v>3318.5902795970314</v>
      </c>
      <c r="D14" s="9"/>
      <c r="E14" s="9"/>
      <c r="F14" s="9"/>
      <c r="G14" s="13"/>
      <c r="H14" s="13"/>
      <c r="I14" s="13"/>
    </row>
    <row r="15" spans="1:9" ht="17.25" thickBot="1" x14ac:dyDescent="0.3">
      <c r="A15" s="13"/>
      <c r="B15" s="13"/>
      <c r="C15" s="13"/>
      <c r="D15" s="13"/>
      <c r="E15" s="13"/>
      <c r="F15" s="13"/>
      <c r="G15" s="13"/>
      <c r="H15" s="13"/>
      <c r="I15" s="13"/>
    </row>
    <row r="16" spans="1:9" x14ac:dyDescent="0.25">
      <c r="A16" s="18"/>
      <c r="B16" s="18" t="s">
        <v>76</v>
      </c>
      <c r="C16" s="18" t="s">
        <v>65</v>
      </c>
      <c r="D16" s="18" t="s">
        <v>77</v>
      </c>
      <c r="E16" s="18" t="s">
        <v>78</v>
      </c>
      <c r="F16" s="18" t="s">
        <v>79</v>
      </c>
      <c r="G16" s="18" t="s">
        <v>80</v>
      </c>
      <c r="H16" s="18" t="s">
        <v>81</v>
      </c>
      <c r="I16" s="18" t="s">
        <v>82</v>
      </c>
    </row>
    <row r="17" spans="1:9" x14ac:dyDescent="0.25">
      <c r="A17" s="17" t="s">
        <v>83</v>
      </c>
      <c r="B17" s="17">
        <v>7.5601293573805087E-2</v>
      </c>
      <c r="C17" s="17">
        <v>2.5514736127490924E-2</v>
      </c>
      <c r="D17" s="17">
        <v>2.963044304908498</v>
      </c>
      <c r="E17" s="17">
        <v>3.0920870143587961E-3</v>
      </c>
      <c r="F17" s="17">
        <v>2.5554649045297355E-2</v>
      </c>
      <c r="G17" s="17">
        <v>0.12564793810231281</v>
      </c>
      <c r="H17" s="17">
        <v>2.5554649045297355E-2</v>
      </c>
      <c r="I17" s="17">
        <v>0.12564793810231281</v>
      </c>
    </row>
    <row r="18" spans="1:9" ht="17.25" thickBot="1" x14ac:dyDescent="0.3">
      <c r="A18" s="9" t="s">
        <v>84</v>
      </c>
      <c r="B18" s="9">
        <v>1.1111892095201161</v>
      </c>
      <c r="C18" s="9">
        <v>2.7069103503269507E-2</v>
      </c>
      <c r="D18" s="9">
        <v>41.050092751904494</v>
      </c>
      <c r="E18" s="9">
        <v>1.1170200100238907E-250</v>
      </c>
      <c r="F18" s="9">
        <v>1.0580937044769003</v>
      </c>
      <c r="G18" s="9">
        <v>1.1642847145633319</v>
      </c>
      <c r="H18" s="9">
        <v>1.0580937044769003</v>
      </c>
      <c r="I18" s="9">
        <v>1.1642847145633319</v>
      </c>
    </row>
    <row r="22" spans="1:9" x14ac:dyDescent="0.25">
      <c r="A22" s="13" t="s">
        <v>85</v>
      </c>
      <c r="B22" s="13"/>
      <c r="C22" s="13"/>
      <c r="D22" s="13"/>
    </row>
    <row r="23" spans="1:9" ht="17.25" thickBot="1" x14ac:dyDescent="0.3">
      <c r="A23" s="13"/>
      <c r="B23" s="13"/>
      <c r="C23" s="13"/>
      <c r="D23" s="13"/>
    </row>
    <row r="24" spans="1:9" x14ac:dyDescent="0.25">
      <c r="A24" s="18" t="s">
        <v>86</v>
      </c>
      <c r="B24" s="18" t="s">
        <v>87</v>
      </c>
      <c r="C24" s="18" t="s">
        <v>74</v>
      </c>
      <c r="D24" s="18" t="s">
        <v>88</v>
      </c>
    </row>
    <row r="25" spans="1:9" x14ac:dyDescent="0.25">
      <c r="A25" s="17">
        <v>1</v>
      </c>
      <c r="B25" s="17">
        <v>0.72420243517069682</v>
      </c>
      <c r="C25" s="17">
        <v>-0.58350243517069678</v>
      </c>
      <c r="D25" s="17">
        <v>-0.57772387224436417</v>
      </c>
    </row>
    <row r="26" spans="1:9" x14ac:dyDescent="0.25">
      <c r="A26" s="17">
        <v>2</v>
      </c>
      <c r="B26" s="17">
        <v>-0.27431218850407951</v>
      </c>
      <c r="C26" s="17">
        <v>0.41481218850407953</v>
      </c>
      <c r="D26" s="17">
        <v>0.41070420507607663</v>
      </c>
    </row>
    <row r="27" spans="1:9" x14ac:dyDescent="0.25">
      <c r="A27" s="17">
        <v>3</v>
      </c>
      <c r="B27" s="17">
        <v>-1.8069754651951755</v>
      </c>
      <c r="C27" s="17">
        <v>-0.17892453480482451</v>
      </c>
      <c r="D27" s="17">
        <v>-0.17715260272517175</v>
      </c>
    </row>
    <row r="28" spans="1:9" x14ac:dyDescent="0.25">
      <c r="A28" s="17">
        <v>4</v>
      </c>
      <c r="B28" s="17">
        <v>0.53485579386846904</v>
      </c>
      <c r="C28" s="17">
        <v>1.1697442061315309</v>
      </c>
      <c r="D28" s="17">
        <v>1.1581599519872159</v>
      </c>
    </row>
    <row r="29" spans="1:9" x14ac:dyDescent="0.25">
      <c r="A29" s="17">
        <v>5</v>
      </c>
      <c r="B29" s="17">
        <v>-1.1919322377257913</v>
      </c>
      <c r="C29" s="17">
        <v>3.2826322377257915</v>
      </c>
      <c r="D29" s="17">
        <v>3.2501235525749621</v>
      </c>
    </row>
    <row r="30" spans="1:9" x14ac:dyDescent="0.25">
      <c r="A30" s="17">
        <v>6</v>
      </c>
      <c r="B30" s="17">
        <v>0.51618781514853118</v>
      </c>
      <c r="C30" s="17">
        <v>1.8016121848514688</v>
      </c>
      <c r="D30" s="17">
        <v>1.7837703923386985</v>
      </c>
    </row>
    <row r="31" spans="1:9" x14ac:dyDescent="0.25">
      <c r="A31" s="17">
        <v>7</v>
      </c>
      <c r="B31" s="17">
        <v>1.4931453681586173</v>
      </c>
      <c r="C31" s="17">
        <v>-1.0896453681586173</v>
      </c>
      <c r="D31" s="17">
        <v>-1.0788543517930225</v>
      </c>
    </row>
    <row r="32" spans="1:9" x14ac:dyDescent="0.25">
      <c r="A32" s="17">
        <v>8</v>
      </c>
      <c r="B32" s="17">
        <v>0.48996374980385637</v>
      </c>
      <c r="C32" s="17">
        <v>4.5536250196143602E-2</v>
      </c>
      <c r="D32" s="17">
        <v>4.5085293916739787E-2</v>
      </c>
    </row>
    <row r="33" spans="1:4" x14ac:dyDescent="0.25">
      <c r="A33" s="17">
        <v>9</v>
      </c>
      <c r="B33" s="17">
        <v>0.20327693374766642</v>
      </c>
      <c r="C33" s="17">
        <v>-0.60457693374766641</v>
      </c>
      <c r="D33" s="17">
        <v>-0.59858966506652012</v>
      </c>
    </row>
    <row r="34" spans="1:4" x14ac:dyDescent="0.25">
      <c r="A34" s="17">
        <v>10</v>
      </c>
      <c r="B34" s="17">
        <v>3.4265054979656762E-2</v>
      </c>
      <c r="C34" s="17">
        <v>0.23343494502034323</v>
      </c>
      <c r="D34" s="17">
        <v>0.23112318342741958</v>
      </c>
    </row>
    <row r="35" spans="1:4" x14ac:dyDescent="0.25">
      <c r="A35" s="17">
        <v>11</v>
      </c>
      <c r="B35" s="17">
        <v>-0.51655143617946486</v>
      </c>
      <c r="C35" s="17">
        <v>1.844551436179465</v>
      </c>
      <c r="D35" s="17">
        <v>1.8262844060826633</v>
      </c>
    </row>
    <row r="36" spans="1:4" x14ac:dyDescent="0.25">
      <c r="A36" s="17">
        <v>12</v>
      </c>
      <c r="B36" s="17">
        <v>0.8527670267121743</v>
      </c>
      <c r="C36" s="17">
        <v>0.45783297328782568</v>
      </c>
      <c r="D36" s="17">
        <v>0.45329894483065275</v>
      </c>
    </row>
    <row r="37" spans="1:4" x14ac:dyDescent="0.25">
      <c r="A37" s="17">
        <v>13</v>
      </c>
      <c r="B37" s="17">
        <v>1.2775746615117147</v>
      </c>
      <c r="C37" s="17">
        <v>0.27282533848828527</v>
      </c>
      <c r="D37" s="17">
        <v>0.27012348449192386</v>
      </c>
    </row>
    <row r="38" spans="1:4" x14ac:dyDescent="0.25">
      <c r="A38" s="17">
        <v>14</v>
      </c>
      <c r="B38" s="17">
        <v>-0.71134290460834126</v>
      </c>
      <c r="C38" s="17">
        <v>-1.3612570953916587</v>
      </c>
      <c r="D38" s="17">
        <v>-1.3477762437096321</v>
      </c>
    </row>
    <row r="39" spans="1:4" x14ac:dyDescent="0.25">
      <c r="A39" s="17">
        <v>15</v>
      </c>
      <c r="B39" s="17">
        <v>-0.76579117587482681</v>
      </c>
      <c r="C39" s="17">
        <v>-1.6184088241251731</v>
      </c>
      <c r="D39" s="17">
        <v>-1.6023813379193899</v>
      </c>
    </row>
    <row r="40" spans="1:4" x14ac:dyDescent="0.25">
      <c r="A40" s="17">
        <v>16</v>
      </c>
      <c r="B40" s="17">
        <v>-9.5157998754358125E-3</v>
      </c>
      <c r="C40" s="17">
        <v>0.94351579987543588</v>
      </c>
      <c r="D40" s="17">
        <v>0.93417193926245612</v>
      </c>
    </row>
    <row r="41" spans="1:4" x14ac:dyDescent="0.25">
      <c r="A41" s="17">
        <v>17</v>
      </c>
      <c r="B41" s="17">
        <v>0.61241680069297311</v>
      </c>
      <c r="C41" s="17">
        <v>-1.0116168006929731</v>
      </c>
      <c r="D41" s="17">
        <v>-1.0015985197265371</v>
      </c>
    </row>
    <row r="42" spans="1:4" x14ac:dyDescent="0.25">
      <c r="A42" s="17">
        <v>18</v>
      </c>
      <c r="B42" s="17">
        <v>0.86287884851880736</v>
      </c>
      <c r="C42" s="17">
        <v>-1.3976788485188074</v>
      </c>
      <c r="D42" s="17">
        <v>-1.3838373035823115</v>
      </c>
    </row>
    <row r="43" spans="1:4" x14ac:dyDescent="0.25">
      <c r="A43" s="17">
        <v>19</v>
      </c>
      <c r="B43" s="17">
        <v>0.64430793100620054</v>
      </c>
      <c r="C43" s="17">
        <v>0.15679206899379949</v>
      </c>
      <c r="D43" s="17">
        <v>0.15523931996925514</v>
      </c>
    </row>
    <row r="44" spans="1:4" x14ac:dyDescent="0.25">
      <c r="A44" s="17">
        <v>20</v>
      </c>
      <c r="B44" s="17">
        <v>0.59619343823397941</v>
      </c>
      <c r="C44" s="17">
        <v>0.85600656176602052</v>
      </c>
      <c r="D44" s="17">
        <v>0.84752932588084118</v>
      </c>
    </row>
    <row r="45" spans="1:4" x14ac:dyDescent="0.25">
      <c r="A45" s="17">
        <v>21</v>
      </c>
      <c r="B45" s="17">
        <v>-0.34031682754957443</v>
      </c>
      <c r="C45" s="17">
        <v>-0.71368317245042556</v>
      </c>
      <c r="D45" s="17">
        <v>-0.70661539882534541</v>
      </c>
    </row>
    <row r="46" spans="1:4" x14ac:dyDescent="0.25">
      <c r="A46" s="17">
        <v>22</v>
      </c>
      <c r="B46" s="17">
        <v>-1.2112669299714414</v>
      </c>
      <c r="C46" s="17">
        <v>-1.0661330700285587</v>
      </c>
      <c r="D46" s="17">
        <v>-1.055574901524597</v>
      </c>
    </row>
    <row r="47" spans="1:4" x14ac:dyDescent="0.25">
      <c r="A47" s="17">
        <v>23</v>
      </c>
      <c r="B47" s="17">
        <v>-2.0483257615029449</v>
      </c>
      <c r="C47" s="17">
        <v>-0.42097423849705518</v>
      </c>
      <c r="D47" s="17">
        <v>-0.41680523082734672</v>
      </c>
    </row>
    <row r="48" spans="1:4" x14ac:dyDescent="0.25">
      <c r="A48" s="17">
        <v>24</v>
      </c>
      <c r="B48" s="17">
        <v>-2.8157130295975374</v>
      </c>
      <c r="C48" s="17">
        <v>1.9789130295975375</v>
      </c>
      <c r="D48" s="17">
        <v>1.9593153847926386</v>
      </c>
    </row>
    <row r="49" spans="1:4" x14ac:dyDescent="0.25">
      <c r="A49" s="17">
        <v>25</v>
      </c>
      <c r="B49" s="17">
        <v>1.0437804518286822</v>
      </c>
      <c r="C49" s="17">
        <v>0.48511954817131775</v>
      </c>
      <c r="D49" s="17">
        <v>0.48031529429518449</v>
      </c>
    </row>
    <row r="50" spans="1:4" x14ac:dyDescent="0.25">
      <c r="A50" s="17">
        <v>26</v>
      </c>
      <c r="B50" s="17">
        <v>0.53774488581322144</v>
      </c>
      <c r="C50" s="17">
        <v>-0.53774488581322144</v>
      </c>
      <c r="D50" s="17">
        <v>-0.53241947074434304</v>
      </c>
    </row>
    <row r="51" spans="1:4" x14ac:dyDescent="0.25">
      <c r="A51" s="17">
        <v>27</v>
      </c>
      <c r="B51" s="17">
        <v>-4.207364371437522E-2</v>
      </c>
      <c r="C51" s="17">
        <v>-0.51122635628562474</v>
      </c>
      <c r="D51" s="17">
        <v>-0.50616356050049316</v>
      </c>
    </row>
    <row r="52" spans="1:4" x14ac:dyDescent="0.25">
      <c r="A52" s="17">
        <v>28</v>
      </c>
      <c r="B52" s="17">
        <v>-0.29920282679733007</v>
      </c>
      <c r="C52" s="17">
        <v>0.85250282679733003</v>
      </c>
      <c r="D52" s="17">
        <v>0.84406028923005549</v>
      </c>
    </row>
    <row r="53" spans="1:4" x14ac:dyDescent="0.25">
      <c r="A53" s="17">
        <v>29</v>
      </c>
      <c r="B53" s="17">
        <v>2.1005213900823128</v>
      </c>
      <c r="C53" s="17">
        <v>-1.4132213900823127</v>
      </c>
      <c r="D53" s="17">
        <v>-1.3992259236725781</v>
      </c>
    </row>
    <row r="54" spans="1:4" x14ac:dyDescent="0.25">
      <c r="A54" s="17">
        <v>30</v>
      </c>
      <c r="B54" s="17">
        <v>1.415253028734266E-2</v>
      </c>
      <c r="C54" s="17">
        <v>0.53224746971265735</v>
      </c>
      <c r="D54" s="17">
        <v>0.52697649685850612</v>
      </c>
    </row>
    <row r="55" spans="1:4" x14ac:dyDescent="0.25">
      <c r="A55" s="17">
        <v>31</v>
      </c>
      <c r="B55" s="17">
        <v>-2.0286577124944389</v>
      </c>
      <c r="C55" s="17">
        <v>0.79495771249443892</v>
      </c>
      <c r="D55" s="17">
        <v>0.78708505783434535</v>
      </c>
    </row>
    <row r="56" spans="1:4" x14ac:dyDescent="0.25">
      <c r="A56" s="17">
        <v>32</v>
      </c>
      <c r="B56" s="17">
        <v>-1.7975303569142547</v>
      </c>
      <c r="C56" s="17">
        <v>-0.29316964308574534</v>
      </c>
      <c r="D56" s="17">
        <v>-0.29026631461863128</v>
      </c>
    </row>
    <row r="57" spans="1:4" x14ac:dyDescent="0.25">
      <c r="A57" s="17">
        <v>33</v>
      </c>
      <c r="B57" s="17">
        <v>0.23761268032183802</v>
      </c>
      <c r="C57" s="17">
        <v>-0.94431268032183802</v>
      </c>
      <c r="D57" s="17">
        <v>-0.93496092801290853</v>
      </c>
    </row>
    <row r="58" spans="1:4" x14ac:dyDescent="0.25">
      <c r="A58" s="17">
        <v>34</v>
      </c>
      <c r="B58" s="17">
        <v>0.82432058294845922</v>
      </c>
      <c r="C58" s="17">
        <v>-0.82432058294845922</v>
      </c>
      <c r="D58" s="17">
        <v>-0.81615714082221447</v>
      </c>
    </row>
    <row r="59" spans="1:4" x14ac:dyDescent="0.25">
      <c r="A59" s="17">
        <v>35</v>
      </c>
      <c r="B59" s="17">
        <v>1.7128274748807442</v>
      </c>
      <c r="C59" s="17">
        <v>-0.4443274748807442</v>
      </c>
      <c r="D59" s="17">
        <v>-0.43992719457558022</v>
      </c>
    </row>
    <row r="60" spans="1:4" x14ac:dyDescent="0.25">
      <c r="A60" s="17">
        <v>36</v>
      </c>
      <c r="B60" s="17">
        <v>-1.3069403209111234</v>
      </c>
      <c r="C60" s="17">
        <v>-0.10355967908887664</v>
      </c>
      <c r="D60" s="17">
        <v>-0.10253410303953107</v>
      </c>
    </row>
    <row r="61" spans="1:4" x14ac:dyDescent="0.25">
      <c r="A61" s="17">
        <v>37</v>
      </c>
      <c r="B61" s="17">
        <v>1.5890409969402033</v>
      </c>
      <c r="C61" s="17">
        <v>-1.0224409969402033</v>
      </c>
      <c r="D61" s="17">
        <v>-1.0123155213926114</v>
      </c>
    </row>
    <row r="62" spans="1:4" x14ac:dyDescent="0.25">
      <c r="A62" s="17">
        <v>38</v>
      </c>
      <c r="B62" s="17">
        <v>0.65608653662711369</v>
      </c>
      <c r="C62" s="17">
        <v>0.74641346337288639</v>
      </c>
      <c r="D62" s="17">
        <v>0.73902155391855773</v>
      </c>
    </row>
    <row r="63" spans="1:4" x14ac:dyDescent="0.25">
      <c r="A63" s="17">
        <v>39</v>
      </c>
      <c r="B63" s="17">
        <v>-0.82457308505844107</v>
      </c>
      <c r="C63" s="17">
        <v>-0.43682691494155901</v>
      </c>
      <c r="D63" s="17">
        <v>-0.43250091445937233</v>
      </c>
    </row>
    <row r="64" spans="1:4" x14ac:dyDescent="0.25">
      <c r="A64" s="17">
        <v>40</v>
      </c>
      <c r="B64" s="17">
        <v>0.50452032844856998</v>
      </c>
      <c r="C64" s="17">
        <v>0.33817967155143003</v>
      </c>
      <c r="D64" s="17">
        <v>0.33483059810344218</v>
      </c>
    </row>
    <row r="65" spans="1:4" x14ac:dyDescent="0.25">
      <c r="A65" s="17">
        <v>41</v>
      </c>
      <c r="B65" s="17">
        <v>0.10104752647181575</v>
      </c>
      <c r="C65" s="17">
        <v>-0.24104752647181577</v>
      </c>
      <c r="D65" s="17">
        <v>-0.23866037568032553</v>
      </c>
    </row>
    <row r="66" spans="1:4" x14ac:dyDescent="0.25">
      <c r="A66" s="17">
        <v>42</v>
      </c>
      <c r="B66" s="17">
        <v>-1.2964951423416342</v>
      </c>
      <c r="C66" s="17">
        <v>2.7995142341634249E-2</v>
      </c>
      <c r="D66" s="17">
        <v>2.771789981118029E-2</v>
      </c>
    </row>
    <row r="67" spans="1:4" x14ac:dyDescent="0.25">
      <c r="A67" s="17">
        <v>43</v>
      </c>
      <c r="B67" s="17">
        <v>-0.89724485936105669</v>
      </c>
      <c r="C67" s="17">
        <v>0.18554485936105669</v>
      </c>
      <c r="D67" s="17">
        <v>0.18370736463807111</v>
      </c>
    </row>
    <row r="68" spans="1:4" x14ac:dyDescent="0.25">
      <c r="A68" s="17">
        <v>44</v>
      </c>
      <c r="B68" s="17">
        <v>-0.54944263678126026</v>
      </c>
      <c r="C68" s="17">
        <v>0.97714263678126034</v>
      </c>
      <c r="D68" s="17">
        <v>0.96746576163164544</v>
      </c>
    </row>
    <row r="69" spans="1:4" x14ac:dyDescent="0.25">
      <c r="A69" s="17">
        <v>45</v>
      </c>
      <c r="B69" s="17">
        <v>-3.7115537703126544</v>
      </c>
      <c r="C69" s="17">
        <v>0.38515377031265441</v>
      </c>
      <c r="D69" s="17">
        <v>0.38133950123010146</v>
      </c>
    </row>
    <row r="70" spans="1:4" x14ac:dyDescent="0.25">
      <c r="A70" s="17">
        <v>46</v>
      </c>
      <c r="B70" s="17">
        <v>1.2774635425907628</v>
      </c>
      <c r="C70" s="17">
        <v>-0.54486354259076275</v>
      </c>
      <c r="D70" s="17">
        <v>-0.53946762977644147</v>
      </c>
    </row>
    <row r="71" spans="1:4" x14ac:dyDescent="0.25">
      <c r="A71" s="17">
        <v>47</v>
      </c>
      <c r="B71" s="17">
        <v>-0.48832723025765379</v>
      </c>
      <c r="C71" s="17">
        <v>-1.1305727697423462</v>
      </c>
      <c r="D71" s="17">
        <v>-1.1193764396176173</v>
      </c>
    </row>
    <row r="72" spans="1:4" x14ac:dyDescent="0.25">
      <c r="A72" s="17">
        <v>48</v>
      </c>
      <c r="B72" s="17">
        <v>1.5655949046193289</v>
      </c>
      <c r="C72" s="17">
        <v>-0.23909490461932892</v>
      </c>
      <c r="D72" s="17">
        <v>-0.23672709110488471</v>
      </c>
    </row>
    <row r="73" spans="1:4" x14ac:dyDescent="0.25">
      <c r="A73" s="17">
        <v>49</v>
      </c>
      <c r="B73" s="17">
        <v>1.0338908678639531</v>
      </c>
      <c r="C73" s="17">
        <v>-1.4190867863953072E-2</v>
      </c>
      <c r="D73" s="17">
        <v>-1.4050332335755773E-2</v>
      </c>
    </row>
    <row r="74" spans="1:4" x14ac:dyDescent="0.25">
      <c r="A74" s="17">
        <v>50</v>
      </c>
      <c r="B74" s="17">
        <v>0.60019371938825195</v>
      </c>
      <c r="C74" s="17">
        <v>-1.181593719388252</v>
      </c>
      <c r="D74" s="17">
        <v>-1.1698921167053995</v>
      </c>
    </row>
    <row r="75" spans="1:4" x14ac:dyDescent="0.25">
      <c r="A75" s="17">
        <v>51</v>
      </c>
      <c r="B75" s="17">
        <v>0.55496831856078321</v>
      </c>
      <c r="C75" s="17">
        <v>-0.40926831856078322</v>
      </c>
      <c r="D75" s="17">
        <v>-0.40521523739092319</v>
      </c>
    </row>
    <row r="76" spans="1:4" x14ac:dyDescent="0.25">
      <c r="A76" s="17">
        <v>52</v>
      </c>
      <c r="B76" s="17">
        <v>0.47885185770865524</v>
      </c>
      <c r="C76" s="17">
        <v>0.5349481422913448</v>
      </c>
      <c r="D76" s="17">
        <v>0.52965042403649132</v>
      </c>
    </row>
    <row r="77" spans="1:4" x14ac:dyDescent="0.25">
      <c r="A77" s="17">
        <v>53</v>
      </c>
      <c r="B77" s="17">
        <v>0.51174305831045075</v>
      </c>
      <c r="C77" s="17">
        <v>2.0488569416895492</v>
      </c>
      <c r="D77" s="17">
        <v>2.0285666257440074</v>
      </c>
    </row>
    <row r="78" spans="1:4" x14ac:dyDescent="0.25">
      <c r="A78" s="17">
        <v>54</v>
      </c>
      <c r="B78" s="17">
        <v>-0.6700066660141929</v>
      </c>
      <c r="C78" s="17">
        <v>0.3887066660141929</v>
      </c>
      <c r="D78" s="17">
        <v>0.38485721176334498</v>
      </c>
    </row>
    <row r="79" spans="1:4" x14ac:dyDescent="0.25">
      <c r="A79" s="17">
        <v>55</v>
      </c>
      <c r="B79" s="17">
        <v>0.63608513085575158</v>
      </c>
      <c r="C79" s="17">
        <v>-0.9181851308557516</v>
      </c>
      <c r="D79" s="17">
        <v>-0.90909212586234356</v>
      </c>
    </row>
    <row r="80" spans="1:4" x14ac:dyDescent="0.25">
      <c r="A80" s="17">
        <v>56</v>
      </c>
      <c r="B80" s="17">
        <v>0.71331278091739969</v>
      </c>
      <c r="C80" s="17">
        <v>-1.4220127809173997</v>
      </c>
      <c r="D80" s="17">
        <v>-1.4079302512803527</v>
      </c>
    </row>
    <row r="81" spans="1:4" x14ac:dyDescent="0.25">
      <c r="A81" s="17">
        <v>57</v>
      </c>
      <c r="B81" s="17">
        <v>0.54663439948938231</v>
      </c>
      <c r="C81" s="17">
        <v>-0.12083439948938229</v>
      </c>
      <c r="D81" s="17">
        <v>-0.11963774778918718</v>
      </c>
    </row>
    <row r="82" spans="1:4" x14ac:dyDescent="0.25">
      <c r="A82" s="17">
        <v>58</v>
      </c>
      <c r="B82" s="17">
        <v>0.35128733645574589</v>
      </c>
      <c r="C82" s="17">
        <v>-0.2097873364557459</v>
      </c>
      <c r="D82" s="17">
        <v>-0.20770976273576203</v>
      </c>
    </row>
    <row r="83" spans="1:4" x14ac:dyDescent="0.25">
      <c r="A83" s="17">
        <v>59</v>
      </c>
      <c r="B83" s="17">
        <v>1.9311761545514472</v>
      </c>
      <c r="C83" s="17">
        <v>1.1331238454485526</v>
      </c>
      <c r="D83" s="17">
        <v>1.1219022514164094</v>
      </c>
    </row>
    <row r="84" spans="1:4" x14ac:dyDescent="0.25">
      <c r="A84" s="17">
        <v>60</v>
      </c>
      <c r="B84" s="17">
        <v>0.69486704003936584</v>
      </c>
      <c r="C84" s="17">
        <v>-0.83216704003936581</v>
      </c>
      <c r="D84" s="17">
        <v>-0.82392589258866034</v>
      </c>
    </row>
    <row r="85" spans="1:4" x14ac:dyDescent="0.25">
      <c r="A85" s="17">
        <v>61</v>
      </c>
      <c r="B85" s="17">
        <v>-1.7405243263028627E-2</v>
      </c>
      <c r="C85" s="17">
        <v>0.15470524326302865</v>
      </c>
      <c r="D85" s="17">
        <v>0.15317316056834807</v>
      </c>
    </row>
    <row r="86" spans="1:4" x14ac:dyDescent="0.25">
      <c r="A86" s="17">
        <v>62</v>
      </c>
      <c r="B86" s="17">
        <v>-0.10618926110368591</v>
      </c>
      <c r="C86" s="17">
        <v>-2.3939107388963143</v>
      </c>
      <c r="D86" s="17">
        <v>-2.3702032734070078</v>
      </c>
    </row>
    <row r="87" spans="1:4" x14ac:dyDescent="0.25">
      <c r="A87" s="17">
        <v>63</v>
      </c>
      <c r="B87" s="17">
        <v>-1.7911965784199899</v>
      </c>
      <c r="C87" s="17">
        <v>0.37469657841998982</v>
      </c>
      <c r="D87" s="17">
        <v>0.37098586938747646</v>
      </c>
    </row>
    <row r="88" spans="1:4" x14ac:dyDescent="0.25">
      <c r="A88" s="17">
        <v>64</v>
      </c>
      <c r="B88" s="17">
        <v>0.67642129916133187</v>
      </c>
      <c r="C88" s="17">
        <v>0.17587870083866808</v>
      </c>
      <c r="D88" s="17">
        <v>0.17413693237475317</v>
      </c>
    </row>
    <row r="89" spans="1:4" x14ac:dyDescent="0.25">
      <c r="A89" s="17">
        <v>65</v>
      </c>
      <c r="B89" s="17">
        <v>0.35706552034525046</v>
      </c>
      <c r="C89" s="17">
        <v>-1.6382655203452503</v>
      </c>
      <c r="D89" s="17">
        <v>-1.6220413885700562</v>
      </c>
    </row>
    <row r="90" spans="1:4" x14ac:dyDescent="0.25">
      <c r="A90" s="17">
        <v>66</v>
      </c>
      <c r="B90" s="17">
        <v>-1.0009188126092834</v>
      </c>
      <c r="C90" s="17">
        <v>0.13761881260928344</v>
      </c>
      <c r="D90" s="17">
        <v>0.13625594088745885</v>
      </c>
    </row>
    <row r="91" spans="1:4" x14ac:dyDescent="0.25">
      <c r="A91" s="17">
        <v>67</v>
      </c>
      <c r="B91" s="17">
        <v>2.5820016987303886E-2</v>
      </c>
      <c r="C91" s="17">
        <v>-0.3152200169873039</v>
      </c>
      <c r="D91" s="17">
        <v>-0.31209831844071961</v>
      </c>
    </row>
    <row r="92" spans="1:4" x14ac:dyDescent="0.25">
      <c r="A92" s="17">
        <v>68</v>
      </c>
      <c r="B92" s="17">
        <v>-0.90013395130580887</v>
      </c>
      <c r="C92" s="17">
        <v>-0.41276604869419109</v>
      </c>
      <c r="D92" s="17">
        <v>-0.40867832867373344</v>
      </c>
    </row>
    <row r="93" spans="1:4" x14ac:dyDescent="0.25">
      <c r="A93" s="17">
        <v>69</v>
      </c>
      <c r="B93" s="17">
        <v>2.2974241180092774</v>
      </c>
      <c r="C93" s="17">
        <v>0.16827588199072263</v>
      </c>
      <c r="D93" s="17">
        <v>0.16660940604399749</v>
      </c>
    </row>
    <row r="94" spans="1:4" x14ac:dyDescent="0.25">
      <c r="A94" s="17">
        <v>70</v>
      </c>
      <c r="B94" s="17">
        <v>1.8777279535735296</v>
      </c>
      <c r="C94" s="17">
        <v>-0.59652795357352972</v>
      </c>
      <c r="D94" s="17">
        <v>-0.59062039585094261</v>
      </c>
    </row>
    <row r="95" spans="1:4" x14ac:dyDescent="0.25">
      <c r="A95" s="17">
        <v>71</v>
      </c>
      <c r="B95" s="17">
        <v>0.21827798807618798</v>
      </c>
      <c r="C95" s="17">
        <v>6.4222011923811995E-2</v>
      </c>
      <c r="D95" s="17">
        <v>6.3586006116828742E-2</v>
      </c>
    </row>
    <row r="96" spans="1:4" x14ac:dyDescent="0.25">
      <c r="A96" s="17">
        <v>72</v>
      </c>
      <c r="B96" s="17">
        <v>-0.15941522423969945</v>
      </c>
      <c r="C96" s="17">
        <v>-0.69048477576030054</v>
      </c>
      <c r="D96" s="17">
        <v>-0.68364674135648806</v>
      </c>
    </row>
    <row r="97" spans="1:4" x14ac:dyDescent="0.25">
      <c r="A97" s="17">
        <v>73</v>
      </c>
      <c r="B97" s="17">
        <v>3.9821001027257351E-2</v>
      </c>
      <c r="C97" s="17">
        <v>-3.9821001027257351E-2</v>
      </c>
      <c r="D97" s="17">
        <v>-3.9426644215090415E-2</v>
      </c>
    </row>
    <row r="98" spans="1:4" x14ac:dyDescent="0.25">
      <c r="A98" s="17">
        <v>74</v>
      </c>
      <c r="B98" s="17">
        <v>1.3207999217620472</v>
      </c>
      <c r="C98" s="17">
        <v>1.4844000782379529</v>
      </c>
      <c r="D98" s="17">
        <v>1.4696997124075315</v>
      </c>
    </row>
    <row r="99" spans="1:4" x14ac:dyDescent="0.25">
      <c r="A99" s="17">
        <v>75</v>
      </c>
      <c r="B99" s="17">
        <v>-3.1961821907742147E-2</v>
      </c>
      <c r="C99" s="17">
        <v>0.99546182190774213</v>
      </c>
      <c r="D99" s="17">
        <v>0.98560352752552105</v>
      </c>
    </row>
    <row r="100" spans="1:4" x14ac:dyDescent="0.25">
      <c r="A100" s="17">
        <v>76</v>
      </c>
      <c r="B100" s="17">
        <v>-0.3328718598457896</v>
      </c>
      <c r="C100" s="17">
        <v>0.60647185984578966</v>
      </c>
      <c r="D100" s="17">
        <v>0.60046582526232872</v>
      </c>
    </row>
    <row r="101" spans="1:4" x14ac:dyDescent="0.25">
      <c r="A101" s="17">
        <v>77</v>
      </c>
      <c r="B101" s="17">
        <v>-0.69256380696745123</v>
      </c>
      <c r="C101" s="17">
        <v>2.5870638069674512</v>
      </c>
      <c r="D101" s="17">
        <v>2.5614435008608867</v>
      </c>
    </row>
    <row r="102" spans="1:4" x14ac:dyDescent="0.25">
      <c r="A102" s="17">
        <v>78</v>
      </c>
      <c r="B102" s="17">
        <v>8.8046612720430392E-2</v>
      </c>
      <c r="C102" s="17">
        <v>-1.1662466127204305</v>
      </c>
      <c r="D102" s="17">
        <v>-1.1546969960727198</v>
      </c>
    </row>
    <row r="103" spans="1:4" x14ac:dyDescent="0.25">
      <c r="A103" s="17">
        <v>79</v>
      </c>
      <c r="B103" s="17">
        <v>0.95377412585755283</v>
      </c>
      <c r="C103" s="17">
        <v>0.39212587414244726</v>
      </c>
      <c r="D103" s="17">
        <v>0.38824255866303126</v>
      </c>
    </row>
    <row r="104" spans="1:4" x14ac:dyDescent="0.25">
      <c r="A104" s="17">
        <v>80</v>
      </c>
      <c r="B104" s="17">
        <v>-0.43876819151305668</v>
      </c>
      <c r="C104" s="17">
        <v>0.7057681915130567</v>
      </c>
      <c r="D104" s="17">
        <v>0.69877880182033147</v>
      </c>
    </row>
    <row r="105" spans="1:4" x14ac:dyDescent="0.25">
      <c r="A105" s="17">
        <v>81</v>
      </c>
      <c r="B105" s="17">
        <v>0.79098490666285592</v>
      </c>
      <c r="C105" s="17">
        <v>-0.12648490666285594</v>
      </c>
      <c r="D105" s="17">
        <v>-0.12523229665075067</v>
      </c>
    </row>
    <row r="106" spans="1:4" x14ac:dyDescent="0.25">
      <c r="A106" s="17">
        <v>82</v>
      </c>
      <c r="B106" s="17">
        <v>-7.7853936260922948E-2</v>
      </c>
      <c r="C106" s="17">
        <v>-1.389846063739077</v>
      </c>
      <c r="D106" s="17">
        <v>-1.3760820887269034</v>
      </c>
    </row>
    <row r="107" spans="1:4" x14ac:dyDescent="0.25">
      <c r="A107" s="17">
        <v>83</v>
      </c>
      <c r="B107" s="17">
        <v>3.6820790161553034E-2</v>
      </c>
      <c r="C107" s="17">
        <v>0.76637920983844698</v>
      </c>
      <c r="D107" s="17">
        <v>0.75878957486427756</v>
      </c>
    </row>
    <row r="108" spans="1:4" x14ac:dyDescent="0.25">
      <c r="A108" s="17">
        <v>84</v>
      </c>
      <c r="B108" s="17">
        <v>0.23572365866565381</v>
      </c>
      <c r="C108" s="17">
        <v>0.69327634133434624</v>
      </c>
      <c r="D108" s="17">
        <v>0.68641066139495366</v>
      </c>
    </row>
    <row r="109" spans="1:4" x14ac:dyDescent="0.25">
      <c r="A109" s="17">
        <v>85</v>
      </c>
      <c r="B109" s="17">
        <v>-0.26120015583174211</v>
      </c>
      <c r="C109" s="17">
        <v>0.52510015583174208</v>
      </c>
      <c r="D109" s="17">
        <v>0.51989996452112119</v>
      </c>
    </row>
    <row r="110" spans="1:4" x14ac:dyDescent="0.25">
      <c r="A110" s="17">
        <v>86</v>
      </c>
      <c r="B110" s="17">
        <v>-1.104815003699414</v>
      </c>
      <c r="C110" s="17">
        <v>-0.22148499630058605</v>
      </c>
      <c r="D110" s="17">
        <v>-0.21929157788239714</v>
      </c>
    </row>
    <row r="111" spans="1:4" x14ac:dyDescent="0.25">
      <c r="A111" s="17">
        <v>87</v>
      </c>
      <c r="B111" s="17">
        <v>-0.27264540468979931</v>
      </c>
      <c r="C111" s="17">
        <v>1.2028454046897994</v>
      </c>
      <c r="D111" s="17">
        <v>1.1909333415300001</v>
      </c>
    </row>
    <row r="112" spans="1:4" x14ac:dyDescent="0.25">
      <c r="A112" s="17">
        <v>88</v>
      </c>
      <c r="B112" s="17">
        <v>0.82954317223320384</v>
      </c>
      <c r="C112" s="17">
        <v>-1.2271431722332038</v>
      </c>
      <c r="D112" s="17">
        <v>-1.2149904825219868</v>
      </c>
    </row>
    <row r="113" spans="1:4" x14ac:dyDescent="0.25">
      <c r="A113" s="17">
        <v>89</v>
      </c>
      <c r="B113" s="17">
        <v>-0.57511110752117489</v>
      </c>
      <c r="C113" s="17">
        <v>0.44221110752117487</v>
      </c>
      <c r="D113" s="17">
        <v>0.43783178610362705</v>
      </c>
    </row>
    <row r="114" spans="1:4" x14ac:dyDescent="0.25">
      <c r="A114" s="17">
        <v>90</v>
      </c>
      <c r="B114" s="17">
        <v>-0.6277814760524284</v>
      </c>
      <c r="C114" s="17">
        <v>1.0258814760524284</v>
      </c>
      <c r="D114" s="17">
        <v>1.0157219286246721</v>
      </c>
    </row>
    <row r="115" spans="1:4" x14ac:dyDescent="0.25">
      <c r="A115" s="17">
        <v>91</v>
      </c>
      <c r="B115" s="17">
        <v>-1.0591451271881374</v>
      </c>
      <c r="C115" s="17">
        <v>0.52794512718813735</v>
      </c>
      <c r="D115" s="17">
        <v>0.52271676145181467</v>
      </c>
    </row>
    <row r="116" spans="1:4" x14ac:dyDescent="0.25">
      <c r="A116" s="17">
        <v>92</v>
      </c>
      <c r="B116" s="17">
        <v>0.1878314037353368</v>
      </c>
      <c r="C116" s="17">
        <v>-0.58813140373533679</v>
      </c>
      <c r="D116" s="17">
        <v>-0.5823069990360783</v>
      </c>
    </row>
    <row r="117" spans="1:4" x14ac:dyDescent="0.25">
      <c r="A117" s="17">
        <v>93</v>
      </c>
      <c r="B117" s="17">
        <v>-0.30298087010969849</v>
      </c>
      <c r="C117" s="17">
        <v>-9.8919129890301494E-2</v>
      </c>
      <c r="D117" s="17">
        <v>-9.7939510299644678E-2</v>
      </c>
    </row>
    <row r="118" spans="1:4" x14ac:dyDescent="0.25">
      <c r="A118" s="17">
        <v>94</v>
      </c>
      <c r="B118" s="17">
        <v>0.85021129153027797</v>
      </c>
      <c r="C118" s="17">
        <v>-1.2537112915302779</v>
      </c>
      <c r="D118" s="17">
        <v>-1.2412954914360725</v>
      </c>
    </row>
    <row r="119" spans="1:4" x14ac:dyDescent="0.25">
      <c r="A119" s="17">
        <v>95</v>
      </c>
      <c r="B119" s="17">
        <v>0.34506467688243325</v>
      </c>
      <c r="C119" s="17">
        <v>-0.61496467688243328</v>
      </c>
      <c r="D119" s="17">
        <v>-0.60887453591875873</v>
      </c>
    </row>
    <row r="120" spans="1:4" x14ac:dyDescent="0.25">
      <c r="A120" s="17">
        <v>96</v>
      </c>
      <c r="B120" s="17">
        <v>0.24472429126276679</v>
      </c>
      <c r="C120" s="17">
        <v>1.2307757087372333</v>
      </c>
      <c r="D120" s="17">
        <v>1.2185870451559766</v>
      </c>
    </row>
    <row r="121" spans="1:4" x14ac:dyDescent="0.25">
      <c r="A121" s="17">
        <v>97</v>
      </c>
      <c r="B121" s="17">
        <v>2.1329681150003004</v>
      </c>
      <c r="C121" s="17">
        <v>-2.4868115000300506E-2</v>
      </c>
      <c r="D121" s="17">
        <v>-2.4621840162824506E-2</v>
      </c>
    </row>
    <row r="122" spans="1:4" x14ac:dyDescent="0.25">
      <c r="A122" s="17">
        <v>98</v>
      </c>
      <c r="B122" s="17">
        <v>0.97733133709937936</v>
      </c>
      <c r="C122" s="17">
        <v>-0.58693133709937939</v>
      </c>
      <c r="D122" s="17">
        <v>-0.58111881694447531</v>
      </c>
    </row>
    <row r="123" spans="1:4" x14ac:dyDescent="0.25">
      <c r="A123" s="17">
        <v>99</v>
      </c>
      <c r="B123" s="17">
        <v>-0.80157146842137461</v>
      </c>
      <c r="C123" s="17">
        <v>1.9271468421374616E-2</v>
      </c>
      <c r="D123" s="17">
        <v>1.9080618501574078E-2</v>
      </c>
    </row>
    <row r="124" spans="1:4" x14ac:dyDescent="0.25">
      <c r="A124" s="17">
        <v>100</v>
      </c>
      <c r="B124" s="17">
        <v>0.74898195454299543</v>
      </c>
      <c r="C124" s="17">
        <v>0.29271804545700464</v>
      </c>
      <c r="D124" s="17">
        <v>0.28981918926825273</v>
      </c>
    </row>
    <row r="125" spans="1:4" x14ac:dyDescent="0.25">
      <c r="A125" s="17">
        <v>101</v>
      </c>
      <c r="B125" s="17">
        <v>0.20505483648289863</v>
      </c>
      <c r="C125" s="17">
        <v>0.18274516351710135</v>
      </c>
      <c r="D125" s="17">
        <v>0.18093539484568597</v>
      </c>
    </row>
    <row r="126" spans="1:4" x14ac:dyDescent="0.25">
      <c r="A126" s="17">
        <v>102</v>
      </c>
      <c r="B126" s="17">
        <v>-0.53755291223939494</v>
      </c>
      <c r="C126" s="17">
        <v>0.53755291223939494</v>
      </c>
      <c r="D126" s="17">
        <v>0.53222939833032279</v>
      </c>
    </row>
    <row r="127" spans="1:4" x14ac:dyDescent="0.25">
      <c r="A127" s="17">
        <v>103</v>
      </c>
      <c r="B127" s="17">
        <v>-9.0713241916277609E-3</v>
      </c>
      <c r="C127" s="17">
        <v>-0.7681286758083723</v>
      </c>
      <c r="D127" s="17">
        <v>-0.76052171545801706</v>
      </c>
    </row>
    <row r="128" spans="1:4" x14ac:dyDescent="0.25">
      <c r="A128" s="17">
        <v>104</v>
      </c>
      <c r="B128" s="17">
        <v>-1.9599862193460953</v>
      </c>
      <c r="C128" s="17">
        <v>-0.14261378065390451</v>
      </c>
      <c r="D128" s="17">
        <v>-0.14120144257954892</v>
      </c>
    </row>
    <row r="129" spans="1:4" x14ac:dyDescent="0.25">
      <c r="A129" s="17">
        <v>105</v>
      </c>
      <c r="B129" s="17">
        <v>-1.5089545192018805</v>
      </c>
      <c r="C129" s="17">
        <v>0.70895451920188046</v>
      </c>
      <c r="D129" s="17">
        <v>0.70193357455077976</v>
      </c>
    </row>
    <row r="130" spans="1:4" x14ac:dyDescent="0.25">
      <c r="A130" s="17">
        <v>106</v>
      </c>
      <c r="B130" s="17">
        <v>1.5451490231641587</v>
      </c>
      <c r="C130" s="17">
        <v>0.44295097683584128</v>
      </c>
      <c r="D130" s="17">
        <v>0.43856432831709496</v>
      </c>
    </row>
    <row r="131" spans="1:4" x14ac:dyDescent="0.25">
      <c r="A131" s="17">
        <v>107</v>
      </c>
      <c r="B131" s="17">
        <v>0.10049193186705568</v>
      </c>
      <c r="C131" s="17">
        <v>0.94390806813294437</v>
      </c>
      <c r="D131" s="17">
        <v>0.93456032279442891</v>
      </c>
    </row>
    <row r="132" spans="1:4" x14ac:dyDescent="0.25">
      <c r="A132" s="17">
        <v>108</v>
      </c>
      <c r="B132" s="17">
        <v>-2.1776681854910866</v>
      </c>
      <c r="C132" s="17">
        <v>0.2103681854910866</v>
      </c>
      <c r="D132" s="17">
        <v>0.20828485948542386</v>
      </c>
    </row>
    <row r="133" spans="1:4" x14ac:dyDescent="0.25">
      <c r="A133" s="17">
        <v>109</v>
      </c>
      <c r="B133" s="17">
        <v>-0.16330438647301987</v>
      </c>
      <c r="C133" s="17">
        <v>-1.5735956135269802</v>
      </c>
      <c r="D133" s="17">
        <v>-1.5580119231680762</v>
      </c>
    </row>
    <row r="134" spans="1:4" x14ac:dyDescent="0.25">
      <c r="A134" s="17">
        <v>110</v>
      </c>
      <c r="B134" s="17">
        <v>-1.2924948611873617</v>
      </c>
      <c r="C134" s="17">
        <v>2.2314948611873615</v>
      </c>
      <c r="D134" s="17">
        <v>2.2093958386333479</v>
      </c>
    </row>
    <row r="135" spans="1:4" x14ac:dyDescent="0.25">
      <c r="A135" s="17">
        <v>111</v>
      </c>
      <c r="B135" s="17">
        <v>0.94077321210616749</v>
      </c>
      <c r="C135" s="17">
        <v>0.38552678789383255</v>
      </c>
      <c r="D135" s="17">
        <v>0.38170882472975476</v>
      </c>
    </row>
    <row r="136" spans="1:4" x14ac:dyDescent="0.25">
      <c r="A136" s="17">
        <v>112</v>
      </c>
      <c r="B136" s="17">
        <v>0.37451119093471635</v>
      </c>
      <c r="C136" s="17">
        <v>-1.5674111909347164</v>
      </c>
      <c r="D136" s="17">
        <v>-1.5518887463786717</v>
      </c>
    </row>
    <row r="137" spans="1:4" x14ac:dyDescent="0.25">
      <c r="A137" s="17">
        <v>113</v>
      </c>
      <c r="B137" s="17">
        <v>-0.6227811246095879</v>
      </c>
      <c r="C137" s="17">
        <v>-0.44961887539041212</v>
      </c>
      <c r="D137" s="17">
        <v>-0.44516619309175071</v>
      </c>
    </row>
    <row r="138" spans="1:4" x14ac:dyDescent="0.25">
      <c r="A138" s="17">
        <v>114</v>
      </c>
      <c r="B138" s="17">
        <v>-0.37543040657041005</v>
      </c>
      <c r="C138" s="17">
        <v>-1.3921695934295899</v>
      </c>
      <c r="D138" s="17">
        <v>-1.378382607952132</v>
      </c>
    </row>
    <row r="139" spans="1:4" x14ac:dyDescent="0.25">
      <c r="A139" s="17">
        <v>115</v>
      </c>
      <c r="B139" s="17">
        <v>-0.35398445482667185</v>
      </c>
      <c r="C139" s="17">
        <v>-0.88831554517332811</v>
      </c>
      <c r="D139" s="17">
        <v>-0.87951834576708765</v>
      </c>
    </row>
    <row r="140" spans="1:4" x14ac:dyDescent="0.25">
      <c r="A140" s="17">
        <v>116</v>
      </c>
      <c r="B140" s="17">
        <v>-0.20652964672335244</v>
      </c>
      <c r="C140" s="17">
        <v>0.89852964672335234</v>
      </c>
      <c r="D140" s="17">
        <v>0.88963129464835644</v>
      </c>
    </row>
    <row r="141" spans="1:4" x14ac:dyDescent="0.25">
      <c r="A141" s="17">
        <v>117</v>
      </c>
      <c r="B141" s="17">
        <v>1.3041320836192456</v>
      </c>
      <c r="C141" s="17">
        <v>1.2821679163807544</v>
      </c>
      <c r="D141" s="17">
        <v>1.2694703035854222</v>
      </c>
    </row>
    <row r="142" spans="1:4" x14ac:dyDescent="0.25">
      <c r="A142" s="17">
        <v>118</v>
      </c>
      <c r="B142" s="17">
        <v>1.0942284419408954</v>
      </c>
      <c r="C142" s="17">
        <v>1.9971558059104666E-2</v>
      </c>
      <c r="D142" s="17">
        <v>1.9773774985675539E-2</v>
      </c>
    </row>
    <row r="143" spans="1:4" x14ac:dyDescent="0.25">
      <c r="A143" s="17">
        <v>119</v>
      </c>
      <c r="B143" s="17">
        <v>1.1869016220148734</v>
      </c>
      <c r="C143" s="17">
        <v>-0.35930162201487337</v>
      </c>
      <c r="D143" s="17">
        <v>-0.3557433728847923</v>
      </c>
    </row>
    <row r="144" spans="1:4" x14ac:dyDescent="0.25">
      <c r="A144" s="17">
        <v>120</v>
      </c>
      <c r="B144" s="17">
        <v>0.51507662593901105</v>
      </c>
      <c r="C144" s="17">
        <v>0.44182337406098893</v>
      </c>
      <c r="D144" s="17">
        <v>0.43744789245980392</v>
      </c>
    </row>
    <row r="145" spans="1:4" x14ac:dyDescent="0.25">
      <c r="A145" s="17">
        <v>121</v>
      </c>
      <c r="B145" s="17">
        <v>0.1952763714391216</v>
      </c>
      <c r="C145" s="17">
        <v>-0.60427637143912161</v>
      </c>
      <c r="D145" s="17">
        <v>-0.59829207929776074</v>
      </c>
    </row>
    <row r="146" spans="1:4" x14ac:dyDescent="0.25">
      <c r="A146" s="17">
        <v>122</v>
      </c>
      <c r="B146" s="17">
        <v>0.57708098383023343</v>
      </c>
      <c r="C146" s="17">
        <v>-1.1249809838302336</v>
      </c>
      <c r="D146" s="17">
        <v>-1.1138400304868445</v>
      </c>
    </row>
    <row r="147" spans="1:4" x14ac:dyDescent="0.25">
      <c r="A147" s="17">
        <v>123</v>
      </c>
      <c r="B147" s="17">
        <v>-0.5719997777345186</v>
      </c>
      <c r="C147" s="17">
        <v>-1.0901002222654812</v>
      </c>
      <c r="D147" s="17">
        <v>-1.0793047013718495</v>
      </c>
    </row>
    <row r="148" spans="1:4" x14ac:dyDescent="0.25">
      <c r="A148" s="17">
        <v>124</v>
      </c>
      <c r="B148" s="17">
        <v>-0.23042021472803487</v>
      </c>
      <c r="C148" s="17">
        <v>1.4795202147280349</v>
      </c>
      <c r="D148" s="17">
        <v>1.4648681753426533</v>
      </c>
    </row>
    <row r="149" spans="1:4" x14ac:dyDescent="0.25">
      <c r="A149" s="17">
        <v>125</v>
      </c>
      <c r="B149" s="17">
        <v>-0.99580734224549095</v>
      </c>
      <c r="C149" s="17">
        <v>-0.67319265775450909</v>
      </c>
      <c r="D149" s="17">
        <v>-0.66652587129415519</v>
      </c>
    </row>
    <row r="150" spans="1:4" x14ac:dyDescent="0.25">
      <c r="A150" s="17">
        <v>126</v>
      </c>
      <c r="B150" s="17">
        <v>-2.192558120898656</v>
      </c>
      <c r="C150" s="17">
        <v>0.78005812089865589</v>
      </c>
      <c r="D150" s="17">
        <v>0.77233302042586871</v>
      </c>
    </row>
    <row r="151" spans="1:4" x14ac:dyDescent="0.25">
      <c r="A151" s="17">
        <v>127</v>
      </c>
      <c r="B151" s="17">
        <v>3.3709460374896701E-2</v>
      </c>
      <c r="C151" s="17">
        <v>2.633090539625103</v>
      </c>
      <c r="D151" s="17">
        <v>2.6070144198750564</v>
      </c>
    </row>
    <row r="152" spans="1:4" x14ac:dyDescent="0.25">
      <c r="A152" s="17">
        <v>128</v>
      </c>
      <c r="B152" s="17">
        <v>-1.5627340527796449E-2</v>
      </c>
      <c r="C152" s="17">
        <v>-2.0837726594722037</v>
      </c>
      <c r="D152" s="17">
        <v>-2.0631365648971931</v>
      </c>
    </row>
    <row r="153" spans="1:4" x14ac:dyDescent="0.25">
      <c r="A153" s="17">
        <v>129</v>
      </c>
      <c r="B153" s="17">
        <v>1.2913534077097641</v>
      </c>
      <c r="C153" s="17">
        <v>-2.429353407709764</v>
      </c>
      <c r="D153" s="17">
        <v>-2.4052949450700241</v>
      </c>
    </row>
    <row r="154" spans="1:4" x14ac:dyDescent="0.25">
      <c r="A154" s="17">
        <v>130</v>
      </c>
      <c r="B154" s="17">
        <v>-0.39965433133794864</v>
      </c>
      <c r="C154" s="17">
        <v>0.11315433133794867</v>
      </c>
      <c r="D154" s="17">
        <v>0.11203373717310659</v>
      </c>
    </row>
    <row r="155" spans="1:4" x14ac:dyDescent="0.25">
      <c r="A155" s="17">
        <v>131</v>
      </c>
      <c r="B155" s="17">
        <v>-0.11007842333700631</v>
      </c>
      <c r="C155" s="17">
        <v>-1.6266215766629937</v>
      </c>
      <c r="D155" s="17">
        <v>-1.6105127576221139</v>
      </c>
    </row>
    <row r="156" spans="1:4" x14ac:dyDescent="0.25">
      <c r="A156" s="17">
        <v>132</v>
      </c>
      <c r="B156" s="17">
        <v>2.4145434606926974</v>
      </c>
      <c r="C156" s="17">
        <v>2.0115565393073025</v>
      </c>
      <c r="D156" s="17">
        <v>1.9916356180880745</v>
      </c>
    </row>
    <row r="157" spans="1:4" x14ac:dyDescent="0.25">
      <c r="A157" s="17">
        <v>133</v>
      </c>
      <c r="B157" s="17">
        <v>0.21216644742382734</v>
      </c>
      <c r="C157" s="17">
        <v>-0.21216644742382734</v>
      </c>
      <c r="D157" s="17">
        <v>-0.2100653128039926</v>
      </c>
    </row>
    <row r="158" spans="1:4" x14ac:dyDescent="0.25">
      <c r="A158" s="17">
        <v>134</v>
      </c>
      <c r="B158" s="17">
        <v>0.68475521823273278</v>
      </c>
      <c r="C158" s="17">
        <v>-0.12765521823273274</v>
      </c>
      <c r="D158" s="17">
        <v>-0.12639101834774549</v>
      </c>
    </row>
    <row r="159" spans="1:4" x14ac:dyDescent="0.25">
      <c r="A159" s="17">
        <v>135</v>
      </c>
      <c r="B159" s="17">
        <v>-0.96969439582176808</v>
      </c>
      <c r="C159" s="17">
        <v>0.96969439582176808</v>
      </c>
      <c r="D159" s="17">
        <v>0.96009128236787311</v>
      </c>
    </row>
    <row r="160" spans="1:4" x14ac:dyDescent="0.25">
      <c r="A160" s="17">
        <v>136</v>
      </c>
      <c r="B160" s="17">
        <v>1.4802555733281839</v>
      </c>
      <c r="C160" s="17">
        <v>0.85344442667181597</v>
      </c>
      <c r="D160" s="17">
        <v>0.84499256421779168</v>
      </c>
    </row>
    <row r="161" spans="1:4" x14ac:dyDescent="0.25">
      <c r="A161" s="17">
        <v>137</v>
      </c>
      <c r="B161" s="17">
        <v>0.36562167725855538</v>
      </c>
      <c r="C161" s="17">
        <v>-0.77352167725855536</v>
      </c>
      <c r="D161" s="17">
        <v>-0.76586130873650571</v>
      </c>
    </row>
    <row r="162" spans="1:4" x14ac:dyDescent="0.25">
      <c r="A162" s="17">
        <v>138</v>
      </c>
      <c r="B162" s="17">
        <v>-0.56333250190026163</v>
      </c>
      <c r="C162" s="17">
        <v>1.6932501900261632E-2</v>
      </c>
      <c r="D162" s="17">
        <v>1.676481532033796E-2</v>
      </c>
    </row>
    <row r="163" spans="1:4" x14ac:dyDescent="0.25">
      <c r="A163" s="17">
        <v>139</v>
      </c>
      <c r="B163" s="17">
        <v>-1.4979537460276313</v>
      </c>
      <c r="C163" s="17">
        <v>0.11865374602763135</v>
      </c>
      <c r="D163" s="17">
        <v>0.1174786898555604</v>
      </c>
    </row>
    <row r="164" spans="1:4" x14ac:dyDescent="0.25">
      <c r="A164" s="17">
        <v>140</v>
      </c>
      <c r="B164" s="17">
        <v>0.80509700962376129</v>
      </c>
      <c r="C164" s="17">
        <v>2.4802990376238676E-2</v>
      </c>
      <c r="D164" s="17">
        <v>2.4557360483351616E-2</v>
      </c>
    </row>
    <row r="165" spans="1:4" x14ac:dyDescent="0.25">
      <c r="A165" s="17">
        <v>141</v>
      </c>
      <c r="B165" s="17">
        <v>-1.427615469065008</v>
      </c>
      <c r="C165" s="17">
        <v>-0.23908453093499205</v>
      </c>
      <c r="D165" s="17">
        <v>-0.23671682015360276</v>
      </c>
    </row>
    <row r="166" spans="1:4" x14ac:dyDescent="0.25">
      <c r="A166" s="17">
        <v>142</v>
      </c>
      <c r="B166" s="17">
        <v>-1.5951828018606413</v>
      </c>
      <c r="C166" s="17">
        <v>-0.24231719813935859</v>
      </c>
      <c r="D166" s="17">
        <v>-0.23991747348838732</v>
      </c>
    </row>
    <row r="167" spans="1:4" x14ac:dyDescent="0.25">
      <c r="A167" s="17">
        <v>143</v>
      </c>
      <c r="B167" s="17">
        <v>-1.7771955943800366</v>
      </c>
      <c r="C167" s="17">
        <v>1.6343955943800366</v>
      </c>
      <c r="D167" s="17">
        <v>1.618209787398986</v>
      </c>
    </row>
    <row r="168" spans="1:4" x14ac:dyDescent="0.25">
      <c r="A168" s="17">
        <v>144</v>
      </c>
      <c r="B168" s="17">
        <v>-6.3084029529611669</v>
      </c>
      <c r="C168" s="17">
        <v>1.3293029529611671</v>
      </c>
      <c r="D168" s="17">
        <v>1.3161385507258982</v>
      </c>
    </row>
    <row r="169" spans="1:4" x14ac:dyDescent="0.25">
      <c r="A169" s="17">
        <v>145</v>
      </c>
      <c r="B169" s="17">
        <v>-4.2607034776574961</v>
      </c>
      <c r="C169" s="17">
        <v>2.1362034776574963</v>
      </c>
      <c r="D169" s="17">
        <v>2.1150481482620274</v>
      </c>
    </row>
    <row r="170" spans="1:4" x14ac:dyDescent="0.25">
      <c r="A170" s="17">
        <v>146</v>
      </c>
      <c r="B170" s="17">
        <v>-0.80923867396706339</v>
      </c>
      <c r="C170" s="17">
        <v>-2.1481613260329366</v>
      </c>
      <c r="D170" s="17">
        <v>-2.1268875752305703</v>
      </c>
    </row>
    <row r="171" spans="1:4" x14ac:dyDescent="0.25">
      <c r="A171" s="17">
        <v>147</v>
      </c>
      <c r="B171" s="17">
        <v>3.6215171800734476</v>
      </c>
      <c r="C171" s="17">
        <v>0.25198281992655236</v>
      </c>
      <c r="D171" s="17">
        <v>0.24948737433192625</v>
      </c>
    </row>
    <row r="172" spans="1:4" x14ac:dyDescent="0.25">
      <c r="A172" s="17">
        <v>148</v>
      </c>
      <c r="B172" s="17">
        <v>-0.1755274677777412</v>
      </c>
      <c r="C172" s="17">
        <v>1.0832274677777411</v>
      </c>
      <c r="D172" s="17">
        <v>1.0725000094008887</v>
      </c>
    </row>
    <row r="173" spans="1:4" x14ac:dyDescent="0.25">
      <c r="A173" s="17">
        <v>149</v>
      </c>
      <c r="B173" s="17">
        <v>-1.1154824201108073</v>
      </c>
      <c r="C173" s="17">
        <v>-0.86181757988919272</v>
      </c>
      <c r="D173" s="17">
        <v>-0.8532827961141215</v>
      </c>
    </row>
    <row r="174" spans="1:4" x14ac:dyDescent="0.25">
      <c r="A174" s="17">
        <v>150</v>
      </c>
      <c r="B174" s="17">
        <v>2.6945631414917668</v>
      </c>
      <c r="C174" s="17">
        <v>-0.11666314149176671</v>
      </c>
      <c r="D174" s="17">
        <v>-0.11550779874825852</v>
      </c>
    </row>
    <row r="175" spans="1:4" x14ac:dyDescent="0.25">
      <c r="A175" s="17">
        <v>151</v>
      </c>
      <c r="B175" s="17">
        <v>-0.22375307947091422</v>
      </c>
      <c r="C175" s="17">
        <v>-0.98104692052908593</v>
      </c>
      <c r="D175" s="17">
        <v>-0.97133138033206223</v>
      </c>
    </row>
    <row r="176" spans="1:4" x14ac:dyDescent="0.25">
      <c r="A176" s="17">
        <v>152</v>
      </c>
      <c r="B176" s="17">
        <v>-0.74045606189776825</v>
      </c>
      <c r="C176" s="17">
        <v>0.43695606189776826</v>
      </c>
      <c r="D176" s="17">
        <v>0.43262878244266179</v>
      </c>
    </row>
    <row r="177" spans="1:4" x14ac:dyDescent="0.25">
      <c r="A177" s="17">
        <v>153</v>
      </c>
      <c r="B177" s="17">
        <v>-1.7626390157353229</v>
      </c>
      <c r="C177" s="17">
        <v>-0.38796098426467696</v>
      </c>
      <c r="D177" s="17">
        <v>-0.38411891467694759</v>
      </c>
    </row>
    <row r="178" spans="1:4" x14ac:dyDescent="0.25">
      <c r="A178" s="17">
        <v>154</v>
      </c>
      <c r="B178" s="17">
        <v>-3.9695719047632254</v>
      </c>
      <c r="C178" s="17">
        <v>3.1901719047632255</v>
      </c>
      <c r="D178" s="17">
        <v>3.1585788762061129</v>
      </c>
    </row>
    <row r="179" spans="1:4" x14ac:dyDescent="0.25">
      <c r="A179" s="17">
        <v>155</v>
      </c>
      <c r="B179" s="17">
        <v>-0.38832020140084339</v>
      </c>
      <c r="C179" s="17">
        <v>2.0951202014008437</v>
      </c>
      <c r="D179" s="17">
        <v>2.0743717294283424</v>
      </c>
    </row>
    <row r="180" spans="1:4" x14ac:dyDescent="0.25">
      <c r="A180" s="17">
        <v>156</v>
      </c>
      <c r="B180" s="17">
        <v>3.6259619369115281</v>
      </c>
      <c r="C180" s="17">
        <v>-0.89436193691152832</v>
      </c>
      <c r="D180" s="17">
        <v>-0.88550485865469442</v>
      </c>
    </row>
    <row r="181" spans="1:4" x14ac:dyDescent="0.25">
      <c r="A181" s="17">
        <v>157</v>
      </c>
      <c r="B181" s="17">
        <v>-0.62600357331719625</v>
      </c>
      <c r="C181" s="17">
        <v>1.6685035733171962</v>
      </c>
      <c r="D181" s="17">
        <v>1.6519799869359266</v>
      </c>
    </row>
    <row r="182" spans="1:4" x14ac:dyDescent="0.25">
      <c r="A182" s="17">
        <v>158</v>
      </c>
      <c r="B182" s="17">
        <v>-1.2996064721282905</v>
      </c>
      <c r="C182" s="17">
        <v>0.55610647212829045</v>
      </c>
      <c r="D182" s="17">
        <v>0.55059921791778477</v>
      </c>
    </row>
    <row r="183" spans="1:4" x14ac:dyDescent="0.25">
      <c r="A183" s="17">
        <v>159</v>
      </c>
      <c r="B183" s="17">
        <v>0.5843037136921142</v>
      </c>
      <c r="C183" s="17">
        <v>0.74999628630788584</v>
      </c>
      <c r="D183" s="17">
        <v>0.74256889530877535</v>
      </c>
    </row>
    <row r="184" spans="1:4" x14ac:dyDescent="0.25">
      <c r="A184" s="17">
        <v>160</v>
      </c>
      <c r="B184" s="17">
        <v>2.0385170321910904</v>
      </c>
      <c r="C184" s="17">
        <v>0.14658296780890945</v>
      </c>
      <c r="D184" s="17">
        <v>0.14513132193331926</v>
      </c>
    </row>
    <row r="185" spans="1:4" x14ac:dyDescent="0.25">
      <c r="A185" s="17">
        <v>161</v>
      </c>
      <c r="B185" s="17">
        <v>1.0675599009124128</v>
      </c>
      <c r="C185" s="17">
        <v>-1.6455599009124127</v>
      </c>
      <c r="D185" s="17">
        <v>-1.6292635311574342</v>
      </c>
    </row>
    <row r="186" spans="1:4" x14ac:dyDescent="0.25">
      <c r="A186" s="17">
        <v>162</v>
      </c>
      <c r="B186" s="17">
        <v>1.4468087781216286</v>
      </c>
      <c r="C186" s="17">
        <v>-0.8688087781216286</v>
      </c>
      <c r="D186" s="17">
        <v>-0.86020475885329895</v>
      </c>
    </row>
    <row r="187" spans="1:4" x14ac:dyDescent="0.25">
      <c r="A187" s="17">
        <v>163</v>
      </c>
      <c r="B187" s="17">
        <v>0.3073953626797013</v>
      </c>
      <c r="C187" s="17">
        <v>-1.4667953626797012</v>
      </c>
      <c r="D187" s="17">
        <v>-1.452269340520397</v>
      </c>
    </row>
    <row r="188" spans="1:4" x14ac:dyDescent="0.25">
      <c r="A188" s="17">
        <v>164</v>
      </c>
      <c r="B188" s="17">
        <v>6.2267023059563692E-2</v>
      </c>
      <c r="C188" s="17">
        <v>-1.6787670230595637</v>
      </c>
      <c r="D188" s="17">
        <v>-1.6621417953026927</v>
      </c>
    </row>
    <row r="189" spans="1:4" x14ac:dyDescent="0.25">
      <c r="A189" s="17">
        <v>165</v>
      </c>
      <c r="B189" s="17">
        <v>-2.9110530637743635</v>
      </c>
      <c r="C189" s="17">
        <v>1.5687530637743634</v>
      </c>
      <c r="D189" s="17">
        <v>1.5532173303335162</v>
      </c>
    </row>
    <row r="190" spans="1:4" x14ac:dyDescent="0.25">
      <c r="A190" s="17">
        <v>166</v>
      </c>
      <c r="B190" s="17">
        <v>-2.6744808810675309</v>
      </c>
      <c r="C190" s="17">
        <v>1.9208808810675309</v>
      </c>
      <c r="D190" s="17">
        <v>1.9018579423852084</v>
      </c>
    </row>
    <row r="191" spans="1:4" x14ac:dyDescent="0.25">
      <c r="A191" s="17">
        <v>167</v>
      </c>
      <c r="B191" s="17">
        <v>2.4865485214696008</v>
      </c>
      <c r="C191" s="17">
        <v>1.2258514785303993</v>
      </c>
      <c r="D191" s="17">
        <v>1.2137115807680985</v>
      </c>
    </row>
    <row r="192" spans="1:4" x14ac:dyDescent="0.25">
      <c r="A192" s="17">
        <v>168</v>
      </c>
      <c r="B192" s="17">
        <v>0.35762111495001053</v>
      </c>
      <c r="C192" s="17">
        <v>-0.21192111495001054</v>
      </c>
      <c r="D192" s="17">
        <v>-0.20982240991581652</v>
      </c>
    </row>
    <row r="193" spans="1:4" x14ac:dyDescent="0.25">
      <c r="A193" s="17">
        <v>169</v>
      </c>
      <c r="B193" s="17">
        <v>0.98410959127745201</v>
      </c>
      <c r="C193" s="17">
        <v>-0.11450959127745197</v>
      </c>
      <c r="D193" s="17">
        <v>-0.11337557565218417</v>
      </c>
    </row>
    <row r="194" spans="1:4" x14ac:dyDescent="0.25">
      <c r="A194" s="17">
        <v>170</v>
      </c>
      <c r="B194" s="17">
        <v>-3.1751827388772949</v>
      </c>
      <c r="C194" s="17">
        <v>1.8679827388772949</v>
      </c>
      <c r="D194" s="17">
        <v>1.8494836630358242</v>
      </c>
    </row>
    <row r="195" spans="1:4" x14ac:dyDescent="0.25">
      <c r="A195" s="17">
        <v>171</v>
      </c>
      <c r="B195" s="17">
        <v>-2.4041285463912865</v>
      </c>
      <c r="C195" s="17">
        <v>0.63412854639128646</v>
      </c>
      <c r="D195" s="17">
        <v>0.62784862108534678</v>
      </c>
    </row>
    <row r="196" spans="1:4" x14ac:dyDescent="0.25">
      <c r="A196" s="17">
        <v>172</v>
      </c>
      <c r="B196" s="17">
        <v>2.4631024291487265</v>
      </c>
      <c r="C196" s="17">
        <v>0.32499757085127357</v>
      </c>
      <c r="D196" s="17">
        <v>0.32177904287114623</v>
      </c>
    </row>
    <row r="197" spans="1:4" x14ac:dyDescent="0.25">
      <c r="A197" s="17">
        <v>173</v>
      </c>
      <c r="B197" s="17">
        <v>2.9199123131824463</v>
      </c>
      <c r="C197" s="17">
        <v>-6.6612313182446314E-2</v>
      </c>
      <c r="D197" s="17">
        <v>-6.5952635655512362E-2</v>
      </c>
    </row>
    <row r="198" spans="1:4" x14ac:dyDescent="0.25">
      <c r="A198" s="17">
        <v>174</v>
      </c>
      <c r="B198" s="17">
        <v>-1.352276840659544</v>
      </c>
      <c r="C198" s="17">
        <v>1.4927768406595441</v>
      </c>
      <c r="D198" s="17">
        <v>1.4779935177652708</v>
      </c>
    </row>
    <row r="199" spans="1:4" x14ac:dyDescent="0.25">
      <c r="A199" s="17">
        <v>175</v>
      </c>
      <c r="B199" s="17">
        <v>0.2499468805475113</v>
      </c>
      <c r="C199" s="17">
        <v>-1.2379468805475113</v>
      </c>
      <c r="D199" s="17">
        <v>-1.2256871991519944</v>
      </c>
    </row>
    <row r="200" spans="1:4" x14ac:dyDescent="0.25">
      <c r="A200" s="17">
        <v>176</v>
      </c>
      <c r="B200" s="17">
        <v>0.7085346673164632</v>
      </c>
      <c r="C200" s="17">
        <v>1.396765332683537</v>
      </c>
      <c r="D200" s="17">
        <v>1.3829328345108933</v>
      </c>
    </row>
    <row r="201" spans="1:4" x14ac:dyDescent="0.25">
      <c r="A201" s="17">
        <v>177</v>
      </c>
      <c r="B201" s="17">
        <v>-3.3777525317728121</v>
      </c>
      <c r="C201" s="17">
        <v>-0.87824746822718813</v>
      </c>
      <c r="D201" s="17">
        <v>-0.8695499753734377</v>
      </c>
    </row>
    <row r="202" spans="1:4" x14ac:dyDescent="0.25">
      <c r="A202" s="17">
        <v>178</v>
      </c>
      <c r="B202" s="17">
        <v>-3.9431256015766474</v>
      </c>
      <c r="C202" s="17">
        <v>1.7452256015766472</v>
      </c>
      <c r="D202" s="17">
        <v>1.7279422187636737</v>
      </c>
    </row>
    <row r="203" spans="1:4" x14ac:dyDescent="0.25">
      <c r="A203" s="17">
        <v>179</v>
      </c>
      <c r="B203" s="17">
        <v>-2.6269219829000696</v>
      </c>
      <c r="C203" s="17">
        <v>2.1815219829000698</v>
      </c>
      <c r="D203" s="17">
        <v>2.1599178536050854</v>
      </c>
    </row>
    <row r="204" spans="1:4" x14ac:dyDescent="0.25">
      <c r="A204" s="17">
        <v>180</v>
      </c>
      <c r="B204" s="17">
        <v>3.4589501987206548</v>
      </c>
      <c r="C204" s="17">
        <v>0.48024980127934525</v>
      </c>
      <c r="D204" s="17">
        <v>0.4754937736609865</v>
      </c>
    </row>
    <row r="205" spans="1:4" x14ac:dyDescent="0.25">
      <c r="A205" s="17">
        <v>181</v>
      </c>
      <c r="B205" s="17">
        <v>0.96255252061276175</v>
      </c>
      <c r="C205" s="17">
        <v>-0.39195252061276176</v>
      </c>
      <c r="D205" s="17">
        <v>-0.38807092189444115</v>
      </c>
    </row>
    <row r="206" spans="1:4" x14ac:dyDescent="0.25">
      <c r="A206" s="17">
        <v>182</v>
      </c>
      <c r="B206" s="17">
        <v>0.6248621198395985</v>
      </c>
      <c r="C206" s="17">
        <v>-0.6248621198395985</v>
      </c>
      <c r="D206" s="17">
        <v>-0.61867396215227299</v>
      </c>
    </row>
    <row r="207" spans="1:4" x14ac:dyDescent="0.25">
      <c r="A207" s="17">
        <v>183</v>
      </c>
      <c r="B207" s="17">
        <v>0.73198075963733766</v>
      </c>
      <c r="C207" s="17">
        <v>-1.1596807596373377</v>
      </c>
      <c r="D207" s="17">
        <v>-1.1481961661890496</v>
      </c>
    </row>
    <row r="208" spans="1:4" x14ac:dyDescent="0.25">
      <c r="A208" s="17">
        <v>184</v>
      </c>
      <c r="B208" s="17">
        <v>-3.2275197506456919</v>
      </c>
      <c r="C208" s="17">
        <v>1.2072197506456916</v>
      </c>
      <c r="D208" s="17">
        <v>1.1952643673010155</v>
      </c>
    </row>
    <row r="209" spans="1:4" x14ac:dyDescent="0.25">
      <c r="A209" s="17">
        <v>185</v>
      </c>
      <c r="B209" s="17">
        <v>0.60808316277584473</v>
      </c>
      <c r="C209" s="17">
        <v>0.11811683722415522</v>
      </c>
      <c r="D209" s="17">
        <v>0.11694709818723159</v>
      </c>
    </row>
    <row r="210" spans="1:4" x14ac:dyDescent="0.25">
      <c r="A210" s="17">
        <v>186</v>
      </c>
      <c r="B210" s="17">
        <v>-0.85735316673928441</v>
      </c>
      <c r="C210" s="17">
        <v>0.85735316673928441</v>
      </c>
      <c r="D210" s="17">
        <v>0.84886259510586148</v>
      </c>
    </row>
    <row r="211" spans="1:4" x14ac:dyDescent="0.25">
      <c r="A211" s="17">
        <v>187</v>
      </c>
      <c r="B211" s="17">
        <v>2.3205368535672952</v>
      </c>
      <c r="C211" s="17">
        <v>-2.4653368535672953</v>
      </c>
      <c r="D211" s="17">
        <v>-2.4409220383338712</v>
      </c>
    </row>
    <row r="212" spans="1:4" x14ac:dyDescent="0.25">
      <c r="A212" s="17">
        <v>188</v>
      </c>
      <c r="B212" s="17">
        <v>1.3111325756392223</v>
      </c>
      <c r="C212" s="17">
        <v>-1.1663325756392222</v>
      </c>
      <c r="D212" s="17">
        <v>-1.1547821076803504</v>
      </c>
    </row>
    <row r="213" spans="1:4" x14ac:dyDescent="0.25">
      <c r="A213" s="17">
        <v>189</v>
      </c>
      <c r="B213" s="17">
        <v>2.9130229400834216</v>
      </c>
      <c r="C213" s="17">
        <v>-1.6189229400834215</v>
      </c>
      <c r="D213" s="17">
        <v>-1.60289036246544</v>
      </c>
    </row>
    <row r="214" spans="1:4" x14ac:dyDescent="0.25">
      <c r="A214" s="17">
        <v>190</v>
      </c>
      <c r="B214" s="17">
        <v>-0.17374956504250899</v>
      </c>
      <c r="C214" s="17">
        <v>0.74354956504250902</v>
      </c>
      <c r="D214" s="17">
        <v>0.73618601745219181</v>
      </c>
    </row>
    <row r="215" spans="1:4" x14ac:dyDescent="0.25">
      <c r="A215" s="17">
        <v>191</v>
      </c>
      <c r="B215" s="17">
        <v>0.76220510613628478</v>
      </c>
      <c r="C215" s="17">
        <v>-0.76220510613628478</v>
      </c>
      <c r="D215" s="17">
        <v>-0.75465680830048898</v>
      </c>
    </row>
    <row r="216" spans="1:4" x14ac:dyDescent="0.25">
      <c r="A216" s="17">
        <v>192</v>
      </c>
      <c r="B216" s="17">
        <v>-0.98358426094076967</v>
      </c>
      <c r="C216" s="17">
        <v>0.84148426094076967</v>
      </c>
      <c r="D216" s="17">
        <v>0.8331508428429647</v>
      </c>
    </row>
    <row r="217" spans="1:4" x14ac:dyDescent="0.25">
      <c r="A217" s="17">
        <v>193</v>
      </c>
      <c r="B217" s="17">
        <v>1.6175985596248703</v>
      </c>
      <c r="C217" s="17">
        <v>-0.48599855962487037</v>
      </c>
      <c r="D217" s="17">
        <v>-0.48118560068995564</v>
      </c>
    </row>
    <row r="218" spans="1:4" x14ac:dyDescent="0.25">
      <c r="A218" s="17">
        <v>194</v>
      </c>
      <c r="B218" s="17">
        <v>-1.4518393938325465</v>
      </c>
      <c r="C218" s="17">
        <v>0.88763939383254642</v>
      </c>
      <c r="D218" s="17">
        <v>0.87884889051330561</v>
      </c>
    </row>
    <row r="219" spans="1:4" x14ac:dyDescent="0.25">
      <c r="A219" s="17">
        <v>195</v>
      </c>
      <c r="B219" s="17">
        <v>-2.0072097365876909E-2</v>
      </c>
      <c r="C219" s="17">
        <v>0.58427209736587693</v>
      </c>
      <c r="D219" s="17">
        <v>0.5784859122923881</v>
      </c>
    </row>
    <row r="220" spans="1:4" x14ac:dyDescent="0.25">
      <c r="A220" s="17">
        <v>196</v>
      </c>
      <c r="B220" s="17">
        <v>-1.5879600719987605</v>
      </c>
      <c r="C220" s="17">
        <v>-0.40073992800123936</v>
      </c>
      <c r="D220" s="17">
        <v>-0.39677130550462247</v>
      </c>
    </row>
    <row r="221" spans="1:4" x14ac:dyDescent="0.25">
      <c r="A221" s="17">
        <v>197</v>
      </c>
      <c r="B221" s="17">
        <v>0.22850092880377304</v>
      </c>
      <c r="C221" s="17">
        <v>0.62859907119622693</v>
      </c>
      <c r="D221" s="17">
        <v>0.62237390559382633</v>
      </c>
    </row>
    <row r="222" spans="1:4" x14ac:dyDescent="0.25">
      <c r="A222" s="17">
        <v>198</v>
      </c>
      <c r="B222" s="17">
        <v>3.3293855368906091</v>
      </c>
      <c r="C222" s="17">
        <v>-1.3574855368906091</v>
      </c>
      <c r="D222" s="17">
        <v>-1.344042035846412</v>
      </c>
    </row>
    <row r="223" spans="1:4" x14ac:dyDescent="0.25">
      <c r="A223" s="17">
        <v>199</v>
      </c>
      <c r="B223" s="17">
        <v>0.38284511000611721</v>
      </c>
      <c r="C223" s="17">
        <v>-0.6621451100061172</v>
      </c>
      <c r="D223" s="17">
        <v>-0.65558773002977755</v>
      </c>
    </row>
    <row r="224" spans="1:4" x14ac:dyDescent="0.25">
      <c r="A224" s="17">
        <v>200</v>
      </c>
      <c r="B224" s="17">
        <v>0.73198075963733766</v>
      </c>
      <c r="C224" s="17">
        <v>-0.17408075963733771</v>
      </c>
      <c r="D224" s="17">
        <v>-0.17235679661131562</v>
      </c>
    </row>
    <row r="225" spans="1:4" x14ac:dyDescent="0.25">
      <c r="A225" s="17">
        <v>201</v>
      </c>
      <c r="B225" s="17">
        <v>0.50474256629047398</v>
      </c>
      <c r="C225" s="17">
        <v>-0.50474256629047398</v>
      </c>
      <c r="D225" s="17">
        <v>-0.49974398101455331</v>
      </c>
    </row>
    <row r="226" spans="1:4" x14ac:dyDescent="0.25">
      <c r="A226" s="17">
        <v>202</v>
      </c>
      <c r="B226" s="17">
        <v>0.81665337740277055</v>
      </c>
      <c r="C226" s="17">
        <v>0.83854662259722945</v>
      </c>
      <c r="D226" s="17">
        <v>0.83024229662826543</v>
      </c>
    </row>
    <row r="227" spans="1:4" x14ac:dyDescent="0.25">
      <c r="A227" s="17">
        <v>203</v>
      </c>
      <c r="B227" s="17">
        <v>-0.34242808704766259</v>
      </c>
      <c r="C227" s="17">
        <v>1.0241280870476626</v>
      </c>
      <c r="D227" s="17">
        <v>1.0139859038468362</v>
      </c>
    </row>
    <row r="228" spans="1:4" x14ac:dyDescent="0.25">
      <c r="A228" s="17">
        <v>204</v>
      </c>
      <c r="B228" s="17">
        <v>0.57374741620167313</v>
      </c>
      <c r="C228" s="17">
        <v>-0.30234741620167316</v>
      </c>
      <c r="D228" s="17">
        <v>-0.29935319807193334</v>
      </c>
    </row>
    <row r="229" spans="1:4" x14ac:dyDescent="0.25">
      <c r="A229" s="17">
        <v>205</v>
      </c>
      <c r="B229" s="17">
        <v>-0.27175645332218323</v>
      </c>
      <c r="C229" s="17">
        <v>0.4071564533221832</v>
      </c>
      <c r="D229" s="17">
        <v>0.40312428645436821</v>
      </c>
    </row>
    <row r="230" spans="1:4" x14ac:dyDescent="0.25">
      <c r="A230" s="17">
        <v>206</v>
      </c>
      <c r="B230" s="17">
        <v>-1.9664311167613122</v>
      </c>
      <c r="C230" s="17">
        <v>1.4237311167613123</v>
      </c>
      <c r="D230" s="17">
        <v>1.4096315700370963</v>
      </c>
    </row>
    <row r="231" spans="1:4" x14ac:dyDescent="0.25">
      <c r="A231" s="17">
        <v>207</v>
      </c>
      <c r="B231" s="17">
        <v>2.1808603699306173</v>
      </c>
      <c r="C231" s="17">
        <v>-0.69536036993061723</v>
      </c>
      <c r="D231" s="17">
        <v>-0.68847405136204687</v>
      </c>
    </row>
    <row r="232" spans="1:4" x14ac:dyDescent="0.25">
      <c r="A232" s="17">
        <v>208</v>
      </c>
      <c r="B232" s="17">
        <v>0.34217558493768091</v>
      </c>
      <c r="C232" s="17">
        <v>0.19262441506231914</v>
      </c>
      <c r="D232" s="17">
        <v>0.19071680982111736</v>
      </c>
    </row>
    <row r="233" spans="1:4" x14ac:dyDescent="0.25">
      <c r="A233" s="17">
        <v>209</v>
      </c>
      <c r="B233" s="17">
        <v>-0.23330930667278726</v>
      </c>
      <c r="C233" s="17">
        <v>-0.43559069332721279</v>
      </c>
      <c r="D233" s="17">
        <v>-0.43127693544070145</v>
      </c>
    </row>
    <row r="234" spans="1:4" x14ac:dyDescent="0.25">
      <c r="A234" s="17">
        <v>210</v>
      </c>
      <c r="B234" s="17">
        <v>-0.4983279331433349</v>
      </c>
      <c r="C234" s="17">
        <v>-4.0072066856665089E-2</v>
      </c>
      <c r="D234" s="17">
        <v>-3.9675223680077989E-2</v>
      </c>
    </row>
    <row r="235" spans="1:4" x14ac:dyDescent="0.25">
      <c r="A235" s="17">
        <v>211</v>
      </c>
      <c r="B235" s="17">
        <v>-3.7118871270755109</v>
      </c>
      <c r="C235" s="17">
        <v>1.6667871270755108</v>
      </c>
      <c r="D235" s="17">
        <v>1.6502805390682314</v>
      </c>
    </row>
    <row r="236" spans="1:4" x14ac:dyDescent="0.25">
      <c r="A236" s="17">
        <v>212</v>
      </c>
      <c r="B236" s="17">
        <v>0.95977454758896141</v>
      </c>
      <c r="C236" s="17">
        <v>0.13612545241103868</v>
      </c>
      <c r="D236" s="17">
        <v>0.13477736978923682</v>
      </c>
    </row>
    <row r="237" spans="1:4" x14ac:dyDescent="0.25">
      <c r="A237" s="17">
        <v>213</v>
      </c>
      <c r="B237" s="17">
        <v>2.4354338178316755</v>
      </c>
      <c r="C237" s="17">
        <v>0.91386618216832449</v>
      </c>
      <c r="D237" s="17">
        <v>0.90481594874751259</v>
      </c>
    </row>
    <row r="238" spans="1:4" x14ac:dyDescent="0.25">
      <c r="A238" s="17">
        <v>214</v>
      </c>
      <c r="B238" s="17">
        <v>-0.43965714288067281</v>
      </c>
      <c r="C238" s="17">
        <v>0.57135714288067285</v>
      </c>
      <c r="D238" s="17">
        <v>0.56569885766275474</v>
      </c>
    </row>
    <row r="239" spans="1:4" x14ac:dyDescent="0.25">
      <c r="A239" s="17">
        <v>215</v>
      </c>
      <c r="B239" s="17">
        <v>-1.4742854158648526</v>
      </c>
      <c r="C239" s="17">
        <v>0.68168541586485265</v>
      </c>
      <c r="D239" s="17">
        <v>0.67493452360784623</v>
      </c>
    </row>
    <row r="240" spans="1:4" x14ac:dyDescent="0.25">
      <c r="A240" s="17">
        <v>216</v>
      </c>
      <c r="B240" s="17">
        <v>7.6601363862373192E-2</v>
      </c>
      <c r="C240" s="17">
        <v>0.3204986361376268</v>
      </c>
      <c r="D240" s="17">
        <v>0.31732466217437633</v>
      </c>
    </row>
    <row r="241" spans="1:4" x14ac:dyDescent="0.25">
      <c r="A241" s="17">
        <v>217</v>
      </c>
      <c r="B241" s="17">
        <v>-2.2690079385136404</v>
      </c>
      <c r="C241" s="17">
        <v>0.26760793851364051</v>
      </c>
      <c r="D241" s="17">
        <v>0.26495775366593743</v>
      </c>
    </row>
    <row r="242" spans="1:4" x14ac:dyDescent="0.25">
      <c r="A242" s="17">
        <v>218</v>
      </c>
      <c r="B242" s="17">
        <v>-2.9033858582286745</v>
      </c>
      <c r="C242" s="17">
        <v>1.6829858582286745</v>
      </c>
      <c r="D242" s="17">
        <v>1.6663188503471096</v>
      </c>
    </row>
    <row r="243" spans="1:4" x14ac:dyDescent="0.25">
      <c r="A243" s="17">
        <v>219</v>
      </c>
      <c r="B243" s="17">
        <v>-0.60211300531251377</v>
      </c>
      <c r="C243" s="17">
        <v>1.5525130053125138</v>
      </c>
      <c r="D243" s="17">
        <v>1.5371381010200857</v>
      </c>
    </row>
    <row r="244" spans="1:4" x14ac:dyDescent="0.25">
      <c r="A244" s="17">
        <v>220</v>
      </c>
      <c r="B244" s="17">
        <v>-3.0442846499958249</v>
      </c>
      <c r="C244" s="17">
        <v>2.2301846499958247</v>
      </c>
      <c r="D244" s="17">
        <v>2.2080986027738074</v>
      </c>
    </row>
    <row r="245" spans="1:4" x14ac:dyDescent="0.25">
      <c r="A245" s="17">
        <v>221</v>
      </c>
      <c r="B245" s="17">
        <v>1.0144450566973513</v>
      </c>
      <c r="C245" s="17">
        <v>-1.8352450566973513</v>
      </c>
      <c r="D245" s="17">
        <v>-1.8170701898825039</v>
      </c>
    </row>
    <row r="246" spans="1:4" x14ac:dyDescent="0.25">
      <c r="A246" s="17">
        <v>222</v>
      </c>
      <c r="B246" s="17">
        <v>-1.2282681248770992</v>
      </c>
      <c r="C246" s="17">
        <v>-0.43383187512290067</v>
      </c>
      <c r="D246" s="17">
        <v>-0.42953553522996912</v>
      </c>
    </row>
    <row r="247" spans="1:4" x14ac:dyDescent="0.25">
      <c r="A247" s="17">
        <v>223</v>
      </c>
      <c r="B247" s="17">
        <v>1.9280648247647907</v>
      </c>
      <c r="C247" s="17">
        <v>0.82693517523520921</v>
      </c>
      <c r="D247" s="17">
        <v>0.81874584018179741</v>
      </c>
    </row>
    <row r="248" spans="1:4" x14ac:dyDescent="0.25">
      <c r="A248" s="17">
        <v>224</v>
      </c>
      <c r="B248" s="17">
        <v>1.5104799198271313</v>
      </c>
      <c r="C248" s="17">
        <v>-1.5104799198271313</v>
      </c>
      <c r="D248" s="17">
        <v>-1.4955212791436017</v>
      </c>
    </row>
    <row r="249" spans="1:4" x14ac:dyDescent="0.25">
      <c r="A249" s="17">
        <v>225</v>
      </c>
      <c r="B249" s="17">
        <v>-1.2799384231197846</v>
      </c>
      <c r="C249" s="17">
        <v>2.6294384231197845</v>
      </c>
      <c r="D249" s="17">
        <v>2.6033984711451716</v>
      </c>
    </row>
    <row r="250" spans="1:4" x14ac:dyDescent="0.25">
      <c r="A250" s="17">
        <v>226</v>
      </c>
      <c r="B250" s="17">
        <v>4.4057945241527454</v>
      </c>
      <c r="C250" s="17">
        <v>-1.7600945241527453</v>
      </c>
      <c r="D250" s="17">
        <v>-1.7426638908750371</v>
      </c>
    </row>
    <row r="251" spans="1:4" x14ac:dyDescent="0.25">
      <c r="A251" s="17">
        <v>227</v>
      </c>
      <c r="B251" s="17">
        <v>-0.517662625388985</v>
      </c>
      <c r="C251" s="17">
        <v>-0.26873737461101499</v>
      </c>
      <c r="D251" s="17">
        <v>-0.2660760046899231</v>
      </c>
    </row>
    <row r="252" spans="1:4" x14ac:dyDescent="0.25">
      <c r="A252" s="17">
        <v>228</v>
      </c>
      <c r="B252" s="17">
        <v>-0.59266789703159284</v>
      </c>
      <c r="C252" s="17">
        <v>0.98666789703159286</v>
      </c>
      <c r="D252" s="17">
        <v>0.97689669097189336</v>
      </c>
    </row>
    <row r="253" spans="1:4" x14ac:dyDescent="0.25">
      <c r="A253" s="17">
        <v>229</v>
      </c>
      <c r="B253" s="17">
        <v>-2.1700009799453976</v>
      </c>
      <c r="C253" s="17">
        <v>0.98340097994539755</v>
      </c>
      <c r="D253" s="17">
        <v>0.97366212693997822</v>
      </c>
    </row>
    <row r="254" spans="1:4" x14ac:dyDescent="0.25">
      <c r="A254" s="17">
        <v>230</v>
      </c>
      <c r="B254" s="17">
        <v>1.2911311698678603</v>
      </c>
      <c r="C254" s="17">
        <v>2.6368830132139642E-2</v>
      </c>
      <c r="D254" s="17">
        <v>2.6107693356990161E-2</v>
      </c>
    </row>
    <row r="255" spans="1:4" x14ac:dyDescent="0.25">
      <c r="A255" s="17">
        <v>231</v>
      </c>
      <c r="B255" s="17">
        <v>-0.72212143994068623</v>
      </c>
      <c r="C255" s="17">
        <v>0.59112143994068622</v>
      </c>
      <c r="D255" s="17">
        <v>0.58526742420414124</v>
      </c>
    </row>
    <row r="256" spans="1:4" x14ac:dyDescent="0.25">
      <c r="A256" s="17">
        <v>232</v>
      </c>
      <c r="B256" s="17">
        <v>-1.3627220192290332</v>
      </c>
      <c r="C256" s="17">
        <v>-1.5629779807709667</v>
      </c>
      <c r="D256" s="17">
        <v>-1.5474994393460022</v>
      </c>
    </row>
    <row r="257" spans="1:4" x14ac:dyDescent="0.25">
      <c r="A257" s="17">
        <v>233</v>
      </c>
      <c r="B257" s="17">
        <v>0.9672195152927463</v>
      </c>
      <c r="C257" s="17">
        <v>0.24008048470725374</v>
      </c>
      <c r="D257" s="17">
        <v>0.23770291075958125</v>
      </c>
    </row>
    <row r="258" spans="1:4" x14ac:dyDescent="0.25">
      <c r="A258" s="17">
        <v>234</v>
      </c>
      <c r="B258" s="17">
        <v>-0.77412509494622783</v>
      </c>
      <c r="C258" s="17">
        <v>1.0404250949462277</v>
      </c>
      <c r="D258" s="17">
        <v>1.0301215186132111</v>
      </c>
    </row>
    <row r="259" spans="1:4" x14ac:dyDescent="0.25">
      <c r="A259" s="17">
        <v>235</v>
      </c>
      <c r="B259" s="17">
        <v>0.49463074448384087</v>
      </c>
      <c r="C259" s="17">
        <v>-1.429830744483841</v>
      </c>
      <c r="D259" s="17">
        <v>-1.4156707917004601</v>
      </c>
    </row>
    <row r="260" spans="1:4" x14ac:dyDescent="0.25">
      <c r="A260" s="17">
        <v>236</v>
      </c>
      <c r="B260" s="17">
        <v>-2.4929125642319434</v>
      </c>
      <c r="C260" s="17">
        <v>-0.22838743576805642</v>
      </c>
      <c r="D260" s="17">
        <v>-0.22612566085569744</v>
      </c>
    </row>
    <row r="261" spans="1:4" x14ac:dyDescent="0.25">
      <c r="A261" s="17">
        <v>237</v>
      </c>
      <c r="B261" s="17">
        <v>0.40851358074603183</v>
      </c>
      <c r="C261" s="17">
        <v>-0.13301358074603181</v>
      </c>
      <c r="D261" s="17">
        <v>-0.13169631572695281</v>
      </c>
    </row>
    <row r="262" spans="1:4" x14ac:dyDescent="0.25">
      <c r="A262" s="17">
        <v>238</v>
      </c>
      <c r="B262" s="17">
        <v>-2.4413533849102103</v>
      </c>
      <c r="C262" s="17">
        <v>2.1658533849102102</v>
      </c>
      <c r="D262" s="17">
        <v>2.1444044254551344</v>
      </c>
    </row>
    <row r="263" spans="1:4" x14ac:dyDescent="0.25">
      <c r="A263" s="17">
        <v>239</v>
      </c>
      <c r="B263" s="17">
        <v>0.56219104842266399</v>
      </c>
      <c r="C263" s="17">
        <v>-0.149291048422664</v>
      </c>
      <c r="D263" s="17">
        <v>-0.14781258378284434</v>
      </c>
    </row>
    <row r="264" spans="1:4" x14ac:dyDescent="0.25">
      <c r="A264" s="17">
        <v>240</v>
      </c>
      <c r="B264" s="17">
        <v>5.0275048868792496</v>
      </c>
      <c r="C264" s="17">
        <v>-0.72580488687924927</v>
      </c>
      <c r="D264" s="17">
        <v>-0.7186170690429029</v>
      </c>
    </row>
    <row r="265" spans="1:4" x14ac:dyDescent="0.25">
      <c r="A265" s="17">
        <v>241</v>
      </c>
      <c r="B265" s="17">
        <v>7.0156466447156521E-2</v>
      </c>
      <c r="C265" s="17">
        <v>-1.3946564664471566</v>
      </c>
      <c r="D265" s="17">
        <v>-1.3808448528767283</v>
      </c>
    </row>
    <row r="266" spans="1:4" x14ac:dyDescent="0.25">
      <c r="A266" s="17">
        <v>242</v>
      </c>
      <c r="B266" s="17">
        <v>2.3516501514338586</v>
      </c>
      <c r="C266" s="17">
        <v>-1.8197501514338585</v>
      </c>
      <c r="D266" s="17">
        <v>-1.8017287343386794</v>
      </c>
    </row>
    <row r="267" spans="1:4" x14ac:dyDescent="0.25">
      <c r="A267" s="17">
        <v>243</v>
      </c>
      <c r="B267" s="17">
        <v>-0.21175223600809695</v>
      </c>
      <c r="C267" s="17">
        <v>-0.32014776399190309</v>
      </c>
      <c r="D267" s="17">
        <v>-0.31697726479868088</v>
      </c>
    </row>
    <row r="268" spans="1:4" x14ac:dyDescent="0.25">
      <c r="A268" s="17">
        <v>244</v>
      </c>
      <c r="B268" s="17">
        <v>-4.6073924868647628E-2</v>
      </c>
      <c r="C268" s="17">
        <v>0.71057392486864757</v>
      </c>
      <c r="D268" s="17">
        <v>0.70353694285937207</v>
      </c>
    </row>
    <row r="269" spans="1:4" x14ac:dyDescent="0.25">
      <c r="A269" s="17">
        <v>245</v>
      </c>
      <c r="B269" s="17">
        <v>-0.37343026599327389</v>
      </c>
      <c r="C269" s="17">
        <v>0.63803026599327395</v>
      </c>
      <c r="D269" s="17">
        <v>0.63171170103326946</v>
      </c>
    </row>
    <row r="270" spans="1:4" x14ac:dyDescent="0.25">
      <c r="A270" s="17">
        <v>246</v>
      </c>
      <c r="B270" s="17">
        <v>0.35773223387096259</v>
      </c>
      <c r="C270" s="17">
        <v>-0.22573223387096258</v>
      </c>
      <c r="D270" s="17">
        <v>-0.22349675405236782</v>
      </c>
    </row>
    <row r="271" spans="1:4" x14ac:dyDescent="0.25">
      <c r="A271" s="17">
        <v>247</v>
      </c>
      <c r="B271" s="17">
        <v>2.926470353681624E-2</v>
      </c>
      <c r="C271" s="17">
        <v>-2.926470353681624E-2</v>
      </c>
      <c r="D271" s="17">
        <v>-2.8974888240915219E-2</v>
      </c>
    </row>
    <row r="272" spans="1:4" x14ac:dyDescent="0.25">
      <c r="A272" s="17">
        <v>248</v>
      </c>
      <c r="B272" s="17">
        <v>-1.8273102277293938</v>
      </c>
      <c r="C272" s="17">
        <v>0.76631022772939383</v>
      </c>
      <c r="D272" s="17">
        <v>0.75872127590140159</v>
      </c>
    </row>
    <row r="273" spans="1:4" x14ac:dyDescent="0.25">
      <c r="A273" s="17">
        <v>249</v>
      </c>
      <c r="B273" s="17">
        <v>1.6776027769389568</v>
      </c>
      <c r="C273" s="17">
        <v>-0.74860277693895672</v>
      </c>
      <c r="D273" s="17">
        <v>-0.74118918619343799</v>
      </c>
    </row>
    <row r="274" spans="1:4" x14ac:dyDescent="0.25">
      <c r="A274" s="17">
        <v>250</v>
      </c>
      <c r="B274" s="17">
        <v>0.53741152905036538</v>
      </c>
      <c r="C274" s="17">
        <v>-0.40541152905036537</v>
      </c>
      <c r="D274" s="17">
        <v>-0.40139664258122332</v>
      </c>
    </row>
    <row r="275" spans="1:4" x14ac:dyDescent="0.25">
      <c r="A275" s="17">
        <v>251</v>
      </c>
      <c r="B275" s="17">
        <v>0.82109813424085099</v>
      </c>
      <c r="C275" s="17">
        <v>-0.55759813424085092</v>
      </c>
      <c r="D275" s="17">
        <v>-0.55207610774686755</v>
      </c>
    </row>
    <row r="276" spans="1:4" x14ac:dyDescent="0.25">
      <c r="A276" s="17">
        <v>252</v>
      </c>
      <c r="B276" s="17">
        <v>-8.9076947277076116E-2</v>
      </c>
      <c r="C276" s="17">
        <v>-0.43862305272292385</v>
      </c>
      <c r="D276" s="17">
        <v>-0.43427926466253974</v>
      </c>
    </row>
    <row r="277" spans="1:4" x14ac:dyDescent="0.25">
      <c r="A277" s="17">
        <v>253</v>
      </c>
      <c r="B277" s="17">
        <v>-0.3572069035342802</v>
      </c>
      <c r="C277" s="17">
        <v>0.3572069035342802</v>
      </c>
      <c r="D277" s="17">
        <v>0.35366939889783522</v>
      </c>
    </row>
    <row r="278" spans="1:4" x14ac:dyDescent="0.25">
      <c r="A278" s="17">
        <v>254</v>
      </c>
      <c r="B278" s="17">
        <v>1.4088061071560407</v>
      </c>
      <c r="C278" s="17">
        <v>-0.2254061071560407</v>
      </c>
      <c r="D278" s="17">
        <v>-0.22317385704760745</v>
      </c>
    </row>
    <row r="279" spans="1:4" x14ac:dyDescent="0.25">
      <c r="A279" s="17">
        <v>255</v>
      </c>
      <c r="B279" s="17">
        <v>0.21672232318285983</v>
      </c>
      <c r="C279" s="17">
        <v>-0.21672232318285983</v>
      </c>
      <c r="D279" s="17">
        <v>-0.21457607064547876</v>
      </c>
    </row>
    <row r="280" spans="1:4" x14ac:dyDescent="0.25">
      <c r="A280" s="17">
        <v>256</v>
      </c>
      <c r="B280" s="17">
        <v>4.7043730889138102E-2</v>
      </c>
      <c r="C280" s="17">
        <v>0.60445626911086192</v>
      </c>
      <c r="D280" s="17">
        <v>0.59847019540021573</v>
      </c>
    </row>
    <row r="281" spans="1:4" x14ac:dyDescent="0.25">
      <c r="A281" s="17">
        <v>257</v>
      </c>
      <c r="B281" s="17">
        <v>-5.7377565630674088E-3</v>
      </c>
      <c r="C281" s="17">
        <v>0.6530377565630674</v>
      </c>
      <c r="D281" s="17">
        <v>0.64657056886664099</v>
      </c>
    </row>
    <row r="282" spans="1:4" x14ac:dyDescent="0.25">
      <c r="A282" s="17">
        <v>258</v>
      </c>
      <c r="B282" s="17">
        <v>-1.1399285827202499</v>
      </c>
      <c r="C282" s="17">
        <v>-1.73987141727975</v>
      </c>
      <c r="D282" s="17">
        <v>-1.722641058223001</v>
      </c>
    </row>
    <row r="283" spans="1:4" x14ac:dyDescent="0.25">
      <c r="A283" s="17">
        <v>259</v>
      </c>
      <c r="B283" s="17">
        <v>1.8946180295582351</v>
      </c>
      <c r="C283" s="17">
        <v>-1.4970180295582352</v>
      </c>
      <c r="D283" s="17">
        <v>-1.4821927051649855</v>
      </c>
    </row>
    <row r="284" spans="1:4" x14ac:dyDescent="0.25">
      <c r="A284" s="17">
        <v>260</v>
      </c>
      <c r="B284" s="17">
        <v>0.26617024300650499</v>
      </c>
      <c r="C284" s="17">
        <v>1.178329756993495</v>
      </c>
      <c r="D284" s="17">
        <v>1.1666604781039129</v>
      </c>
    </row>
    <row r="285" spans="1:4" x14ac:dyDescent="0.25">
      <c r="A285" s="17">
        <v>261</v>
      </c>
      <c r="B285" s="17">
        <v>2.7093419579783844</v>
      </c>
      <c r="C285" s="17">
        <v>-0.13524195797838434</v>
      </c>
      <c r="D285" s="17">
        <v>-0.13390262481136866</v>
      </c>
    </row>
    <row r="286" spans="1:4" x14ac:dyDescent="0.25">
      <c r="A286" s="17">
        <v>262</v>
      </c>
      <c r="B286" s="17">
        <v>1.7053825071769595</v>
      </c>
      <c r="C286" s="17">
        <v>-1.9598825071769594</v>
      </c>
      <c r="D286" s="17">
        <v>-1.9404733261465024</v>
      </c>
    </row>
    <row r="287" spans="1:4" x14ac:dyDescent="0.25">
      <c r="A287" s="17">
        <v>263</v>
      </c>
      <c r="B287" s="17">
        <v>0.5461899238055743</v>
      </c>
      <c r="C287" s="17">
        <v>-2.4754899238055743</v>
      </c>
      <c r="D287" s="17">
        <v>-2.4509745603109421</v>
      </c>
    </row>
    <row r="288" spans="1:4" x14ac:dyDescent="0.25">
      <c r="A288" s="17">
        <v>264</v>
      </c>
      <c r="B288" s="17">
        <v>1.5817071481573706</v>
      </c>
      <c r="C288" s="17">
        <v>-1.8418071481573706</v>
      </c>
      <c r="D288" s="17">
        <v>-1.8235672953953455</v>
      </c>
    </row>
    <row r="289" spans="1:4" x14ac:dyDescent="0.25">
      <c r="A289" s="17">
        <v>265</v>
      </c>
      <c r="B289" s="17">
        <v>0.39895735354415884</v>
      </c>
      <c r="C289" s="17">
        <v>-1.1832573535441588</v>
      </c>
      <c r="D289" s="17">
        <v>-1.1715392754979199</v>
      </c>
    </row>
    <row r="290" spans="1:4" x14ac:dyDescent="0.25">
      <c r="A290" s="17">
        <v>266</v>
      </c>
      <c r="B290" s="17">
        <v>1.0273348515277847</v>
      </c>
      <c r="C290" s="17">
        <v>-0.63443485152778467</v>
      </c>
      <c r="D290" s="17">
        <v>-0.62815189280947303</v>
      </c>
    </row>
    <row r="291" spans="1:4" x14ac:dyDescent="0.25">
      <c r="A291" s="17">
        <v>267</v>
      </c>
      <c r="B291" s="17">
        <v>-0.69489730430744345</v>
      </c>
      <c r="C291" s="17">
        <v>1.8644973043074433</v>
      </c>
      <c r="D291" s="17">
        <v>1.8460327455506897</v>
      </c>
    </row>
    <row r="292" spans="1:4" x14ac:dyDescent="0.25">
      <c r="A292" s="17">
        <v>268</v>
      </c>
      <c r="B292" s="17">
        <v>0.3531763581119301</v>
      </c>
      <c r="C292" s="17">
        <v>-0.3531763581119301</v>
      </c>
      <c r="D292" s="17">
        <v>-0.34967876892218536</v>
      </c>
    </row>
    <row r="293" spans="1:4" x14ac:dyDescent="0.25">
      <c r="A293" s="17">
        <v>269</v>
      </c>
      <c r="B293" s="17">
        <v>2.3903195359251588</v>
      </c>
      <c r="C293" s="17">
        <v>-2.261219535925159</v>
      </c>
      <c r="D293" s="17">
        <v>-2.2388261428714116</v>
      </c>
    </row>
    <row r="294" spans="1:4" x14ac:dyDescent="0.25">
      <c r="A294" s="17">
        <v>270</v>
      </c>
      <c r="B294" s="17">
        <v>0.64786373647666484</v>
      </c>
      <c r="C294" s="17">
        <v>-4.7637364766648371E-3</v>
      </c>
      <c r="D294" s="17">
        <v>-4.7165600651613944E-3</v>
      </c>
    </row>
    <row r="295" spans="1:4" x14ac:dyDescent="0.25">
      <c r="A295" s="17">
        <v>271</v>
      </c>
      <c r="B295" s="17">
        <v>-0.61122475683057864</v>
      </c>
      <c r="C295" s="17">
        <v>-0.80907524316942125</v>
      </c>
      <c r="D295" s="17">
        <v>-0.80106277925669622</v>
      </c>
    </row>
    <row r="296" spans="1:4" x14ac:dyDescent="0.25">
      <c r="A296" s="17">
        <v>272</v>
      </c>
      <c r="B296" s="17">
        <v>0.78565119845715925</v>
      </c>
      <c r="C296" s="17">
        <v>-1.1765511984571593</v>
      </c>
      <c r="D296" s="17">
        <v>-1.1648995330543441</v>
      </c>
    </row>
    <row r="297" spans="1:4" x14ac:dyDescent="0.25">
      <c r="A297" s="17">
        <v>273</v>
      </c>
      <c r="B297" s="17">
        <v>-0.33331633552959766</v>
      </c>
      <c r="C297" s="17">
        <v>1.2430163355295976</v>
      </c>
      <c r="D297" s="17">
        <v>1.230706450119752</v>
      </c>
    </row>
    <row r="298" spans="1:4" x14ac:dyDescent="0.25">
      <c r="A298" s="17">
        <v>274</v>
      </c>
      <c r="B298" s="17">
        <v>1.7669423893843739</v>
      </c>
      <c r="C298" s="17">
        <v>-0.22644238938437389</v>
      </c>
      <c r="D298" s="17">
        <v>-0.22419987672739769</v>
      </c>
    </row>
    <row r="299" spans="1:4" x14ac:dyDescent="0.25">
      <c r="A299" s="17">
        <v>275</v>
      </c>
      <c r="B299" s="17">
        <v>-1.8251989682313055</v>
      </c>
      <c r="C299" s="17">
        <v>1.8251989682313055</v>
      </c>
      <c r="D299" s="17">
        <v>1.8071235902118177</v>
      </c>
    </row>
    <row r="300" spans="1:4" x14ac:dyDescent="0.25">
      <c r="A300" s="17">
        <v>276</v>
      </c>
      <c r="B300" s="17">
        <v>0.41995882960408909</v>
      </c>
      <c r="C300" s="17">
        <v>1.472841170395911</v>
      </c>
      <c r="D300" s="17">
        <v>1.4582552751697215</v>
      </c>
    </row>
    <row r="301" spans="1:4" x14ac:dyDescent="0.25">
      <c r="A301" s="17">
        <v>277</v>
      </c>
      <c r="B301" s="17">
        <v>0.9199939738881413</v>
      </c>
      <c r="C301" s="17">
        <v>-0.9199939738881413</v>
      </c>
      <c r="D301" s="17">
        <v>-0.9108830554934233</v>
      </c>
    </row>
    <row r="302" spans="1:4" x14ac:dyDescent="0.25">
      <c r="A302" s="17">
        <v>278</v>
      </c>
      <c r="B302" s="17">
        <v>-0.39409838529034802</v>
      </c>
      <c r="C302" s="17">
        <v>0.39409838529034802</v>
      </c>
      <c r="D302" s="17">
        <v>0.39019553556547903</v>
      </c>
    </row>
    <row r="303" spans="1:4" x14ac:dyDescent="0.25">
      <c r="A303" s="17">
        <v>279</v>
      </c>
      <c r="B303" s="17">
        <v>1.1913463788529539</v>
      </c>
      <c r="C303" s="17">
        <v>-1.5670463788529538</v>
      </c>
      <c r="D303" s="17">
        <v>-1.5515275471174284</v>
      </c>
    </row>
    <row r="304" spans="1:4" x14ac:dyDescent="0.25">
      <c r="A304" s="17">
        <v>280</v>
      </c>
      <c r="B304" s="17">
        <v>-0.82535091750510503</v>
      </c>
      <c r="C304" s="17">
        <v>-1.202649082494895</v>
      </c>
      <c r="D304" s="17">
        <v>-1.1907389635603272</v>
      </c>
    </row>
    <row r="305" spans="1:4" x14ac:dyDescent="0.25">
      <c r="A305" s="17">
        <v>281</v>
      </c>
      <c r="B305" s="17">
        <v>0.38040049374517293</v>
      </c>
      <c r="C305" s="17">
        <v>0.89189950625482706</v>
      </c>
      <c r="D305" s="17">
        <v>0.88306681403247023</v>
      </c>
    </row>
    <row r="306" spans="1:4" x14ac:dyDescent="0.25">
      <c r="A306" s="17">
        <v>282</v>
      </c>
      <c r="B306" s="17">
        <v>2.3125362912587506</v>
      </c>
      <c r="C306" s="17">
        <v>0.18446370874124929</v>
      </c>
      <c r="D306" s="17">
        <v>0.18263692090912281</v>
      </c>
    </row>
    <row r="307" spans="1:4" x14ac:dyDescent="0.25">
      <c r="A307" s="17">
        <v>283</v>
      </c>
      <c r="B307" s="17">
        <v>2.9820298141576301E-2</v>
      </c>
      <c r="C307" s="17">
        <v>-1.2705202981415762</v>
      </c>
      <c r="D307" s="17">
        <v>-1.2579380344705664</v>
      </c>
    </row>
    <row r="308" spans="1:4" x14ac:dyDescent="0.25">
      <c r="A308" s="17">
        <v>284</v>
      </c>
      <c r="B308" s="17">
        <v>0.42351463507455345</v>
      </c>
      <c r="C308" s="17">
        <v>-0.54841463507455346</v>
      </c>
      <c r="D308" s="17">
        <v>-0.54298355494962991</v>
      </c>
    </row>
    <row r="309" spans="1:4" x14ac:dyDescent="0.25">
      <c r="A309" s="17">
        <v>285</v>
      </c>
      <c r="B309" s="17">
        <v>-0.33231626524102953</v>
      </c>
      <c r="C309" s="17">
        <v>-0.54658373475897049</v>
      </c>
      <c r="D309" s="17">
        <v>-0.54117078647386074</v>
      </c>
    </row>
    <row r="310" spans="1:4" x14ac:dyDescent="0.25">
      <c r="A310" s="17">
        <v>286</v>
      </c>
      <c r="B310" s="17">
        <v>-1.4401719071325851</v>
      </c>
      <c r="C310" s="17">
        <v>0.9344719071325851</v>
      </c>
      <c r="D310" s="17">
        <v>0.92521761033316219</v>
      </c>
    </row>
    <row r="311" spans="1:4" x14ac:dyDescent="0.25">
      <c r="A311" s="17">
        <v>287</v>
      </c>
      <c r="B311" s="17">
        <v>-0.85846435594880455</v>
      </c>
      <c r="C311" s="17">
        <v>1.6160643559488046</v>
      </c>
      <c r="D311" s="17">
        <v>1.6000600875670943</v>
      </c>
    </row>
    <row r="312" spans="1:4" x14ac:dyDescent="0.25">
      <c r="A312" s="17">
        <v>288</v>
      </c>
      <c r="B312" s="17">
        <v>-0.41721112084836642</v>
      </c>
      <c r="C312" s="17">
        <v>-8.7188879151633536E-2</v>
      </c>
      <c r="D312" s="17">
        <v>-8.6325427014528514E-2</v>
      </c>
    </row>
    <row r="313" spans="1:4" x14ac:dyDescent="0.25">
      <c r="A313" s="17">
        <v>289</v>
      </c>
      <c r="B313" s="17">
        <v>1.212014498150028</v>
      </c>
      <c r="C313" s="17">
        <v>-0.456314498150028</v>
      </c>
      <c r="D313" s="17">
        <v>-0.45179550751207731</v>
      </c>
    </row>
    <row r="314" spans="1:4" x14ac:dyDescent="0.25">
      <c r="A314" s="17">
        <v>290</v>
      </c>
      <c r="B314" s="17">
        <v>0.50907620420760236</v>
      </c>
      <c r="C314" s="17">
        <v>-0.13337620420760238</v>
      </c>
      <c r="D314" s="17">
        <v>-0.1320553480424288</v>
      </c>
    </row>
    <row r="315" spans="1:4" x14ac:dyDescent="0.25">
      <c r="A315" s="17">
        <v>291</v>
      </c>
      <c r="B315" s="17">
        <v>-1.1608189398592279</v>
      </c>
      <c r="C315" s="17">
        <v>1.1608189398592279</v>
      </c>
      <c r="D315" s="17">
        <v>1.1493230747424132</v>
      </c>
    </row>
    <row r="316" spans="1:4" x14ac:dyDescent="0.25">
      <c r="A316" s="17">
        <v>292</v>
      </c>
      <c r="B316" s="17">
        <v>1.520036147029004</v>
      </c>
      <c r="C316" s="17">
        <v>9.1863852970996085E-2</v>
      </c>
      <c r="D316" s="17">
        <v>9.0954103460022792E-2</v>
      </c>
    </row>
    <row r="317" spans="1:4" x14ac:dyDescent="0.25">
      <c r="A317" s="17">
        <v>293</v>
      </c>
      <c r="B317" s="17">
        <v>1.3618028035933396</v>
      </c>
      <c r="C317" s="17">
        <v>0.94829719640666021</v>
      </c>
      <c r="D317" s="17">
        <v>0.93890598449047069</v>
      </c>
    </row>
    <row r="318" spans="1:4" x14ac:dyDescent="0.25">
      <c r="A318" s="17">
        <v>294</v>
      </c>
      <c r="B318" s="17">
        <v>2.2486449358743534E-2</v>
      </c>
      <c r="C318" s="17">
        <v>-2.2486449358743534E-2</v>
      </c>
      <c r="D318" s="17">
        <v>-2.2263760720655366E-2</v>
      </c>
    </row>
    <row r="319" spans="1:4" x14ac:dyDescent="0.25">
      <c r="A319" s="17">
        <v>295</v>
      </c>
      <c r="B319" s="17">
        <v>-0.843796658383139</v>
      </c>
      <c r="C319" s="17">
        <v>-1.7126033416168611</v>
      </c>
      <c r="D319" s="17">
        <v>-1.6956430247769056</v>
      </c>
    </row>
    <row r="320" spans="1:4" x14ac:dyDescent="0.25">
      <c r="A320" s="17">
        <v>296</v>
      </c>
      <c r="B320" s="17">
        <v>-7.985407683805916E-2</v>
      </c>
      <c r="C320" s="17">
        <v>3.2354540768380593</v>
      </c>
      <c r="D320" s="17">
        <v>3.2034126081974037</v>
      </c>
    </row>
    <row r="321" spans="1:4" x14ac:dyDescent="0.25">
      <c r="A321" s="17">
        <v>297</v>
      </c>
      <c r="B321" s="17">
        <v>-0.91591283808099455</v>
      </c>
      <c r="C321" s="17">
        <v>0.3167128380809946</v>
      </c>
      <c r="D321" s="17">
        <v>0.31357635577326776</v>
      </c>
    </row>
    <row r="322" spans="1:4" x14ac:dyDescent="0.25">
      <c r="A322" s="17">
        <v>298</v>
      </c>
      <c r="B322" s="17">
        <v>0.2009434364076742</v>
      </c>
      <c r="C322" s="17">
        <v>1.8217565635923259</v>
      </c>
      <c r="D322" s="17">
        <v>1.8037152765219504</v>
      </c>
    </row>
    <row r="323" spans="1:4" x14ac:dyDescent="0.25">
      <c r="A323" s="17">
        <v>299</v>
      </c>
      <c r="B323" s="17">
        <v>1.1528992322035576</v>
      </c>
      <c r="C323" s="17">
        <v>-0.8001992322035576</v>
      </c>
      <c r="D323" s="17">
        <v>-0.79227466953135794</v>
      </c>
    </row>
    <row r="324" spans="1:4" x14ac:dyDescent="0.25">
      <c r="A324" s="17">
        <v>300</v>
      </c>
      <c r="B324" s="17">
        <v>0.30183941663210073</v>
      </c>
      <c r="C324" s="17">
        <v>-6.7339416632100746E-2</v>
      </c>
      <c r="D324" s="17">
        <v>-6.6672538427355488E-2</v>
      </c>
    </row>
    <row r="325" spans="1:4" x14ac:dyDescent="0.25">
      <c r="A325" s="17">
        <v>301</v>
      </c>
      <c r="B325" s="17">
        <v>-1.4373939341087849</v>
      </c>
      <c r="C325" s="17">
        <v>-0.69290606589121517</v>
      </c>
      <c r="D325" s="17">
        <v>-0.68604405287730441</v>
      </c>
    </row>
    <row r="326" spans="1:4" x14ac:dyDescent="0.25">
      <c r="A326" s="17">
        <v>302</v>
      </c>
      <c r="B326" s="17">
        <v>0.93132810382524656</v>
      </c>
      <c r="C326" s="17">
        <v>1.6661718961747536</v>
      </c>
      <c r="D326" s="17">
        <v>1.6496714009449158</v>
      </c>
    </row>
    <row r="327" spans="1:4" x14ac:dyDescent="0.25">
      <c r="A327" s="17">
        <v>303</v>
      </c>
      <c r="B327" s="17">
        <v>0.19138720920580118</v>
      </c>
      <c r="C327" s="17">
        <v>-0.54168720920580116</v>
      </c>
      <c r="D327" s="17">
        <v>-0.53632275237389515</v>
      </c>
    </row>
    <row r="328" spans="1:4" x14ac:dyDescent="0.25">
      <c r="A328" s="17">
        <v>304</v>
      </c>
      <c r="B328" s="17">
        <v>-2.2382279974099326</v>
      </c>
      <c r="C328" s="17">
        <v>0.58722799740993259</v>
      </c>
      <c r="D328" s="17">
        <v>0.58141253935765402</v>
      </c>
    </row>
    <row r="329" spans="1:4" x14ac:dyDescent="0.25">
      <c r="A329" s="17">
        <v>305</v>
      </c>
      <c r="B329" s="17">
        <v>0.92066068741385332</v>
      </c>
      <c r="C329" s="17">
        <v>2.6139312586146657E-2</v>
      </c>
      <c r="D329" s="17">
        <v>2.5880448777658969E-2</v>
      </c>
    </row>
    <row r="330" spans="1:4" x14ac:dyDescent="0.25">
      <c r="A330" s="17">
        <v>306</v>
      </c>
      <c r="B330" s="17">
        <v>-0.91402381642481034</v>
      </c>
      <c r="C330" s="17">
        <v>1.1493238164248103</v>
      </c>
      <c r="D330" s="17">
        <v>1.1379417902401199</v>
      </c>
    </row>
    <row r="331" spans="1:4" x14ac:dyDescent="0.25">
      <c r="A331" s="17">
        <v>307</v>
      </c>
      <c r="B331" s="17">
        <v>-1.3793898573718348</v>
      </c>
      <c r="C331" s="17">
        <v>1.2617898573718349</v>
      </c>
      <c r="D331" s="17">
        <v>1.2492940533251931</v>
      </c>
    </row>
    <row r="332" spans="1:4" x14ac:dyDescent="0.25">
      <c r="A332" s="17">
        <v>308</v>
      </c>
      <c r="B332" s="17">
        <v>-1.6742994735784738</v>
      </c>
      <c r="C332" s="17">
        <v>-0.58640052642152618</v>
      </c>
      <c r="D332" s="17">
        <v>-0.58059326301058589</v>
      </c>
    </row>
    <row r="333" spans="1:4" x14ac:dyDescent="0.25">
      <c r="A333" s="17">
        <v>309</v>
      </c>
      <c r="B333" s="17">
        <v>1.0344464624687133</v>
      </c>
      <c r="C333" s="17">
        <v>-0.19564646246871331</v>
      </c>
      <c r="D333" s="17">
        <v>-0.19370892917571325</v>
      </c>
    </row>
    <row r="334" spans="1:4" x14ac:dyDescent="0.25">
      <c r="A334" s="17">
        <v>310</v>
      </c>
      <c r="B334" s="17">
        <v>-1.4578398155639551</v>
      </c>
      <c r="C334" s="17">
        <v>0.49863981556395509</v>
      </c>
      <c r="D334" s="17">
        <v>0.49370166727504816</v>
      </c>
    </row>
    <row r="335" spans="1:4" x14ac:dyDescent="0.25">
      <c r="A335" s="17">
        <v>311</v>
      </c>
      <c r="B335" s="17">
        <v>0.6527529689985534</v>
      </c>
      <c r="C335" s="17">
        <v>-1.8648529689985534</v>
      </c>
      <c r="D335" s="17">
        <v>-1.8463848880100586</v>
      </c>
    </row>
    <row r="336" spans="1:4" x14ac:dyDescent="0.25">
      <c r="A336" s="17">
        <v>312</v>
      </c>
      <c r="B336" s="17">
        <v>0.30461738965590102</v>
      </c>
      <c r="C336" s="17">
        <v>0.18198261034409896</v>
      </c>
      <c r="D336" s="17">
        <v>0.18018039341750805</v>
      </c>
    </row>
    <row r="337" spans="1:4" x14ac:dyDescent="0.25">
      <c r="A337" s="17">
        <v>313</v>
      </c>
      <c r="B337" s="17">
        <v>0.16294076544208622</v>
      </c>
      <c r="C337" s="17">
        <v>7.9459234557913788E-2</v>
      </c>
      <c r="D337" s="17">
        <v>7.8672330923421144E-2</v>
      </c>
    </row>
    <row r="338" spans="1:4" x14ac:dyDescent="0.25">
      <c r="A338" s="17">
        <v>314</v>
      </c>
      <c r="B338" s="17">
        <v>1.8752833373125852</v>
      </c>
      <c r="C338" s="17">
        <v>0.87111666268741472</v>
      </c>
      <c r="D338" s="17">
        <v>0.86248978789117925</v>
      </c>
    </row>
    <row r="339" spans="1:4" x14ac:dyDescent="0.25">
      <c r="A339" s="17">
        <v>315</v>
      </c>
      <c r="B339" s="17">
        <v>-0.76423551098149878</v>
      </c>
      <c r="C339" s="17">
        <v>0.76423551098149878</v>
      </c>
      <c r="D339" s="17">
        <v>0.75666710556524264</v>
      </c>
    </row>
    <row r="340" spans="1:4" x14ac:dyDescent="0.25">
      <c r="A340" s="17">
        <v>316</v>
      </c>
      <c r="B340" s="17">
        <v>-2.0171013447154298</v>
      </c>
      <c r="C340" s="17">
        <v>0.71300134471542975</v>
      </c>
      <c r="D340" s="17">
        <v>0.70594032339202673</v>
      </c>
    </row>
    <row r="341" spans="1:4" x14ac:dyDescent="0.25">
      <c r="A341" s="17">
        <v>317</v>
      </c>
      <c r="B341" s="17">
        <v>0.35217628782336197</v>
      </c>
      <c r="C341" s="17">
        <v>1.0696237121766381</v>
      </c>
      <c r="D341" s="17">
        <v>1.0590309750160776</v>
      </c>
    </row>
    <row r="342" spans="1:4" x14ac:dyDescent="0.25">
      <c r="A342" s="17">
        <v>318</v>
      </c>
      <c r="B342" s="17">
        <v>0.3303969793167677</v>
      </c>
      <c r="C342" s="17">
        <v>0.60640302068323226</v>
      </c>
      <c r="D342" s="17">
        <v>0.60039766783031545</v>
      </c>
    </row>
    <row r="343" spans="1:4" x14ac:dyDescent="0.25">
      <c r="A343" s="17">
        <v>319</v>
      </c>
      <c r="B343" s="17">
        <v>-1.6248515537548287</v>
      </c>
      <c r="C343" s="17">
        <v>-0.13884844624517134</v>
      </c>
      <c r="D343" s="17">
        <v>-0.13747339716998364</v>
      </c>
    </row>
    <row r="344" spans="1:4" x14ac:dyDescent="0.25">
      <c r="A344" s="17">
        <v>320</v>
      </c>
      <c r="B344" s="17">
        <v>-0.31409276220489968</v>
      </c>
      <c r="C344" s="17">
        <v>0.31409276220489968</v>
      </c>
      <c r="D344" s="17">
        <v>0.31098222712962503</v>
      </c>
    </row>
    <row r="345" spans="1:4" x14ac:dyDescent="0.25">
      <c r="A345" s="17">
        <v>321</v>
      </c>
      <c r="B345" s="17">
        <v>0.33561956860151221</v>
      </c>
      <c r="C345" s="17">
        <v>1.9580431398487808E-2</v>
      </c>
      <c r="D345" s="17">
        <v>1.9386521745089702E-2</v>
      </c>
    </row>
    <row r="346" spans="1:4" x14ac:dyDescent="0.25">
      <c r="A346" s="17">
        <v>322</v>
      </c>
      <c r="B346" s="17">
        <v>1.0215566676382799</v>
      </c>
      <c r="C346" s="17">
        <v>-1.4954566676382799</v>
      </c>
      <c r="D346" s="17">
        <v>-1.480646805782222</v>
      </c>
    </row>
    <row r="347" spans="1:4" x14ac:dyDescent="0.25">
      <c r="A347" s="17">
        <v>323</v>
      </c>
      <c r="B347" s="17">
        <v>-0.54399780965461164</v>
      </c>
      <c r="C347" s="17">
        <v>0.30619780965461163</v>
      </c>
      <c r="D347" s="17">
        <v>0.30316546016582713</v>
      </c>
    </row>
    <row r="348" spans="1:4" x14ac:dyDescent="0.25">
      <c r="A348" s="17">
        <v>324</v>
      </c>
      <c r="B348" s="17">
        <v>-0.5328859175594105</v>
      </c>
      <c r="C348" s="17">
        <v>2.8858859175594107</v>
      </c>
      <c r="D348" s="17">
        <v>2.8573063052601824</v>
      </c>
    </row>
    <row r="349" spans="1:4" x14ac:dyDescent="0.25">
      <c r="A349" s="17">
        <v>325</v>
      </c>
      <c r="B349" s="17">
        <v>0.38706762900229363</v>
      </c>
      <c r="C349" s="17">
        <v>0.53883237099770631</v>
      </c>
      <c r="D349" s="17">
        <v>0.53349618630527329</v>
      </c>
    </row>
    <row r="350" spans="1:4" x14ac:dyDescent="0.25">
      <c r="A350" s="17">
        <v>326</v>
      </c>
      <c r="B350" s="17">
        <v>2.6360034701500563</v>
      </c>
      <c r="C350" s="17">
        <v>-0.8095034701500563</v>
      </c>
      <c r="D350" s="17">
        <v>-0.80148676540403707</v>
      </c>
    </row>
    <row r="351" spans="1:4" x14ac:dyDescent="0.25">
      <c r="A351" s="17">
        <v>327</v>
      </c>
      <c r="B351" s="17">
        <v>-0.17808320295963742</v>
      </c>
      <c r="C351" s="17">
        <v>0.74208320295963737</v>
      </c>
      <c r="D351" s="17">
        <v>0.73473417710060684</v>
      </c>
    </row>
    <row r="352" spans="1:4" x14ac:dyDescent="0.25">
      <c r="A352" s="17">
        <v>328</v>
      </c>
      <c r="B352" s="17">
        <v>0.67153206663944331</v>
      </c>
      <c r="C352" s="17">
        <v>-2.1446320666394434</v>
      </c>
      <c r="D352" s="17">
        <v>-2.1233932669294107</v>
      </c>
    </row>
    <row r="353" spans="1:4" x14ac:dyDescent="0.25">
      <c r="A353" s="17">
        <v>329</v>
      </c>
      <c r="B353" s="17">
        <v>-2.3030103283249557</v>
      </c>
      <c r="C353" s="17">
        <v>-6.5896716750444284E-3</v>
      </c>
      <c r="D353" s="17">
        <v>-6.5244125944598271E-3</v>
      </c>
    </row>
    <row r="354" spans="1:4" x14ac:dyDescent="0.25">
      <c r="A354" s="17">
        <v>330</v>
      </c>
      <c r="B354" s="17">
        <v>0.18472007394868048</v>
      </c>
      <c r="C354" s="17">
        <v>-1.5965200739486805</v>
      </c>
      <c r="D354" s="17">
        <v>-1.5807093572243076</v>
      </c>
    </row>
    <row r="355" spans="1:4" x14ac:dyDescent="0.25">
      <c r="A355" s="17">
        <v>331</v>
      </c>
      <c r="B355" s="17">
        <v>-0.96336061732750355</v>
      </c>
      <c r="C355" s="17">
        <v>1.2000606173275035</v>
      </c>
      <c r="D355" s="17">
        <v>1.1881761325770468</v>
      </c>
    </row>
    <row r="356" spans="1:4" x14ac:dyDescent="0.25">
      <c r="A356" s="17">
        <v>332</v>
      </c>
      <c r="B356" s="17">
        <v>0.19560972820197764</v>
      </c>
      <c r="C356" s="17">
        <v>0.62839027179802232</v>
      </c>
      <c r="D356" s="17">
        <v>0.62216717398555499</v>
      </c>
    </row>
    <row r="357" spans="1:4" x14ac:dyDescent="0.25">
      <c r="A357" s="17">
        <v>333</v>
      </c>
      <c r="B357" s="17">
        <v>-1.1615967723058922</v>
      </c>
      <c r="C357" s="17">
        <v>1.3957967723058922</v>
      </c>
      <c r="D357" s="17">
        <v>1.3819738660162517</v>
      </c>
    </row>
    <row r="358" spans="1:4" x14ac:dyDescent="0.25">
      <c r="A358" s="17">
        <v>334</v>
      </c>
      <c r="B358" s="17">
        <v>-0.29153562125164134</v>
      </c>
      <c r="C358" s="17">
        <v>0.17453562125164135</v>
      </c>
      <c r="D358" s="17">
        <v>0.17280715362323443</v>
      </c>
    </row>
    <row r="359" spans="1:4" x14ac:dyDescent="0.25">
      <c r="A359" s="17">
        <v>335</v>
      </c>
      <c r="B359" s="17">
        <v>0.34995390940432175</v>
      </c>
      <c r="C359" s="17">
        <v>-0.23295390940432176</v>
      </c>
      <c r="D359" s="17">
        <v>-0.23064691162112611</v>
      </c>
    </row>
    <row r="360" spans="1:4" x14ac:dyDescent="0.25">
      <c r="A360" s="17">
        <v>336</v>
      </c>
      <c r="B360" s="17">
        <v>-2.3745709134180513</v>
      </c>
      <c r="C360" s="17">
        <v>-0.11222908658194886</v>
      </c>
      <c r="D360" s="17">
        <v>-0.11111765533524137</v>
      </c>
    </row>
    <row r="361" spans="1:4" x14ac:dyDescent="0.25">
      <c r="A361" s="17">
        <v>337</v>
      </c>
      <c r="B361" s="17">
        <v>1.9335096518914394</v>
      </c>
      <c r="C361" s="17">
        <v>8.4390348108560609E-2</v>
      </c>
      <c r="D361" s="17">
        <v>8.3554610487726555E-2</v>
      </c>
    </row>
    <row r="362" spans="1:4" x14ac:dyDescent="0.25">
      <c r="A362" s="17">
        <v>338</v>
      </c>
      <c r="B362" s="17">
        <v>-3.0770647316766686</v>
      </c>
      <c r="C362" s="17">
        <v>-0.87793526832333146</v>
      </c>
      <c r="D362" s="17">
        <v>-0.86924086725923144</v>
      </c>
    </row>
    <row r="363" spans="1:4" x14ac:dyDescent="0.25">
      <c r="A363" s="17">
        <v>339</v>
      </c>
      <c r="B363" s="17">
        <v>0.70820131055360724</v>
      </c>
      <c r="C363" s="17">
        <v>0.14389868944639272</v>
      </c>
      <c r="D363" s="17">
        <v>0.14247362661569601</v>
      </c>
    </row>
    <row r="364" spans="1:4" x14ac:dyDescent="0.25">
      <c r="A364" s="17">
        <v>340</v>
      </c>
      <c r="B364" s="17">
        <v>1.3420236356638815</v>
      </c>
      <c r="C364" s="17">
        <v>-1.7063236356638816</v>
      </c>
      <c r="D364" s="17">
        <v>-1.6894255082404923</v>
      </c>
    </row>
    <row r="365" spans="1:4" x14ac:dyDescent="0.25">
      <c r="A365" s="17">
        <v>341</v>
      </c>
      <c r="B365" s="17">
        <v>-1.8868699693596718</v>
      </c>
      <c r="C365" s="17">
        <v>-1.9573300306403281</v>
      </c>
      <c r="D365" s="17">
        <v>-1.9379461273900411</v>
      </c>
    </row>
    <row r="366" spans="1:4" x14ac:dyDescent="0.25">
      <c r="A366" s="17">
        <v>342</v>
      </c>
      <c r="B366" s="17">
        <v>-0.28364617786404844</v>
      </c>
      <c r="C366" s="17">
        <v>2.1622461778640485</v>
      </c>
      <c r="D366" s="17">
        <v>2.1408329414353875</v>
      </c>
    </row>
    <row r="367" spans="1:4" x14ac:dyDescent="0.25">
      <c r="A367" s="17">
        <v>343</v>
      </c>
      <c r="B367" s="17">
        <v>-0.76145753795769833</v>
      </c>
      <c r="C367" s="17">
        <v>1.4257537957698352E-2</v>
      </c>
      <c r="D367" s="17">
        <v>1.411634217975951E-2</v>
      </c>
    </row>
    <row r="368" spans="1:4" x14ac:dyDescent="0.25">
      <c r="A368" s="17">
        <v>344</v>
      </c>
      <c r="B368" s="17">
        <v>1.079116268691422</v>
      </c>
      <c r="C368" s="17">
        <v>0.90118373130857798</v>
      </c>
      <c r="D368" s="17">
        <v>0.89225909520482216</v>
      </c>
    </row>
    <row r="369" spans="1:4" x14ac:dyDescent="0.25">
      <c r="A369" s="17">
        <v>345</v>
      </c>
      <c r="B369" s="17">
        <v>3.2389347352356719</v>
      </c>
      <c r="C369" s="17">
        <v>-2.3847347352356718</v>
      </c>
      <c r="D369" s="17">
        <v>-2.3611181418856559</v>
      </c>
    </row>
    <row r="370" spans="1:4" x14ac:dyDescent="0.25">
      <c r="A370" s="17">
        <v>346</v>
      </c>
      <c r="B370" s="17">
        <v>-1.1525961397087792</v>
      </c>
      <c r="C370" s="17">
        <v>0.42089613970877915</v>
      </c>
      <c r="D370" s="17">
        <v>0.4167279054698832</v>
      </c>
    </row>
    <row r="371" spans="1:4" x14ac:dyDescent="0.25">
      <c r="A371" s="17">
        <v>347</v>
      </c>
      <c r="B371" s="17">
        <v>0.67808808297561207</v>
      </c>
      <c r="C371" s="17">
        <v>3.3992119170243882</v>
      </c>
      <c r="D371" s="17">
        <v>3.3655487156759327</v>
      </c>
    </row>
    <row r="372" spans="1:4" x14ac:dyDescent="0.25">
      <c r="A372" s="17">
        <v>348</v>
      </c>
      <c r="B372" s="17">
        <v>-2.9421663616409264</v>
      </c>
      <c r="C372" s="17">
        <v>-3.362933638359074</v>
      </c>
      <c r="D372" s="17">
        <v>-3.3296297094034841</v>
      </c>
    </row>
    <row r="373" spans="1:4" x14ac:dyDescent="0.25">
      <c r="A373" s="17">
        <v>349</v>
      </c>
      <c r="B373" s="17">
        <v>-3.2840792814102664</v>
      </c>
      <c r="C373" s="17">
        <v>-1.0644207185897332</v>
      </c>
      <c r="D373" s="17">
        <v>-1.0538795079079584</v>
      </c>
    </row>
    <row r="374" spans="1:4" x14ac:dyDescent="0.25">
      <c r="A374" s="17">
        <v>350</v>
      </c>
      <c r="B374" s="17">
        <v>1.7642755352815256</v>
      </c>
      <c r="C374" s="17">
        <v>0.4336244647184746</v>
      </c>
      <c r="D374" s="17">
        <v>0.42933017885994174</v>
      </c>
    </row>
    <row r="375" spans="1:4" x14ac:dyDescent="0.25">
      <c r="A375" s="17">
        <v>351</v>
      </c>
      <c r="B375" s="17">
        <v>0.9528851744899367</v>
      </c>
      <c r="C375" s="17">
        <v>-1.4656851744899368</v>
      </c>
      <c r="D375" s="17">
        <v>-1.4511701467874301</v>
      </c>
    </row>
    <row r="376" spans="1:4" x14ac:dyDescent="0.25">
      <c r="A376" s="17">
        <v>352</v>
      </c>
      <c r="B376" s="17">
        <v>0.45207219775922042</v>
      </c>
      <c r="C376" s="17">
        <v>2.0861278022407794</v>
      </c>
      <c r="D376" s="17">
        <v>2.0654683841286787</v>
      </c>
    </row>
    <row r="377" spans="1:4" x14ac:dyDescent="0.25">
      <c r="A377" s="17">
        <v>353</v>
      </c>
      <c r="B377" s="17">
        <v>-1.2009328703229041</v>
      </c>
      <c r="C377" s="17">
        <v>-1.2088671296770961</v>
      </c>
      <c r="D377" s="17">
        <v>-1.1968954319473846</v>
      </c>
    </row>
    <row r="378" spans="1:4" x14ac:dyDescent="0.25">
      <c r="A378" s="17">
        <v>354</v>
      </c>
      <c r="B378" s="17">
        <v>1.9701788958056032</v>
      </c>
      <c r="C378" s="17">
        <v>1.1886211041943966</v>
      </c>
      <c r="D378" s="17">
        <v>1.1768499076540686</v>
      </c>
    </row>
    <row r="379" spans="1:4" x14ac:dyDescent="0.25">
      <c r="A379" s="17">
        <v>355</v>
      </c>
      <c r="B379" s="17">
        <v>-0.6816741527141541</v>
      </c>
      <c r="C379" s="17">
        <v>-0.56992584728584594</v>
      </c>
      <c r="D379" s="17">
        <v>-0.56428173652747138</v>
      </c>
    </row>
    <row r="380" spans="1:4" x14ac:dyDescent="0.25">
      <c r="A380" s="17">
        <v>356</v>
      </c>
      <c r="B380" s="17">
        <v>0.3351750929177042</v>
      </c>
      <c r="C380" s="17">
        <v>0.41762490708229583</v>
      </c>
      <c r="D380" s="17">
        <v>0.41348906863549845</v>
      </c>
    </row>
    <row r="381" spans="1:4" x14ac:dyDescent="0.25">
      <c r="A381" s="17">
        <v>357</v>
      </c>
      <c r="B381" s="17">
        <v>-0.14319186178070575</v>
      </c>
      <c r="C381" s="17">
        <v>-0.86180813821929414</v>
      </c>
      <c r="D381" s="17">
        <v>-0.85327344794731796</v>
      </c>
    </row>
    <row r="382" spans="1:4" x14ac:dyDescent="0.25">
      <c r="A382" s="17">
        <v>358</v>
      </c>
      <c r="B382" s="17">
        <v>1.3330230030667687</v>
      </c>
      <c r="C382" s="17">
        <v>-2.731623003066769</v>
      </c>
      <c r="D382" s="17">
        <v>-2.7045710929755602</v>
      </c>
    </row>
    <row r="383" spans="1:4" x14ac:dyDescent="0.25">
      <c r="A383" s="17">
        <v>359</v>
      </c>
      <c r="B383" s="17">
        <v>2.0067370207988149</v>
      </c>
      <c r="C383" s="17">
        <v>1.3919629792011849</v>
      </c>
      <c r="D383" s="17">
        <v>1.3781780398734058</v>
      </c>
    </row>
    <row r="384" spans="1:4" x14ac:dyDescent="0.25">
      <c r="A384" s="17">
        <v>360</v>
      </c>
      <c r="B384" s="17">
        <v>-5.5519033149568617E-2</v>
      </c>
      <c r="C384" s="17">
        <v>-0.31648096685043137</v>
      </c>
      <c r="D384" s="17">
        <v>-0.31334678081846251</v>
      </c>
    </row>
    <row r="385" spans="1:4" x14ac:dyDescent="0.25">
      <c r="A385" s="17">
        <v>361</v>
      </c>
      <c r="B385" s="17">
        <v>1.0078890403611824</v>
      </c>
      <c r="C385" s="17">
        <v>0.34931095963881753</v>
      </c>
      <c r="D385" s="17">
        <v>0.34585165040638899</v>
      </c>
    </row>
    <row r="386" spans="1:4" x14ac:dyDescent="0.25">
      <c r="A386" s="17">
        <v>362</v>
      </c>
      <c r="B386" s="17">
        <v>-0.7730139057367077</v>
      </c>
      <c r="C386" s="17">
        <v>-0.46008609426329239</v>
      </c>
      <c r="D386" s="17">
        <v>-0.45552975261502954</v>
      </c>
    </row>
    <row r="387" spans="1:4" x14ac:dyDescent="0.25">
      <c r="A387" s="17">
        <v>363</v>
      </c>
      <c r="B387" s="17">
        <v>-0.80134923057947061</v>
      </c>
      <c r="C387" s="17">
        <v>0.17904923057947064</v>
      </c>
      <c r="D387" s="17">
        <v>0.17727606360800421</v>
      </c>
    </row>
    <row r="388" spans="1:4" x14ac:dyDescent="0.25">
      <c r="A388" s="17">
        <v>364</v>
      </c>
      <c r="B388" s="17">
        <v>-0.78757048438142119</v>
      </c>
      <c r="C388" s="17">
        <v>0.16137048438142121</v>
      </c>
      <c r="D388" s="17">
        <v>0.1597723942240459</v>
      </c>
    </row>
    <row r="389" spans="1:4" x14ac:dyDescent="0.25">
      <c r="A389" s="17">
        <v>365</v>
      </c>
      <c r="B389" s="17">
        <v>-0.36976334160185748</v>
      </c>
      <c r="C389" s="17">
        <v>-0.76733665839814247</v>
      </c>
      <c r="D389" s="17">
        <v>-0.75973754158393703</v>
      </c>
    </row>
    <row r="390" spans="1:4" x14ac:dyDescent="0.25">
      <c r="A390" s="17">
        <v>366</v>
      </c>
      <c r="B390" s="17">
        <v>0.77187245225910994</v>
      </c>
      <c r="C390" s="17">
        <v>-1.2372452259109989E-2</v>
      </c>
      <c r="D390" s="17">
        <v>-1.2249924931676646E-2</v>
      </c>
    </row>
    <row r="391" spans="1:4" x14ac:dyDescent="0.25">
      <c r="A391" s="17">
        <v>367</v>
      </c>
      <c r="B391" s="17">
        <v>-0.13519129947216096</v>
      </c>
      <c r="C391" s="17">
        <v>0.88899129947216093</v>
      </c>
      <c r="D391" s="17">
        <v>0.88018740791092132</v>
      </c>
    </row>
    <row r="392" spans="1:4" x14ac:dyDescent="0.25">
      <c r="A392" s="17">
        <v>368</v>
      </c>
      <c r="B392" s="17">
        <v>2.0182933885778245</v>
      </c>
      <c r="C392" s="17">
        <v>-0.28129338857782438</v>
      </c>
      <c r="D392" s="17">
        <v>-0.27850767347419714</v>
      </c>
    </row>
    <row r="393" spans="1:4" x14ac:dyDescent="0.25">
      <c r="A393" s="17">
        <v>369</v>
      </c>
      <c r="B393" s="17">
        <v>0.81420876114182617</v>
      </c>
      <c r="C393" s="17">
        <v>1.6160912388581736</v>
      </c>
      <c r="D393" s="17">
        <v>1.6000867042486397</v>
      </c>
    </row>
    <row r="394" spans="1:4" x14ac:dyDescent="0.25">
      <c r="A394" s="17">
        <v>370</v>
      </c>
      <c r="B394" s="17">
        <v>1.1741229461053919</v>
      </c>
      <c r="C394" s="17">
        <v>-9.9522946105391918E-2</v>
      </c>
      <c r="D394" s="17">
        <v>-9.8537346779631135E-2</v>
      </c>
    </row>
    <row r="395" spans="1:4" x14ac:dyDescent="0.25">
      <c r="A395" s="17">
        <v>371</v>
      </c>
      <c r="B395" s="17">
        <v>0.13560551088789136</v>
      </c>
      <c r="C395" s="17">
        <v>-0.13620551088789135</v>
      </c>
      <c r="D395" s="17">
        <v>-0.13485663542801651</v>
      </c>
    </row>
    <row r="396" spans="1:4" x14ac:dyDescent="0.25">
      <c r="A396" s="17">
        <v>372</v>
      </c>
      <c r="B396" s="17">
        <v>-0.45010232145016194</v>
      </c>
      <c r="C396" s="17">
        <v>0.20350232145016192</v>
      </c>
      <c r="D396" s="17">
        <v>0.2014869897235505</v>
      </c>
    </row>
    <row r="397" spans="1:4" x14ac:dyDescent="0.25">
      <c r="A397" s="17">
        <v>373</v>
      </c>
      <c r="B397" s="17">
        <v>-0.21675258745093751</v>
      </c>
      <c r="C397" s="17">
        <v>9.3252587450937507E-2</v>
      </c>
      <c r="D397" s="17">
        <v>9.2329084973229877E-2</v>
      </c>
    </row>
    <row r="398" spans="1:4" x14ac:dyDescent="0.25">
      <c r="A398" s="17">
        <v>374</v>
      </c>
      <c r="B398" s="17">
        <v>-0.81546133354037609</v>
      </c>
      <c r="C398" s="17">
        <v>-0.30323866645962394</v>
      </c>
      <c r="D398" s="17">
        <v>-0.30023562206732157</v>
      </c>
    </row>
    <row r="399" spans="1:4" x14ac:dyDescent="0.25">
      <c r="A399" s="17">
        <v>375</v>
      </c>
      <c r="B399" s="17">
        <v>-0.82223958771844885</v>
      </c>
      <c r="C399" s="17">
        <v>-0.30916041228155111</v>
      </c>
      <c r="D399" s="17">
        <v>-0.3060987234367098</v>
      </c>
    </row>
    <row r="400" spans="1:4" x14ac:dyDescent="0.25">
      <c r="A400" s="17">
        <v>376</v>
      </c>
      <c r="B400" s="17">
        <v>0.17271923048586324</v>
      </c>
      <c r="C400" s="17">
        <v>-1.4450192304858631</v>
      </c>
      <c r="D400" s="17">
        <v>-1.4307088625253925</v>
      </c>
    </row>
    <row r="401" spans="1:4" x14ac:dyDescent="0.25">
      <c r="A401" s="17">
        <v>377</v>
      </c>
      <c r="B401" s="17">
        <v>-1.8889812288577601</v>
      </c>
      <c r="C401" s="17">
        <v>-1.2322187711422399</v>
      </c>
      <c r="D401" s="17">
        <v>-1.2200158165719293</v>
      </c>
    </row>
    <row r="402" spans="1:4" x14ac:dyDescent="0.25">
      <c r="A402" s="17">
        <v>378</v>
      </c>
      <c r="B402" s="17">
        <v>-0.34398375194099079</v>
      </c>
      <c r="C402" s="17">
        <v>0.4759837519409908</v>
      </c>
      <c r="D402" s="17">
        <v>0.47126997202043525</v>
      </c>
    </row>
    <row r="403" spans="1:4" x14ac:dyDescent="0.25">
      <c r="A403" s="17">
        <v>379</v>
      </c>
      <c r="B403" s="17">
        <v>-0.15052571056353858</v>
      </c>
      <c r="C403" s="17">
        <v>-0.24607428943646142</v>
      </c>
      <c r="D403" s="17">
        <v>-0.24363735741981063</v>
      </c>
    </row>
    <row r="404" spans="1:4" x14ac:dyDescent="0.25">
      <c r="A404" s="17">
        <v>380</v>
      </c>
      <c r="B404" s="17">
        <v>0.64997499597475317</v>
      </c>
      <c r="C404" s="17">
        <v>-1.5814749959747532</v>
      </c>
      <c r="D404" s="17">
        <v>-1.5658132742237749</v>
      </c>
    </row>
    <row r="405" spans="1:4" x14ac:dyDescent="0.25">
      <c r="A405" s="17">
        <v>381</v>
      </c>
      <c r="B405" s="17">
        <v>-1.1498181666849789</v>
      </c>
      <c r="C405" s="17">
        <v>1.1498181666849789</v>
      </c>
      <c r="D405" s="17">
        <v>1.1384312448324834</v>
      </c>
    </row>
    <row r="406" spans="1:4" x14ac:dyDescent="0.25">
      <c r="A406" s="17">
        <v>382</v>
      </c>
      <c r="B406" s="17">
        <v>1.6300438787714955</v>
      </c>
      <c r="C406" s="17">
        <v>1.9159561212285043</v>
      </c>
      <c r="D406" s="17">
        <v>1.896981953610211</v>
      </c>
    </row>
    <row r="407" spans="1:4" x14ac:dyDescent="0.25">
      <c r="A407" s="17">
        <v>383</v>
      </c>
      <c r="B407" s="17">
        <v>0.32239641700822286</v>
      </c>
      <c r="C407" s="17">
        <v>-1.3599964170082228</v>
      </c>
      <c r="D407" s="17">
        <v>-1.3465280501230532</v>
      </c>
    </row>
    <row r="408" spans="1:4" x14ac:dyDescent="0.25">
      <c r="A408" s="17">
        <v>384</v>
      </c>
      <c r="B408" s="17">
        <v>-2.0564374427324417</v>
      </c>
      <c r="C408" s="17">
        <v>-1.1226625572675584</v>
      </c>
      <c r="D408" s="17">
        <v>-1.1115445638519692</v>
      </c>
    </row>
    <row r="409" spans="1:4" x14ac:dyDescent="0.25">
      <c r="A409" s="17">
        <v>385</v>
      </c>
      <c r="B409" s="17">
        <v>-0.25042162049939698</v>
      </c>
      <c r="C409" s="17">
        <v>0.92112162049939694</v>
      </c>
      <c r="D409" s="17">
        <v>0.91199953475299533</v>
      </c>
    </row>
    <row r="410" spans="1:4" x14ac:dyDescent="0.25">
      <c r="A410" s="17">
        <v>386</v>
      </c>
      <c r="B410" s="17">
        <v>-0.39198712579225981</v>
      </c>
      <c r="C410" s="17">
        <v>0.12428712579225981</v>
      </c>
      <c r="D410" s="17">
        <v>0.12305628092506832</v>
      </c>
    </row>
    <row r="411" spans="1:4" x14ac:dyDescent="0.25">
      <c r="A411" s="17">
        <v>387</v>
      </c>
      <c r="B411" s="17">
        <v>-6.2186168406689321E-2</v>
      </c>
      <c r="C411" s="17">
        <v>2.3153861684066892</v>
      </c>
      <c r="D411" s="17">
        <v>2.2924563503520581</v>
      </c>
    </row>
    <row r="412" spans="1:4" x14ac:dyDescent="0.25">
      <c r="A412" s="17">
        <v>388</v>
      </c>
      <c r="B412" s="17">
        <v>2.4973270568019461</v>
      </c>
      <c r="C412" s="17">
        <v>1.3591729431980539</v>
      </c>
      <c r="D412" s="17">
        <v>1.345712731369219</v>
      </c>
    </row>
    <row r="413" spans="1:4" x14ac:dyDescent="0.25">
      <c r="A413" s="17">
        <v>389</v>
      </c>
      <c r="B413" s="17">
        <v>0.60730533032918066</v>
      </c>
      <c r="C413" s="17">
        <v>-0.98630533032918066</v>
      </c>
      <c r="D413" s="17">
        <v>-0.9765377148534764</v>
      </c>
    </row>
    <row r="414" spans="1:4" x14ac:dyDescent="0.25">
      <c r="A414" s="17">
        <v>390</v>
      </c>
      <c r="B414" s="17">
        <v>1.7912774330728645</v>
      </c>
      <c r="C414" s="17">
        <v>0.70882256692713574</v>
      </c>
      <c r="D414" s="17">
        <v>0.70180292903068919</v>
      </c>
    </row>
    <row r="415" spans="1:4" x14ac:dyDescent="0.25">
      <c r="A415" s="17">
        <v>391</v>
      </c>
      <c r="B415" s="17">
        <v>3.3598341453944698E-2</v>
      </c>
      <c r="C415" s="17">
        <v>-1.2758983414539447</v>
      </c>
      <c r="D415" s="17">
        <v>-1.263262817745225</v>
      </c>
    </row>
    <row r="416" spans="1:4" x14ac:dyDescent="0.25">
      <c r="A416" s="17">
        <v>392</v>
      </c>
      <c r="B416" s="17">
        <v>-0.70178667740646816</v>
      </c>
      <c r="C416" s="17">
        <v>0.45148667740646814</v>
      </c>
      <c r="D416" s="17">
        <v>0.44701549782170619</v>
      </c>
    </row>
    <row r="417" spans="1:4" x14ac:dyDescent="0.25">
      <c r="A417" s="17">
        <v>393</v>
      </c>
      <c r="B417" s="17">
        <v>1.126786285779835</v>
      </c>
      <c r="C417" s="17">
        <v>0.24221371422016502</v>
      </c>
      <c r="D417" s="17">
        <v>0.23981501439497488</v>
      </c>
    </row>
    <row r="418" spans="1:4" x14ac:dyDescent="0.25">
      <c r="A418" s="17">
        <v>394</v>
      </c>
      <c r="B418" s="17">
        <v>0.21138861497716327</v>
      </c>
      <c r="C418" s="17">
        <v>0.40471138502283671</v>
      </c>
      <c r="D418" s="17">
        <v>0.40070343224595834</v>
      </c>
    </row>
    <row r="419" spans="1:4" x14ac:dyDescent="0.25">
      <c r="A419" s="17">
        <v>395</v>
      </c>
      <c r="B419" s="17">
        <v>0.44240485163639542</v>
      </c>
      <c r="C419" s="17">
        <v>-1.5542048516363953</v>
      </c>
      <c r="D419" s="17">
        <v>-1.5388131925887942</v>
      </c>
    </row>
    <row r="420" spans="1:4" x14ac:dyDescent="0.25">
      <c r="A420" s="17">
        <v>396</v>
      </c>
      <c r="B420" s="17">
        <v>1.7880549843652562</v>
      </c>
      <c r="C420" s="17">
        <v>0.42334501563474358</v>
      </c>
      <c r="D420" s="17">
        <v>0.4191525295970821</v>
      </c>
    </row>
    <row r="421" spans="1:4" x14ac:dyDescent="0.25">
      <c r="A421" s="17">
        <v>397</v>
      </c>
      <c r="B421" s="17">
        <v>0.18316440905535231</v>
      </c>
      <c r="C421" s="17">
        <v>-0.54836440905535233</v>
      </c>
      <c r="D421" s="17">
        <v>-0.54293382633060228</v>
      </c>
    </row>
    <row r="422" spans="1:4" x14ac:dyDescent="0.25">
      <c r="A422" s="17">
        <v>398</v>
      </c>
      <c r="B422" s="17">
        <v>2.6266516834121123E-4</v>
      </c>
      <c r="C422" s="17">
        <v>0.84973733483165881</v>
      </c>
      <c r="D422" s="17">
        <v>0.84132218458684027</v>
      </c>
    </row>
    <row r="423" spans="1:4" x14ac:dyDescent="0.25">
      <c r="A423" s="17">
        <v>399</v>
      </c>
      <c r="B423" s="17">
        <v>0.71220159170787956</v>
      </c>
      <c r="C423" s="17">
        <v>-0.10940159170787955</v>
      </c>
      <c r="D423" s="17">
        <v>-0.10831816181312685</v>
      </c>
    </row>
    <row r="424" spans="1:4" x14ac:dyDescent="0.25">
      <c r="A424" s="17">
        <v>400</v>
      </c>
      <c r="B424" s="17">
        <v>-9.8855412320853139E-2</v>
      </c>
      <c r="C424" s="17">
        <v>-0.14184458767914687</v>
      </c>
      <c r="D424" s="17">
        <v>-0.14043986710514642</v>
      </c>
    </row>
    <row r="425" spans="1:4" x14ac:dyDescent="0.25">
      <c r="A425" s="17">
        <v>401</v>
      </c>
      <c r="B425" s="17">
        <v>0.40606896448508761</v>
      </c>
      <c r="C425" s="17">
        <v>-0.5266689644850876</v>
      </c>
      <c r="D425" s="17">
        <v>-0.52145323689050915</v>
      </c>
    </row>
    <row r="426" spans="1:4" x14ac:dyDescent="0.25">
      <c r="A426" s="17">
        <v>402</v>
      </c>
      <c r="B426" s="17">
        <v>-0.25886665849174989</v>
      </c>
      <c r="C426" s="17">
        <v>-0.83273334150825007</v>
      </c>
      <c r="D426" s="17">
        <v>-0.82448658583986467</v>
      </c>
    </row>
    <row r="427" spans="1:4" x14ac:dyDescent="0.25">
      <c r="A427" s="17">
        <v>403</v>
      </c>
      <c r="B427" s="17">
        <v>-0.46488113793677943</v>
      </c>
      <c r="C427" s="17">
        <v>0.95148113793677935</v>
      </c>
      <c r="D427" s="17">
        <v>0.94205839469290964</v>
      </c>
    </row>
    <row r="428" spans="1:4" x14ac:dyDescent="0.25">
      <c r="A428" s="17">
        <v>404</v>
      </c>
      <c r="B428" s="17">
        <v>1.1865682652520171</v>
      </c>
      <c r="C428" s="17">
        <v>0.25923173474798289</v>
      </c>
      <c r="D428" s="17">
        <v>0.25666450143162944</v>
      </c>
    </row>
    <row r="429" spans="1:4" x14ac:dyDescent="0.25">
      <c r="A429" s="17">
        <v>405</v>
      </c>
      <c r="B429" s="17">
        <v>-7.9298482233299092E-2</v>
      </c>
      <c r="C429" s="17">
        <v>-1.3665015177667008</v>
      </c>
      <c r="D429" s="17">
        <v>-1.3529687293267796</v>
      </c>
    </row>
    <row r="430" spans="1:4" x14ac:dyDescent="0.25">
      <c r="A430" s="17">
        <v>406</v>
      </c>
      <c r="B430" s="17">
        <v>0.19949889043529803</v>
      </c>
      <c r="C430" s="17">
        <v>0.16390110956470197</v>
      </c>
      <c r="D430" s="17">
        <v>0.16227795802628842</v>
      </c>
    </row>
    <row r="431" spans="1:4" x14ac:dyDescent="0.25">
      <c r="A431" s="17">
        <v>407</v>
      </c>
      <c r="B431" s="17">
        <v>-0.33776109236767815</v>
      </c>
      <c r="C431" s="17">
        <v>-0.51223890763232183</v>
      </c>
      <c r="D431" s="17">
        <v>-0.50716608431119325</v>
      </c>
    </row>
    <row r="432" spans="1:4" x14ac:dyDescent="0.25">
      <c r="A432" s="17">
        <v>408</v>
      </c>
      <c r="B432" s="17">
        <v>-6.6186449560961716E-2</v>
      </c>
      <c r="C432" s="17">
        <v>1.2782864495609616</v>
      </c>
      <c r="D432" s="17">
        <v>1.2656272758515914</v>
      </c>
    </row>
    <row r="433" spans="1:4" x14ac:dyDescent="0.25">
      <c r="A433" s="17">
        <v>409</v>
      </c>
      <c r="B433" s="17">
        <v>-1.5203997680599377</v>
      </c>
      <c r="C433" s="17">
        <v>0.79489976805993767</v>
      </c>
      <c r="D433" s="17">
        <v>0.78702768723731387</v>
      </c>
    </row>
    <row r="434" spans="1:4" x14ac:dyDescent="0.25">
      <c r="A434" s="17">
        <v>410</v>
      </c>
      <c r="B434" s="17">
        <v>0.51229865291521071</v>
      </c>
      <c r="C434" s="17">
        <v>-0.14889865291521071</v>
      </c>
      <c r="D434" s="17">
        <v>-0.14742407426111306</v>
      </c>
    </row>
    <row r="435" spans="1:4" x14ac:dyDescent="0.25">
      <c r="A435" s="17">
        <v>411</v>
      </c>
      <c r="B435" s="17">
        <v>-0.22441979299662629</v>
      </c>
      <c r="C435" s="17">
        <v>0.22441979299662629</v>
      </c>
      <c r="D435" s="17">
        <v>0.22219731059110526</v>
      </c>
    </row>
    <row r="436" spans="1:4" x14ac:dyDescent="0.25">
      <c r="A436" s="17">
        <v>412</v>
      </c>
      <c r="B436" s="17">
        <v>0.45785038164872499</v>
      </c>
      <c r="C436" s="17">
        <v>0.265049618351275</v>
      </c>
      <c r="D436" s="17">
        <v>0.26242476915455276</v>
      </c>
    </row>
    <row r="437" spans="1:4" x14ac:dyDescent="0.25">
      <c r="A437" s="17">
        <v>413</v>
      </c>
      <c r="B437" s="17">
        <v>0.87265731356258447</v>
      </c>
      <c r="C437" s="17">
        <v>-0.15495731356258446</v>
      </c>
      <c r="D437" s="17">
        <v>-0.15342273455597774</v>
      </c>
    </row>
    <row r="438" spans="1:4" x14ac:dyDescent="0.25">
      <c r="A438" s="17">
        <v>414</v>
      </c>
      <c r="B438" s="17">
        <v>8.4490807249966021E-2</v>
      </c>
      <c r="C438" s="17">
        <v>3.4609192750033976E-2</v>
      </c>
      <c r="D438" s="17">
        <v>3.4266449710620372E-2</v>
      </c>
    </row>
    <row r="439" spans="1:4" x14ac:dyDescent="0.25">
      <c r="A439" s="17">
        <v>415</v>
      </c>
      <c r="B439" s="17">
        <v>-1.1861540538362867</v>
      </c>
      <c r="C439" s="17">
        <v>-1.2236459461637135</v>
      </c>
      <c r="D439" s="17">
        <v>-1.2115278903112296</v>
      </c>
    </row>
    <row r="440" spans="1:4" x14ac:dyDescent="0.25">
      <c r="A440" s="17">
        <v>416</v>
      </c>
      <c r="B440" s="17">
        <v>-0.54355333397080363</v>
      </c>
      <c r="C440" s="17">
        <v>-0.56004666602919628</v>
      </c>
      <c r="D440" s="17">
        <v>-0.55450039114452376</v>
      </c>
    </row>
    <row r="441" spans="1:4" x14ac:dyDescent="0.25">
      <c r="A441" s="17">
        <v>417</v>
      </c>
      <c r="B441" s="17">
        <v>1.5515939205793754</v>
      </c>
      <c r="C441" s="17">
        <v>1.7234060794206245</v>
      </c>
      <c r="D441" s="17">
        <v>1.7063387805075654</v>
      </c>
    </row>
    <row r="442" spans="1:4" x14ac:dyDescent="0.25">
      <c r="A442" s="17">
        <v>418</v>
      </c>
      <c r="B442" s="17">
        <v>0.9343283146909509</v>
      </c>
      <c r="C442" s="17">
        <v>-1.2929283146909509</v>
      </c>
      <c r="D442" s="17">
        <v>-1.2801241391205556</v>
      </c>
    </row>
    <row r="443" spans="1:4" x14ac:dyDescent="0.25">
      <c r="A443" s="17">
        <v>419</v>
      </c>
      <c r="B443" s="17">
        <v>0.10771466172893644</v>
      </c>
      <c r="C443" s="17">
        <v>0.96438533827106365</v>
      </c>
      <c r="D443" s="17">
        <v>0.95483480167252888</v>
      </c>
    </row>
    <row r="444" spans="1:4" x14ac:dyDescent="0.25">
      <c r="A444" s="17">
        <v>420</v>
      </c>
      <c r="B444" s="17">
        <v>1.3316895760153444</v>
      </c>
      <c r="C444" s="17">
        <v>-1.2132895760153444</v>
      </c>
      <c r="D444" s="17">
        <v>-1.2012740817512679</v>
      </c>
    </row>
    <row r="445" spans="1:4" x14ac:dyDescent="0.25">
      <c r="A445" s="17">
        <v>421</v>
      </c>
      <c r="B445" s="17">
        <v>0.19472077683436154</v>
      </c>
      <c r="C445" s="17">
        <v>0.39527922316563846</v>
      </c>
      <c r="D445" s="17">
        <v>0.39136467932338986</v>
      </c>
    </row>
    <row r="446" spans="1:4" x14ac:dyDescent="0.25">
      <c r="A446" s="17">
        <v>422</v>
      </c>
      <c r="B446" s="17">
        <v>2.3829856871423258</v>
      </c>
      <c r="C446" s="17">
        <v>-0.63368568714232576</v>
      </c>
      <c r="D446" s="17">
        <v>-0.62741014757650193</v>
      </c>
    </row>
    <row r="447" spans="1:4" x14ac:dyDescent="0.25">
      <c r="A447" s="17">
        <v>423</v>
      </c>
      <c r="B447" s="17">
        <v>0.41884764039456895</v>
      </c>
      <c r="C447" s="17">
        <v>-0.41884764039456895</v>
      </c>
      <c r="D447" s="17">
        <v>-0.41469969292994885</v>
      </c>
    </row>
    <row r="448" spans="1:4" x14ac:dyDescent="0.25">
      <c r="A448" s="17">
        <v>424</v>
      </c>
      <c r="B448" s="17">
        <v>-0.32876045977056517</v>
      </c>
      <c r="C448" s="17">
        <v>-0.60043954022943491</v>
      </c>
      <c r="D448" s="17">
        <v>-0.59449324513700907</v>
      </c>
    </row>
    <row r="449" spans="1:4" x14ac:dyDescent="0.25">
      <c r="A449" s="17">
        <v>425</v>
      </c>
      <c r="B449" s="17">
        <v>0.75476013843250001</v>
      </c>
      <c r="C449" s="17">
        <v>-0.40536013843250002</v>
      </c>
      <c r="D449" s="17">
        <v>-0.40134576089682811</v>
      </c>
    </row>
    <row r="450" spans="1:4" x14ac:dyDescent="0.25">
      <c r="A450" s="17">
        <v>426</v>
      </c>
      <c r="B450" s="17">
        <v>-0.7066759099283566</v>
      </c>
      <c r="C450" s="17">
        <v>-0.11062409007164342</v>
      </c>
      <c r="D450" s="17">
        <v>-0.10952855348581876</v>
      </c>
    </row>
    <row r="451" spans="1:4" x14ac:dyDescent="0.25">
      <c r="A451" s="17">
        <v>427</v>
      </c>
      <c r="B451" s="17">
        <v>0.46040611683062127</v>
      </c>
      <c r="C451" s="17">
        <v>7.3938831693787233E-3</v>
      </c>
      <c r="D451" s="17">
        <v>7.3206597917389923E-3</v>
      </c>
    </row>
    <row r="452" spans="1:4" x14ac:dyDescent="0.25">
      <c r="A452" s="17">
        <v>428</v>
      </c>
      <c r="B452" s="17">
        <v>0.26850374034649727</v>
      </c>
      <c r="C452" s="17">
        <v>0.19719625965350274</v>
      </c>
      <c r="D452" s="17">
        <v>0.19524337835162464</v>
      </c>
    </row>
    <row r="453" spans="1:4" x14ac:dyDescent="0.25">
      <c r="A453" s="17">
        <v>429</v>
      </c>
      <c r="B453" s="17">
        <v>-0.41754447761122249</v>
      </c>
      <c r="C453" s="17">
        <v>0.18494447761122249</v>
      </c>
      <c r="D453" s="17">
        <v>0.18311292861101733</v>
      </c>
    </row>
    <row r="454" spans="1:4" x14ac:dyDescent="0.25">
      <c r="A454" s="17">
        <v>430</v>
      </c>
      <c r="B454" s="17">
        <v>-0.8583532370278526</v>
      </c>
      <c r="C454" s="17">
        <v>1.4387532370278526</v>
      </c>
      <c r="D454" s="17">
        <v>1.4245049226858602</v>
      </c>
    </row>
    <row r="455" spans="1:4" x14ac:dyDescent="0.25">
      <c r="A455" s="17">
        <v>431</v>
      </c>
      <c r="B455" s="17">
        <v>0.27739325402265813</v>
      </c>
      <c r="C455" s="17">
        <v>1.1019067459773417</v>
      </c>
      <c r="D455" s="17">
        <v>1.0909943022808253</v>
      </c>
    </row>
    <row r="456" spans="1:4" x14ac:dyDescent="0.25">
      <c r="A456" s="17">
        <v>432</v>
      </c>
      <c r="B456" s="17">
        <v>0.52485509098278804</v>
      </c>
      <c r="C456" s="17">
        <v>1.9555449090172119</v>
      </c>
      <c r="D456" s="17">
        <v>1.9361786842494959</v>
      </c>
    </row>
    <row r="457" spans="1:4" x14ac:dyDescent="0.25">
      <c r="A457" s="17">
        <v>433</v>
      </c>
      <c r="B457" s="17">
        <v>-0.49721674393381476</v>
      </c>
      <c r="C457" s="17">
        <v>-0.51008325606618532</v>
      </c>
      <c r="D457" s="17">
        <v>-0.50503178067348231</v>
      </c>
    </row>
    <row r="458" spans="1:4" x14ac:dyDescent="0.25">
      <c r="A458" s="17">
        <v>434</v>
      </c>
      <c r="B458" s="17">
        <v>0.69242242377842156</v>
      </c>
      <c r="C458" s="17">
        <v>9.1877576221578439E-2</v>
      </c>
      <c r="D458" s="17">
        <v>9.0967690806001728E-2</v>
      </c>
    </row>
    <row r="459" spans="1:4" x14ac:dyDescent="0.25">
      <c r="A459" s="17">
        <v>435</v>
      </c>
      <c r="B459" s="17">
        <v>-0.41898902358359863</v>
      </c>
      <c r="C459" s="17">
        <v>0.64198902358359866</v>
      </c>
      <c r="D459" s="17">
        <v>0.63563125410881083</v>
      </c>
    </row>
    <row r="460" spans="1:4" x14ac:dyDescent="0.25">
      <c r="A460" s="17">
        <v>436</v>
      </c>
      <c r="B460" s="17">
        <v>3.9154287501545273E-2</v>
      </c>
      <c r="C460" s="17">
        <v>0.84774571249845476</v>
      </c>
      <c r="D460" s="17">
        <v>0.83935028576168724</v>
      </c>
    </row>
    <row r="461" spans="1:4" x14ac:dyDescent="0.25">
      <c r="A461" s="17">
        <v>437</v>
      </c>
      <c r="B461" s="17">
        <v>0.19238727949436929</v>
      </c>
      <c r="C461" s="17">
        <v>0.24811272050563071</v>
      </c>
      <c r="D461" s="17">
        <v>0.24565560142292125</v>
      </c>
    </row>
    <row r="462" spans="1:4" x14ac:dyDescent="0.25">
      <c r="A462" s="17">
        <v>438</v>
      </c>
      <c r="B462" s="17">
        <v>-1.0131418939140047</v>
      </c>
      <c r="C462" s="17">
        <v>-1.0968581060859952</v>
      </c>
      <c r="D462" s="17">
        <v>-1.08599566026703</v>
      </c>
    </row>
    <row r="463" spans="1:4" x14ac:dyDescent="0.25">
      <c r="A463" s="17">
        <v>439</v>
      </c>
      <c r="B463" s="17">
        <v>-0.27664568584407173</v>
      </c>
      <c r="C463" s="17">
        <v>-1.9935543141559282</v>
      </c>
      <c r="D463" s="17">
        <v>-1.9738116732395421</v>
      </c>
    </row>
    <row r="464" spans="1:4" x14ac:dyDescent="0.25">
      <c r="A464" s="17">
        <v>440</v>
      </c>
      <c r="B464" s="17">
        <v>-2.0003223876516758</v>
      </c>
      <c r="C464" s="17">
        <v>0.14622238765167572</v>
      </c>
      <c r="D464" s="17">
        <v>0.14477431268685295</v>
      </c>
    </row>
    <row r="465" spans="1:4" x14ac:dyDescent="0.25">
      <c r="A465" s="17">
        <v>441</v>
      </c>
      <c r="B465" s="17">
        <v>-0.14685878617212217</v>
      </c>
      <c r="C465" s="17">
        <v>1.0781587861721222</v>
      </c>
      <c r="D465" s="17">
        <v>1.0674815241506683</v>
      </c>
    </row>
    <row r="466" spans="1:4" x14ac:dyDescent="0.25">
      <c r="A466" s="17">
        <v>442</v>
      </c>
      <c r="B466" s="17">
        <v>-0.19908467901956761</v>
      </c>
      <c r="C466" s="17">
        <v>0.31488467901956763</v>
      </c>
      <c r="D466" s="17">
        <v>0.31176630140436484</v>
      </c>
    </row>
    <row r="467" spans="1:4" x14ac:dyDescent="0.25">
      <c r="A467" s="17">
        <v>443</v>
      </c>
      <c r="B467" s="17">
        <v>0.85021129153027797</v>
      </c>
      <c r="C467" s="17">
        <v>0.41488870846972192</v>
      </c>
      <c r="D467" s="17">
        <v>0.41077996724636129</v>
      </c>
    </row>
    <row r="468" spans="1:4" x14ac:dyDescent="0.25">
      <c r="A468" s="17">
        <v>444</v>
      </c>
      <c r="B468" s="17">
        <v>-2.6183638018237546E-2</v>
      </c>
      <c r="C468" s="17">
        <v>-8.8216361981762456E-2</v>
      </c>
      <c r="D468" s="17">
        <v>-8.7342734438640685E-2</v>
      </c>
    </row>
    <row r="469" spans="1:4" x14ac:dyDescent="0.25">
      <c r="A469" s="17">
        <v>445</v>
      </c>
      <c r="B469" s="17">
        <v>8.7268780273766305E-2</v>
      </c>
      <c r="C469" s="17">
        <v>0.71043121972623369</v>
      </c>
      <c r="D469" s="17">
        <v>0.70339565095980972</v>
      </c>
    </row>
    <row r="470" spans="1:4" x14ac:dyDescent="0.25">
      <c r="A470" s="17">
        <v>446</v>
      </c>
      <c r="B470" s="17">
        <v>-0.77412509494622783</v>
      </c>
      <c r="C470" s="17">
        <v>-0.82777490505377227</v>
      </c>
      <c r="D470" s="17">
        <v>-0.81957725395692138</v>
      </c>
    </row>
    <row r="471" spans="1:4" x14ac:dyDescent="0.25">
      <c r="A471" s="17">
        <v>447</v>
      </c>
      <c r="B471" s="17">
        <v>-0.46477001901582737</v>
      </c>
      <c r="C471" s="17">
        <v>-0.3459299809841726</v>
      </c>
      <c r="D471" s="17">
        <v>-0.34250415438477322</v>
      </c>
    </row>
    <row r="472" spans="1:4" x14ac:dyDescent="0.25">
      <c r="A472" s="17">
        <v>448</v>
      </c>
      <c r="B472" s="17">
        <v>-0.46499225685773138</v>
      </c>
      <c r="C472" s="17">
        <v>0.11559225685773139</v>
      </c>
      <c r="D472" s="17">
        <v>0.11444751933859182</v>
      </c>
    </row>
    <row r="473" spans="1:4" x14ac:dyDescent="0.25">
      <c r="A473" s="17">
        <v>449</v>
      </c>
      <c r="B473" s="17">
        <v>-0.2705341451917111</v>
      </c>
      <c r="C473" s="17">
        <v>-8.0165854808288917E-2</v>
      </c>
      <c r="D473" s="17">
        <v>-7.937195334596267E-2</v>
      </c>
    </row>
    <row r="474" spans="1:4" x14ac:dyDescent="0.25">
      <c r="A474" s="17">
        <v>450</v>
      </c>
      <c r="B474" s="17">
        <v>-0.73267773743112741</v>
      </c>
      <c r="C474" s="17">
        <v>2.7577737431127458E-2</v>
      </c>
      <c r="D474" s="17">
        <v>2.7304628560442062E-2</v>
      </c>
    </row>
    <row r="475" spans="1:4" x14ac:dyDescent="0.25">
      <c r="A475" s="17">
        <v>451</v>
      </c>
      <c r="B475" s="17">
        <v>-1.9040934021072335</v>
      </c>
      <c r="C475" s="17">
        <v>4.8095934021072333</v>
      </c>
      <c r="D475" s="17">
        <v>4.7619628586014118</v>
      </c>
    </row>
    <row r="476" spans="1:4" x14ac:dyDescent="0.25">
      <c r="A476" s="17">
        <v>452</v>
      </c>
      <c r="B476" s="17">
        <v>-0.59000104292874445</v>
      </c>
      <c r="C476" s="17">
        <v>1.5022010429287445</v>
      </c>
      <c r="D476" s="17">
        <v>1.487324389925528</v>
      </c>
    </row>
    <row r="477" spans="1:4" x14ac:dyDescent="0.25">
      <c r="A477" s="17">
        <v>453</v>
      </c>
      <c r="B477" s="17">
        <v>1.4878116599529208</v>
      </c>
      <c r="C477" s="17">
        <v>-1.6014116599529207</v>
      </c>
      <c r="D477" s="17">
        <v>-1.5855525006928679</v>
      </c>
    </row>
    <row r="478" spans="1:4" x14ac:dyDescent="0.25">
      <c r="A478" s="17">
        <v>454</v>
      </c>
      <c r="B478" s="17">
        <v>-0.18386138684914205</v>
      </c>
      <c r="C478" s="17">
        <v>0.97616138684914211</v>
      </c>
      <c r="D478" s="17">
        <v>0.96649422925019612</v>
      </c>
    </row>
    <row r="479" spans="1:4" x14ac:dyDescent="0.25">
      <c r="A479" s="17">
        <v>455</v>
      </c>
      <c r="B479" s="17">
        <v>0.28283808114930675</v>
      </c>
      <c r="C479" s="17">
        <v>0.27926191885069329</v>
      </c>
      <c r="D479" s="17">
        <v>0.27649632187330442</v>
      </c>
    </row>
    <row r="480" spans="1:4" x14ac:dyDescent="0.25">
      <c r="A480" s="17">
        <v>456</v>
      </c>
      <c r="B480" s="17">
        <v>0.54841230222461446</v>
      </c>
      <c r="C480" s="17">
        <v>0.23328769777538549</v>
      </c>
      <c r="D480" s="17">
        <v>0.23097739440683149</v>
      </c>
    </row>
    <row r="481" spans="1:4" x14ac:dyDescent="0.25">
      <c r="A481" s="17">
        <v>457</v>
      </c>
      <c r="B481" s="17">
        <v>-0.31542618925632376</v>
      </c>
      <c r="C481" s="17">
        <v>0.75942618925632377</v>
      </c>
      <c r="D481" s="17">
        <v>0.75190541169309244</v>
      </c>
    </row>
    <row r="482" spans="1:4" x14ac:dyDescent="0.25">
      <c r="A482" s="17">
        <v>458</v>
      </c>
      <c r="B482" s="17">
        <v>0.86310108636071137</v>
      </c>
      <c r="C482" s="17">
        <v>-0.75240108636071135</v>
      </c>
      <c r="D482" s="17">
        <v>-0.74494988005665452</v>
      </c>
    </row>
    <row r="483" spans="1:4" x14ac:dyDescent="0.25">
      <c r="A483" s="17">
        <v>459</v>
      </c>
      <c r="B483" s="17">
        <v>0.84498870224553346</v>
      </c>
      <c r="C483" s="17">
        <v>-0.18348870224553349</v>
      </c>
      <c r="D483" s="17">
        <v>-0.1816715701338453</v>
      </c>
    </row>
    <row r="484" spans="1:4" x14ac:dyDescent="0.25">
      <c r="A484" s="17">
        <v>460</v>
      </c>
      <c r="B484" s="17">
        <v>-0.60911349733249043</v>
      </c>
      <c r="C484" s="17">
        <v>5.8113497332490383E-2</v>
      </c>
      <c r="D484" s="17">
        <v>5.7537985593440276E-2</v>
      </c>
    </row>
    <row r="485" spans="1:4" x14ac:dyDescent="0.25">
      <c r="A485" s="17">
        <v>461</v>
      </c>
      <c r="B485" s="17">
        <v>0.84576653469219765</v>
      </c>
      <c r="C485" s="17">
        <v>-0.51486653469219767</v>
      </c>
      <c r="D485" s="17">
        <v>-0.50976768935745398</v>
      </c>
    </row>
    <row r="486" spans="1:4" x14ac:dyDescent="0.25">
      <c r="A486" s="17">
        <v>462</v>
      </c>
      <c r="B486" s="17">
        <v>-0.3164262595448919</v>
      </c>
      <c r="C486" s="17">
        <v>0.86562625954489192</v>
      </c>
      <c r="D486" s="17">
        <v>0.85705375751239776</v>
      </c>
    </row>
    <row r="487" spans="1:4" x14ac:dyDescent="0.25">
      <c r="A487" s="17">
        <v>463</v>
      </c>
      <c r="B487" s="17">
        <v>-1.9597639815041914</v>
      </c>
      <c r="C487" s="17">
        <v>0.85846398150419145</v>
      </c>
      <c r="D487" s="17">
        <v>0.84996240920884913</v>
      </c>
    </row>
    <row r="488" spans="1:4" x14ac:dyDescent="0.25">
      <c r="A488" s="17">
        <v>464</v>
      </c>
      <c r="B488" s="17">
        <v>0.44073806782211522</v>
      </c>
      <c r="C488" s="17">
        <v>-0.21953806782211521</v>
      </c>
      <c r="D488" s="17">
        <v>-0.21736393029813991</v>
      </c>
    </row>
    <row r="489" spans="1:4" x14ac:dyDescent="0.25">
      <c r="A489" s="17">
        <v>465</v>
      </c>
      <c r="B489" s="17">
        <v>-0.17497187317298113</v>
      </c>
      <c r="C489" s="17">
        <v>-0.15702812682701889</v>
      </c>
      <c r="D489" s="17">
        <v>-0.15547304006579807</v>
      </c>
    </row>
    <row r="490" spans="1:4" x14ac:dyDescent="0.25">
      <c r="A490" s="17">
        <v>466</v>
      </c>
      <c r="B490" s="17">
        <v>-0.14208067257118567</v>
      </c>
      <c r="C490" s="17">
        <v>0.14208067257118567</v>
      </c>
      <c r="D490" s="17">
        <v>0.14067361399253883</v>
      </c>
    </row>
    <row r="491" spans="1:4" x14ac:dyDescent="0.25">
      <c r="A491" s="17">
        <v>467</v>
      </c>
      <c r="B491" s="17">
        <v>5.6266601328155072E-2</v>
      </c>
      <c r="C491" s="17">
        <v>-0.27826660132815506</v>
      </c>
      <c r="D491" s="17">
        <v>-0.27551086121611756</v>
      </c>
    </row>
    <row r="492" spans="1:4" x14ac:dyDescent="0.25">
      <c r="A492" s="17">
        <v>468</v>
      </c>
      <c r="B492" s="17">
        <v>0.33273047665675992</v>
      </c>
      <c r="C492" s="17">
        <v>0.11076952334324008</v>
      </c>
      <c r="D492" s="17">
        <v>0.10967254649725394</v>
      </c>
    </row>
    <row r="493" spans="1:4" x14ac:dyDescent="0.25">
      <c r="A493" s="17">
        <v>469</v>
      </c>
      <c r="B493" s="17">
        <v>-0.82201734987654473</v>
      </c>
      <c r="C493" s="17">
        <v>0.93261734987654477</v>
      </c>
      <c r="D493" s="17">
        <v>0.92338141919722438</v>
      </c>
    </row>
    <row r="494" spans="1:4" x14ac:dyDescent="0.25">
      <c r="A494" s="17">
        <v>470</v>
      </c>
      <c r="B494" s="17">
        <v>0.34262006062148898</v>
      </c>
      <c r="C494" s="17">
        <v>0.53747993937851102</v>
      </c>
      <c r="D494" s="17">
        <v>0.53215714813697734</v>
      </c>
    </row>
    <row r="495" spans="1:4" x14ac:dyDescent="0.25">
      <c r="A495" s="17">
        <v>471</v>
      </c>
      <c r="B495" s="17">
        <v>3.4641727880053992</v>
      </c>
      <c r="C495" s="17">
        <v>1.0333272119946004</v>
      </c>
      <c r="D495" s="17">
        <v>1.0230939276789046</v>
      </c>
    </row>
    <row r="496" spans="1:4" x14ac:dyDescent="0.25">
      <c r="A496" s="17">
        <v>472</v>
      </c>
      <c r="B496" s="17">
        <v>1.2994650889392612</v>
      </c>
      <c r="C496" s="17">
        <v>-1.5090650889392612</v>
      </c>
      <c r="D496" s="17">
        <v>-1.4941204596613795</v>
      </c>
    </row>
    <row r="497" spans="1:4" x14ac:dyDescent="0.25">
      <c r="A497" s="17">
        <v>473</v>
      </c>
      <c r="B497" s="17">
        <v>0.41418064571458441</v>
      </c>
      <c r="C497" s="17">
        <v>0.62971935428541559</v>
      </c>
      <c r="D497" s="17">
        <v>0.62348309425403581</v>
      </c>
    </row>
    <row r="498" spans="1:4" x14ac:dyDescent="0.25">
      <c r="A498" s="17">
        <v>474</v>
      </c>
      <c r="B498" s="17">
        <v>0.14293935967072413</v>
      </c>
      <c r="C498" s="17">
        <v>-0.55913935967072415</v>
      </c>
      <c r="D498" s="17">
        <v>-0.5536020700559835</v>
      </c>
    </row>
    <row r="499" spans="1:4" x14ac:dyDescent="0.25">
      <c r="A499" s="17">
        <v>475</v>
      </c>
      <c r="B499" s="17">
        <v>1.0931172527313753</v>
      </c>
      <c r="C499" s="17">
        <v>-0.46941725273137525</v>
      </c>
      <c r="D499" s="17">
        <v>-0.46476850240898643</v>
      </c>
    </row>
    <row r="500" spans="1:4" x14ac:dyDescent="0.25">
      <c r="A500" s="17">
        <v>476</v>
      </c>
      <c r="B500" s="17">
        <v>1.2011248438967308</v>
      </c>
      <c r="C500" s="17">
        <v>1.0530751561032692</v>
      </c>
      <c r="D500" s="17">
        <v>1.0426463032160997</v>
      </c>
    </row>
    <row r="501" spans="1:4" x14ac:dyDescent="0.25">
      <c r="A501" s="17">
        <v>477</v>
      </c>
      <c r="B501" s="17">
        <v>0.36128803934142695</v>
      </c>
      <c r="C501" s="17">
        <v>-1.1750880393414269</v>
      </c>
      <c r="D501" s="17">
        <v>-1.1634508639501557</v>
      </c>
    </row>
    <row r="502" spans="1:4" x14ac:dyDescent="0.25">
      <c r="A502" s="17">
        <v>478</v>
      </c>
      <c r="B502" s="17">
        <v>8.7935493799478376E-2</v>
      </c>
      <c r="C502" s="17">
        <v>-1.4247354937994783</v>
      </c>
      <c r="D502" s="17">
        <v>-1.4106260004913802</v>
      </c>
    </row>
    <row r="503" spans="1:4" x14ac:dyDescent="0.25">
      <c r="A503" s="17">
        <v>479</v>
      </c>
      <c r="B503" s="17">
        <v>0.77276140362672585</v>
      </c>
      <c r="C503" s="17">
        <v>-0.46266140362672586</v>
      </c>
      <c r="D503" s="17">
        <v>-0.45807955807939699</v>
      </c>
    </row>
    <row r="504" spans="1:4" x14ac:dyDescent="0.25">
      <c r="A504" s="17">
        <v>480</v>
      </c>
      <c r="B504" s="17">
        <v>-0.30298087010969849</v>
      </c>
      <c r="C504" s="17">
        <v>-7.119129890301501E-3</v>
      </c>
      <c r="D504" s="17">
        <v>-7.0486274595107741E-3</v>
      </c>
    </row>
    <row r="505" spans="1:4" x14ac:dyDescent="0.25">
      <c r="A505" s="17">
        <v>481</v>
      </c>
      <c r="B505" s="17">
        <v>0.34884272019480161</v>
      </c>
      <c r="C505" s="17">
        <v>1.1920572798051983</v>
      </c>
      <c r="D505" s="17">
        <v>1.1802520540033006</v>
      </c>
    </row>
    <row r="506" spans="1:4" x14ac:dyDescent="0.25">
      <c r="A506" s="17">
        <v>482</v>
      </c>
      <c r="B506" s="17">
        <v>-0.40509915846459715</v>
      </c>
      <c r="C506" s="17">
        <v>-1.239300841535403</v>
      </c>
      <c r="D506" s="17">
        <v>-1.2270277515432861</v>
      </c>
    </row>
    <row r="507" spans="1:4" x14ac:dyDescent="0.25">
      <c r="A507" s="17">
        <v>483</v>
      </c>
      <c r="B507" s="17">
        <v>0.13338313246885114</v>
      </c>
      <c r="C507" s="17">
        <v>1.7147168675311488</v>
      </c>
      <c r="D507" s="17">
        <v>1.6977356199430835</v>
      </c>
    </row>
    <row r="508" spans="1:4" x14ac:dyDescent="0.25">
      <c r="A508" s="17">
        <v>484</v>
      </c>
      <c r="B508" s="17">
        <v>1.1832346976234569</v>
      </c>
      <c r="C508" s="17">
        <v>-1.081534697623457</v>
      </c>
      <c r="D508" s="17">
        <v>-1.0708240031506893</v>
      </c>
    </row>
    <row r="509" spans="1:4" x14ac:dyDescent="0.25">
      <c r="A509" s="17">
        <v>485</v>
      </c>
      <c r="B509" s="17">
        <v>1.0347798192315694</v>
      </c>
      <c r="C509" s="17">
        <v>-0.22507981923156939</v>
      </c>
      <c r="D509" s="17">
        <v>-0.22285080042979402</v>
      </c>
    </row>
    <row r="510" spans="1:4" x14ac:dyDescent="0.25">
      <c r="A510" s="17">
        <v>486</v>
      </c>
      <c r="B510" s="17">
        <v>-0.76634677047958699</v>
      </c>
      <c r="C510" s="17">
        <v>-4.3353229520412984E-2</v>
      </c>
      <c r="D510" s="17">
        <v>-4.2923892212214501E-2</v>
      </c>
    </row>
    <row r="511" spans="1:4" x14ac:dyDescent="0.25">
      <c r="A511" s="17">
        <v>487</v>
      </c>
      <c r="B511" s="17">
        <v>-0.90613437303721744</v>
      </c>
      <c r="C511" s="17">
        <v>-0.52686562696278261</v>
      </c>
      <c r="D511" s="17">
        <v>-0.52164795177307155</v>
      </c>
    </row>
    <row r="512" spans="1:4" x14ac:dyDescent="0.25">
      <c r="A512" s="17">
        <v>488</v>
      </c>
      <c r="B512" s="17">
        <v>0.25350268601797565</v>
      </c>
      <c r="C512" s="17">
        <v>-0.56330268601797573</v>
      </c>
      <c r="D512" s="17">
        <v>-0.55772416599556174</v>
      </c>
    </row>
    <row r="513" spans="1:4" x14ac:dyDescent="0.25">
      <c r="A513" s="17">
        <v>489</v>
      </c>
      <c r="B513" s="17">
        <v>0.56152433489695186</v>
      </c>
      <c r="C513" s="17">
        <v>5.7075665103048179E-2</v>
      </c>
      <c r="D513" s="17">
        <v>5.6510431262569404E-2</v>
      </c>
    </row>
    <row r="514" spans="1:4" x14ac:dyDescent="0.25">
      <c r="A514" s="17">
        <v>490</v>
      </c>
      <c r="B514" s="17">
        <v>-1.121038366158408</v>
      </c>
      <c r="C514" s="17">
        <v>-0.22406163384159195</v>
      </c>
      <c r="D514" s="17">
        <v>-0.2218426983710797</v>
      </c>
    </row>
    <row r="515" spans="1:4" x14ac:dyDescent="0.25">
      <c r="A515" s="17">
        <v>491</v>
      </c>
      <c r="B515" s="17">
        <v>-1.0382547700491593</v>
      </c>
      <c r="C515" s="17">
        <v>-0.21964522995084068</v>
      </c>
      <c r="D515" s="17">
        <v>-0.21747003117490338</v>
      </c>
    </row>
    <row r="516" spans="1:4" x14ac:dyDescent="0.25">
      <c r="A516" s="17">
        <v>492</v>
      </c>
      <c r="B516" s="17">
        <v>0.37051090978044393</v>
      </c>
      <c r="C516" s="17">
        <v>0.57438909021955609</v>
      </c>
      <c r="D516" s="17">
        <v>0.5687007789084616</v>
      </c>
    </row>
    <row r="517" spans="1:4" x14ac:dyDescent="0.25">
      <c r="A517" s="17">
        <v>493</v>
      </c>
      <c r="B517" s="17">
        <v>4.1518274016616175E-3</v>
      </c>
      <c r="C517" s="17">
        <v>-0.52795182740166169</v>
      </c>
      <c r="D517" s="17">
        <v>-0.52272339531153622</v>
      </c>
    </row>
    <row r="518" spans="1:4" x14ac:dyDescent="0.25">
      <c r="A518" s="17">
        <v>494</v>
      </c>
      <c r="B518" s="17">
        <v>1.5524828719469916</v>
      </c>
      <c r="C518" s="17">
        <v>-0.19618287194699158</v>
      </c>
      <c r="D518" s="17">
        <v>-0.19424002646378</v>
      </c>
    </row>
    <row r="519" spans="1:4" x14ac:dyDescent="0.25">
      <c r="A519" s="17">
        <v>495</v>
      </c>
      <c r="B519" s="17">
        <v>3.7598622608217114E-2</v>
      </c>
      <c r="C519" s="17">
        <v>-0.55709862260821708</v>
      </c>
      <c r="D519" s="17">
        <v>-0.55158154289633365</v>
      </c>
    </row>
    <row r="520" spans="1:4" x14ac:dyDescent="0.25">
      <c r="A520" s="17">
        <v>496</v>
      </c>
      <c r="B520" s="17">
        <v>0.27906003783693833</v>
      </c>
      <c r="C520" s="17">
        <v>-0.69656003783693832</v>
      </c>
      <c r="D520" s="17">
        <v>-0.68966183867272768</v>
      </c>
    </row>
    <row r="521" spans="1:4" x14ac:dyDescent="0.25">
      <c r="A521" s="17">
        <v>497</v>
      </c>
      <c r="B521" s="17">
        <v>0.81209750164373795</v>
      </c>
      <c r="C521" s="17">
        <v>0.64170249835626203</v>
      </c>
      <c r="D521" s="17">
        <v>0.63534756640871715</v>
      </c>
    </row>
    <row r="522" spans="1:4" x14ac:dyDescent="0.25">
      <c r="A522" s="17">
        <v>498</v>
      </c>
      <c r="B522" s="17">
        <v>1.2169037306719166</v>
      </c>
      <c r="C522" s="17">
        <v>1.4281962693280832</v>
      </c>
      <c r="D522" s="17">
        <v>1.4140525031395985</v>
      </c>
    </row>
    <row r="523" spans="1:4" x14ac:dyDescent="0.25">
      <c r="A523" s="17">
        <v>499</v>
      </c>
      <c r="B523" s="17">
        <v>0.89232536257109041</v>
      </c>
      <c r="C523" s="17">
        <v>0.50347463742890952</v>
      </c>
      <c r="D523" s="17">
        <v>0.49848860875304918</v>
      </c>
    </row>
    <row r="524" spans="1:4" x14ac:dyDescent="0.25">
      <c r="A524" s="17">
        <v>500</v>
      </c>
      <c r="B524" s="17">
        <v>-0.36598529828948906</v>
      </c>
      <c r="C524" s="17">
        <v>0.85978529828948913</v>
      </c>
      <c r="D524" s="17">
        <v>0.85127064068082292</v>
      </c>
    </row>
    <row r="525" spans="1:4" x14ac:dyDescent="0.25">
      <c r="A525" s="17">
        <v>501</v>
      </c>
      <c r="B525" s="17">
        <v>-0.65467225492281522</v>
      </c>
      <c r="C525" s="17">
        <v>-0.33542774507718476</v>
      </c>
      <c r="D525" s="17">
        <v>-0.33210592460937582</v>
      </c>
    </row>
    <row r="526" spans="1:4" x14ac:dyDescent="0.25">
      <c r="A526" s="17">
        <v>502</v>
      </c>
      <c r="B526" s="17">
        <v>-0.40776601256744543</v>
      </c>
      <c r="C526" s="17">
        <v>-0.39143398743255459</v>
      </c>
      <c r="D526" s="17">
        <v>-0.38755752387122838</v>
      </c>
    </row>
    <row r="527" spans="1:4" x14ac:dyDescent="0.25">
      <c r="A527" s="17">
        <v>503</v>
      </c>
      <c r="B527" s="17">
        <v>0.31639599527681428</v>
      </c>
      <c r="C527" s="17">
        <v>-1.589599527681429E-2</v>
      </c>
      <c r="D527" s="17">
        <v>-1.5738573467671563E-2</v>
      </c>
    </row>
    <row r="528" spans="1:4" x14ac:dyDescent="0.25">
      <c r="A528" s="17">
        <v>504</v>
      </c>
      <c r="B528" s="17">
        <v>1.1155632747636817</v>
      </c>
      <c r="C528" s="17">
        <v>-0.12056327476368167</v>
      </c>
      <c r="D528" s="17">
        <v>-0.11936930807591137</v>
      </c>
    </row>
    <row r="529" spans="1:4" x14ac:dyDescent="0.25">
      <c r="A529" s="17">
        <v>505</v>
      </c>
      <c r="B529" s="17">
        <v>0.17905300898012788</v>
      </c>
      <c r="C529" s="17">
        <v>-0.17905300898012788</v>
      </c>
      <c r="D529" s="17">
        <v>-0.17727980459026413</v>
      </c>
    </row>
    <row r="530" spans="1:4" x14ac:dyDescent="0.25">
      <c r="A530" s="17">
        <v>506</v>
      </c>
      <c r="B530" s="17">
        <v>0.14071698125168389</v>
      </c>
      <c r="C530" s="17">
        <v>0.84448301874831611</v>
      </c>
      <c r="D530" s="17">
        <v>0.83611990324113072</v>
      </c>
    </row>
    <row r="531" spans="1:4" x14ac:dyDescent="0.25">
      <c r="A531" s="17">
        <v>507</v>
      </c>
      <c r="B531" s="17">
        <v>-0.76812467321481903</v>
      </c>
      <c r="C531" s="17">
        <v>-0.71337532678518101</v>
      </c>
      <c r="D531" s="17">
        <v>-0.70631060182869421</v>
      </c>
    </row>
    <row r="532" spans="1:4" x14ac:dyDescent="0.25">
      <c r="A532" s="17">
        <v>508</v>
      </c>
      <c r="B532" s="17">
        <v>-0.85590862076690832</v>
      </c>
      <c r="C532" s="17">
        <v>-0.44609137923309172</v>
      </c>
      <c r="D532" s="17">
        <v>-0.44167363056501835</v>
      </c>
    </row>
    <row r="533" spans="1:4" x14ac:dyDescent="0.25">
      <c r="A533" s="17">
        <v>509</v>
      </c>
      <c r="B533" s="17">
        <v>-1.1434843881907142</v>
      </c>
      <c r="C533" s="17">
        <v>1.2442843881907142</v>
      </c>
      <c r="D533" s="17">
        <v>1.2319619449547918</v>
      </c>
    </row>
    <row r="534" spans="1:4" x14ac:dyDescent="0.25">
      <c r="A534" s="17">
        <v>510</v>
      </c>
      <c r="B534" s="17">
        <v>1.7551637837634606</v>
      </c>
      <c r="C534" s="17">
        <v>0.43613621623653942</v>
      </c>
      <c r="D534" s="17">
        <v>0.4318170559073487</v>
      </c>
    </row>
    <row r="535" spans="1:4" x14ac:dyDescent="0.25">
      <c r="A535" s="17">
        <v>511</v>
      </c>
      <c r="B535" s="17">
        <v>-4.207364371437522E-2</v>
      </c>
      <c r="C535" s="17">
        <v>-0.94802635628562482</v>
      </c>
      <c r="D535" s="17">
        <v>-0.9386378265633526</v>
      </c>
    </row>
    <row r="536" spans="1:4" x14ac:dyDescent="0.25">
      <c r="A536" s="17">
        <v>512</v>
      </c>
      <c r="B536" s="17">
        <v>0.562857761948376</v>
      </c>
      <c r="C536" s="17">
        <v>-6.6557761948375982E-2</v>
      </c>
      <c r="D536" s="17">
        <v>-6.5898624655243612E-2</v>
      </c>
    </row>
    <row r="537" spans="1:4" x14ac:dyDescent="0.25">
      <c r="A537" s="17">
        <v>513</v>
      </c>
      <c r="B537" s="17">
        <v>-0.14163619688737761</v>
      </c>
      <c r="C537" s="17">
        <v>0.14163619688737761</v>
      </c>
      <c r="D537" s="17">
        <v>0.14023354005678407</v>
      </c>
    </row>
    <row r="538" spans="1:4" x14ac:dyDescent="0.25">
      <c r="A538" s="17">
        <v>514</v>
      </c>
      <c r="B538" s="17">
        <v>-0.6213365786372117</v>
      </c>
      <c r="C538" s="17">
        <v>-0.47376342136278826</v>
      </c>
      <c r="D538" s="17">
        <v>-0.46907162990224599</v>
      </c>
    </row>
    <row r="539" spans="1:4" x14ac:dyDescent="0.25">
      <c r="A539" s="17">
        <v>515</v>
      </c>
      <c r="B539" s="17">
        <v>-0.26620050727458261</v>
      </c>
      <c r="C539" s="17">
        <v>-0.63879949272541747</v>
      </c>
      <c r="D539" s="17">
        <v>-0.63247330993075046</v>
      </c>
    </row>
    <row r="540" spans="1:4" x14ac:dyDescent="0.25">
      <c r="A540" s="17">
        <v>516</v>
      </c>
      <c r="B540" s="17">
        <v>0.68019934247370029</v>
      </c>
      <c r="C540" s="17">
        <v>-0.37759934247370031</v>
      </c>
      <c r="D540" s="17">
        <v>-0.37385988668070474</v>
      </c>
    </row>
    <row r="541" spans="1:4" x14ac:dyDescent="0.25">
      <c r="A541" s="17">
        <v>517</v>
      </c>
      <c r="B541" s="17">
        <v>1.3230223001810875</v>
      </c>
      <c r="C541" s="17">
        <v>0.37447769981891255</v>
      </c>
      <c r="D541" s="17">
        <v>0.37076915839306768</v>
      </c>
    </row>
    <row r="542" spans="1:4" x14ac:dyDescent="0.25">
      <c r="A542" s="17">
        <v>518</v>
      </c>
      <c r="B542" s="17">
        <v>0.51263200967806677</v>
      </c>
      <c r="C542" s="17">
        <v>-1.8832009678066752E-2</v>
      </c>
      <c r="D542" s="17">
        <v>-1.8645511822368552E-2</v>
      </c>
    </row>
    <row r="543" spans="1:4" x14ac:dyDescent="0.25">
      <c r="A543" s="17">
        <v>519</v>
      </c>
      <c r="B543" s="17">
        <v>0.31372914117396594</v>
      </c>
      <c r="C543" s="17">
        <v>-0.31372914117396594</v>
      </c>
      <c r="D543" s="17">
        <v>-0.31062220712395172</v>
      </c>
    </row>
    <row r="544" spans="1:4" x14ac:dyDescent="0.25">
      <c r="A544" s="17">
        <v>520</v>
      </c>
      <c r="B544" s="17">
        <v>0.15649586802686954</v>
      </c>
      <c r="C544" s="17">
        <v>-0.15649586802686954</v>
      </c>
      <c r="D544" s="17">
        <v>-0.15494605235071088</v>
      </c>
    </row>
    <row r="545" spans="1:4" x14ac:dyDescent="0.25">
      <c r="A545" s="17">
        <v>521</v>
      </c>
      <c r="B545" s="17">
        <v>1.0185564567725758</v>
      </c>
      <c r="C545" s="17">
        <v>0.4484435432274243</v>
      </c>
      <c r="D545" s="17">
        <v>0.44400250052176848</v>
      </c>
    </row>
    <row r="546" spans="1:4" x14ac:dyDescent="0.25">
      <c r="A546" s="17">
        <v>522</v>
      </c>
      <c r="B546" s="17">
        <v>-0.43687916985687247</v>
      </c>
      <c r="C546" s="17">
        <v>0.43687916985687247</v>
      </c>
      <c r="D546" s="17">
        <v>0.43255265188187314</v>
      </c>
    </row>
    <row r="547" spans="1:4" x14ac:dyDescent="0.25">
      <c r="A547" s="17">
        <v>523</v>
      </c>
      <c r="B547" s="17">
        <v>0.34962055264146569</v>
      </c>
      <c r="C547" s="17">
        <v>1.5734794473585343</v>
      </c>
      <c r="D547" s="17">
        <v>1.5578969074207318</v>
      </c>
    </row>
    <row r="548" spans="1:4" x14ac:dyDescent="0.25">
      <c r="A548" s="17">
        <v>524</v>
      </c>
      <c r="B548" s="17">
        <v>0.58941518405590676</v>
      </c>
      <c r="C548" s="17">
        <v>1.2973848159440933</v>
      </c>
      <c r="D548" s="17">
        <v>1.2845365065854386</v>
      </c>
    </row>
    <row r="549" spans="1:4" x14ac:dyDescent="0.25">
      <c r="A549" s="17">
        <v>525</v>
      </c>
      <c r="B549" s="17">
        <v>0.31472921146253408</v>
      </c>
      <c r="C549" s="17">
        <v>-0.31472921146253408</v>
      </c>
      <c r="D549" s="17">
        <v>-0.31161237347939991</v>
      </c>
    </row>
    <row r="550" spans="1:4" x14ac:dyDescent="0.25">
      <c r="A550" s="17">
        <v>526</v>
      </c>
      <c r="B550" s="17">
        <v>1.0204454784287598</v>
      </c>
      <c r="C550" s="17">
        <v>0.83145452157124033</v>
      </c>
      <c r="D550" s="17">
        <v>0.82322043035981696</v>
      </c>
    </row>
    <row r="551" spans="1:4" x14ac:dyDescent="0.25">
      <c r="A551" s="17">
        <v>527</v>
      </c>
      <c r="B551" s="17">
        <v>-0.92369116254763539</v>
      </c>
      <c r="C551" s="17">
        <v>-0.92820883745236471</v>
      </c>
      <c r="D551" s="17">
        <v>-0.91901656531655529</v>
      </c>
    </row>
    <row r="552" spans="1:4" x14ac:dyDescent="0.25">
      <c r="A552" s="17">
        <v>528</v>
      </c>
      <c r="B552" s="17">
        <v>-6.3852952220969497E-2</v>
      </c>
      <c r="C552" s="17">
        <v>-1.3479470477790305</v>
      </c>
      <c r="D552" s="17">
        <v>-1.3345980086534668</v>
      </c>
    </row>
    <row r="553" spans="1:4" x14ac:dyDescent="0.25">
      <c r="A553" s="17">
        <v>529</v>
      </c>
      <c r="B553" s="17">
        <v>0.61852834134533374</v>
      </c>
      <c r="C553" s="17">
        <v>0.7932716586546662</v>
      </c>
      <c r="D553" s="17">
        <v>0.78541570138540262</v>
      </c>
    </row>
    <row r="554" spans="1:4" x14ac:dyDescent="0.25">
      <c r="A554" s="17">
        <v>530</v>
      </c>
      <c r="B554" s="17">
        <v>-0.47454848405960437</v>
      </c>
      <c r="C554" s="17">
        <v>-1.4122515159403957</v>
      </c>
      <c r="D554" s="17">
        <v>-1.3982656544241829</v>
      </c>
    </row>
    <row r="555" spans="1:4" x14ac:dyDescent="0.25">
      <c r="A555" s="17">
        <v>531</v>
      </c>
      <c r="B555" s="17">
        <v>-0.86535372904782926</v>
      </c>
      <c r="C555" s="17">
        <v>-0.57354627095217081</v>
      </c>
      <c r="D555" s="17">
        <v>-0.56786630628005941</v>
      </c>
    </row>
    <row r="556" spans="1:4" x14ac:dyDescent="0.25">
      <c r="A556" s="17">
        <v>532</v>
      </c>
      <c r="B556" s="17">
        <v>0.31284018980634987</v>
      </c>
      <c r="C556" s="17">
        <v>0.64865981019365015</v>
      </c>
      <c r="D556" s="17">
        <v>0.64223597833784918</v>
      </c>
    </row>
    <row r="557" spans="1:4" x14ac:dyDescent="0.25">
      <c r="A557" s="17">
        <v>533</v>
      </c>
      <c r="B557" s="17">
        <v>1.0060000187049984</v>
      </c>
      <c r="C557" s="17">
        <v>-0.52870001870499839</v>
      </c>
      <c r="D557" s="17">
        <v>-0.52346417709904802</v>
      </c>
    </row>
    <row r="558" spans="1:4" x14ac:dyDescent="0.25">
      <c r="A558" s="17">
        <v>534</v>
      </c>
      <c r="B558" s="17">
        <v>-1.2933838125549779</v>
      </c>
      <c r="C558" s="17">
        <v>-1.6054161874450221</v>
      </c>
      <c r="D558" s="17">
        <v>-1.5895173703999996</v>
      </c>
    </row>
    <row r="559" spans="1:4" x14ac:dyDescent="0.25">
      <c r="A559" s="17">
        <v>535</v>
      </c>
      <c r="B559" s="17">
        <v>0.99177679682314079</v>
      </c>
      <c r="C559" s="17">
        <v>0.95002320317685918</v>
      </c>
      <c r="D559" s="17">
        <v>0.94061489820649935</v>
      </c>
    </row>
    <row r="560" spans="1:4" x14ac:dyDescent="0.25">
      <c r="A560" s="17">
        <v>536</v>
      </c>
      <c r="B560" s="17">
        <v>0.31839613585395043</v>
      </c>
      <c r="C560" s="17">
        <v>-0.31839613585395043</v>
      </c>
      <c r="D560" s="17">
        <v>-0.31524298344937657</v>
      </c>
    </row>
    <row r="561" spans="1:4" x14ac:dyDescent="0.25">
      <c r="A561" s="17">
        <v>537</v>
      </c>
      <c r="B561" s="17">
        <v>0.21483330152667562</v>
      </c>
      <c r="C561" s="17">
        <v>-1.1810333015266756</v>
      </c>
      <c r="D561" s="17">
        <v>-1.1693372487947453</v>
      </c>
    </row>
    <row r="562" spans="1:4" x14ac:dyDescent="0.25">
      <c r="A562" s="17">
        <v>538</v>
      </c>
      <c r="B562" s="17">
        <v>0.83221002633605212</v>
      </c>
      <c r="C562" s="17">
        <v>-0.34791002633605211</v>
      </c>
      <c r="D562" s="17">
        <v>-0.34446459087819187</v>
      </c>
    </row>
    <row r="563" spans="1:4" x14ac:dyDescent="0.25">
      <c r="A563" s="17">
        <v>539</v>
      </c>
      <c r="B563" s="17">
        <v>0.39873511570225484</v>
      </c>
      <c r="C563" s="17">
        <v>-1.8586351157022549</v>
      </c>
      <c r="D563" s="17">
        <v>-1.8402286115888058</v>
      </c>
    </row>
    <row r="564" spans="1:4" x14ac:dyDescent="0.25">
      <c r="A564" s="17">
        <v>540</v>
      </c>
      <c r="B564" s="17">
        <v>-0.53777515008129906</v>
      </c>
      <c r="C564" s="17">
        <v>1.0267751500812992</v>
      </c>
      <c r="D564" s="17">
        <v>1.0166067523878024</v>
      </c>
    </row>
    <row r="565" spans="1:4" x14ac:dyDescent="0.25">
      <c r="A565" s="17">
        <v>541</v>
      </c>
      <c r="B565" s="17">
        <v>8.3379618040445899E-2</v>
      </c>
      <c r="C565" s="17">
        <v>1.8490203819595541</v>
      </c>
      <c r="D565" s="17">
        <v>1.8307090948333931</v>
      </c>
    </row>
    <row r="566" spans="1:4" x14ac:dyDescent="0.25">
      <c r="A566" s="17">
        <v>542</v>
      </c>
      <c r="B566" s="17">
        <v>-0.537441793318443</v>
      </c>
      <c r="C566" s="17">
        <v>5.7841793318442969E-2</v>
      </c>
      <c r="D566" s="17">
        <v>5.7268972328647492E-2</v>
      </c>
    </row>
    <row r="567" spans="1:4" x14ac:dyDescent="0.25">
      <c r="A567" s="17">
        <v>543</v>
      </c>
      <c r="B567" s="17">
        <v>-0.2674228154050548</v>
      </c>
      <c r="C567" s="17">
        <v>-0.69877718459494509</v>
      </c>
      <c r="D567" s="17">
        <v>-0.69185702850084729</v>
      </c>
    </row>
    <row r="568" spans="1:4" x14ac:dyDescent="0.25">
      <c r="A568" s="17">
        <v>544</v>
      </c>
      <c r="B568" s="17">
        <v>-1.5678475473064466</v>
      </c>
      <c r="C568" s="17">
        <v>-0.88925245269355346</v>
      </c>
      <c r="D568" s="17">
        <v>-0.88044597487005971</v>
      </c>
    </row>
    <row r="569" spans="1:4" x14ac:dyDescent="0.25">
      <c r="A569" s="17">
        <v>545</v>
      </c>
      <c r="B569" s="17">
        <v>0.45751702488586898</v>
      </c>
      <c r="C569" s="17">
        <v>-0.956317024885869</v>
      </c>
      <c r="D569" s="17">
        <v>-0.94684639070726517</v>
      </c>
    </row>
    <row r="570" spans="1:4" x14ac:dyDescent="0.25">
      <c r="A570" s="17">
        <v>546</v>
      </c>
      <c r="B570" s="17">
        <v>-0.50255045213951133</v>
      </c>
      <c r="C570" s="17">
        <v>-0.70474954786048871</v>
      </c>
      <c r="D570" s="17">
        <v>-0.69777024603730964</v>
      </c>
    </row>
    <row r="571" spans="1:4" x14ac:dyDescent="0.25">
      <c r="A571" s="17">
        <v>547</v>
      </c>
      <c r="B571" s="17">
        <v>0.26883709710935327</v>
      </c>
      <c r="C571" s="17">
        <v>-0.37013709710935327</v>
      </c>
      <c r="D571" s="17">
        <v>-0.36647154170101848</v>
      </c>
    </row>
    <row r="572" spans="1:4" x14ac:dyDescent="0.25">
      <c r="A572" s="17">
        <v>548</v>
      </c>
      <c r="B572" s="17">
        <v>-0.15019235380068252</v>
      </c>
      <c r="C572" s="17">
        <v>-0.56150764619931748</v>
      </c>
      <c r="D572" s="17">
        <v>-0.555946902881716</v>
      </c>
    </row>
    <row r="573" spans="1:4" x14ac:dyDescent="0.25">
      <c r="A573" s="17">
        <v>549</v>
      </c>
      <c r="B573" s="17">
        <v>0.92277194691194153</v>
      </c>
      <c r="C573" s="17">
        <v>0.59622805308805837</v>
      </c>
      <c r="D573" s="17">
        <v>0.59032346535106595</v>
      </c>
    </row>
    <row r="574" spans="1:4" x14ac:dyDescent="0.25">
      <c r="A574" s="17">
        <v>550</v>
      </c>
      <c r="B574" s="17">
        <v>7.5712412494757103E-2</v>
      </c>
      <c r="C574" s="17">
        <v>-0.57951241249475716</v>
      </c>
      <c r="D574" s="17">
        <v>-0.57377336370876175</v>
      </c>
    </row>
    <row r="575" spans="1:4" x14ac:dyDescent="0.25">
      <c r="A575" s="17">
        <v>551</v>
      </c>
      <c r="B575" s="17">
        <v>0.60508295191014039</v>
      </c>
      <c r="C575" s="17">
        <v>0.89871704808985964</v>
      </c>
      <c r="D575" s="17">
        <v>0.88981684013471052</v>
      </c>
    </row>
    <row r="576" spans="1:4" x14ac:dyDescent="0.25">
      <c r="A576" s="17">
        <v>552</v>
      </c>
      <c r="B576" s="17">
        <v>-0.31187038378585941</v>
      </c>
      <c r="C576" s="17">
        <v>-0.18692961621414061</v>
      </c>
      <c r="D576" s="17">
        <v>-0.1850784079158023</v>
      </c>
    </row>
    <row r="577" spans="1:4" x14ac:dyDescent="0.25">
      <c r="A577" s="17">
        <v>553</v>
      </c>
      <c r="B577" s="17">
        <v>0.8005411338647288</v>
      </c>
      <c r="C577" s="17">
        <v>-0.30174113386472878</v>
      </c>
      <c r="D577" s="17">
        <v>-0.29875291989268221</v>
      </c>
    </row>
    <row r="578" spans="1:4" x14ac:dyDescent="0.25">
      <c r="A578" s="17">
        <v>554</v>
      </c>
      <c r="B578" s="17">
        <v>-0.19986251146623174</v>
      </c>
      <c r="C578" s="17">
        <v>0.69616251146623176</v>
      </c>
      <c r="D578" s="17">
        <v>0.68926824909989814</v>
      </c>
    </row>
    <row r="579" spans="1:4" x14ac:dyDescent="0.25">
      <c r="A579" s="17">
        <v>555</v>
      </c>
      <c r="B579" s="17">
        <v>0.2681703835836412</v>
      </c>
      <c r="C579" s="17">
        <v>-0.76447038358364128</v>
      </c>
      <c r="D579" s="17">
        <v>-0.75689965216833299</v>
      </c>
    </row>
    <row r="580" spans="1:4" x14ac:dyDescent="0.25">
      <c r="A580" s="17">
        <v>556</v>
      </c>
      <c r="B580" s="17">
        <v>0.48107423612769545</v>
      </c>
      <c r="C580" s="17">
        <v>-0.48107423612769545</v>
      </c>
      <c r="D580" s="17">
        <v>-0.4763100439356131</v>
      </c>
    </row>
    <row r="581" spans="1:4" x14ac:dyDescent="0.25">
      <c r="A581" s="17">
        <v>557</v>
      </c>
      <c r="B581" s="17">
        <v>-2.6119209285715477</v>
      </c>
      <c r="C581" s="17">
        <v>0.60182092857154768</v>
      </c>
      <c r="D581" s="17">
        <v>0.59586095326293176</v>
      </c>
    </row>
    <row r="582" spans="1:4" x14ac:dyDescent="0.25">
      <c r="A582" s="17">
        <v>558</v>
      </c>
      <c r="B582" s="17">
        <v>-0.27586785339740771</v>
      </c>
      <c r="C582" s="17">
        <v>-0.74453214660259226</v>
      </c>
      <c r="D582" s="17">
        <v>-0.73715886827417876</v>
      </c>
    </row>
    <row r="583" spans="1:4" x14ac:dyDescent="0.25">
      <c r="A583" s="17">
        <v>559</v>
      </c>
      <c r="B583" s="17">
        <v>0.4205144242088491</v>
      </c>
      <c r="C583" s="17">
        <v>0.39668557579115094</v>
      </c>
      <c r="D583" s="17">
        <v>0.39275710450549628</v>
      </c>
    </row>
    <row r="584" spans="1:4" x14ac:dyDescent="0.25">
      <c r="A584" s="17">
        <v>560</v>
      </c>
      <c r="B584" s="17">
        <v>1.5697063046945532</v>
      </c>
      <c r="C584" s="17">
        <v>1.6337936953054468</v>
      </c>
      <c r="D584" s="17">
        <v>1.6176138490736034</v>
      </c>
    </row>
    <row r="585" spans="1:4" x14ac:dyDescent="0.25">
      <c r="A585" s="17">
        <v>561</v>
      </c>
      <c r="B585" s="17">
        <v>-0.44299071050923311</v>
      </c>
      <c r="C585" s="17">
        <v>-0.54710928949076687</v>
      </c>
      <c r="D585" s="17">
        <v>-0.54169113651257295</v>
      </c>
    </row>
    <row r="586" spans="1:4" x14ac:dyDescent="0.25">
      <c r="A586" s="17">
        <v>562</v>
      </c>
      <c r="B586" s="17">
        <v>-0.75623494867295393</v>
      </c>
      <c r="C586" s="17">
        <v>-0.34436505132704609</v>
      </c>
      <c r="D586" s="17">
        <v>-0.34095472259698523</v>
      </c>
    </row>
    <row r="587" spans="1:4" x14ac:dyDescent="0.25">
      <c r="A587" s="17">
        <v>563</v>
      </c>
      <c r="B587" s="17">
        <v>0.60797204385489267</v>
      </c>
      <c r="C587" s="17">
        <v>0.49262795614510735</v>
      </c>
      <c r="D587" s="17">
        <v>0.48774934472504983</v>
      </c>
    </row>
    <row r="588" spans="1:4" x14ac:dyDescent="0.25">
      <c r="A588" s="17">
        <v>564</v>
      </c>
      <c r="B588" s="17">
        <v>0.18649797668391266</v>
      </c>
      <c r="C588" s="17">
        <v>-0.68529797668391268</v>
      </c>
      <c r="D588" s="17">
        <v>-0.67851130838080964</v>
      </c>
    </row>
    <row r="589" spans="1:4" x14ac:dyDescent="0.25">
      <c r="A589" s="17">
        <v>565</v>
      </c>
      <c r="B589" s="17">
        <v>-0.18019446245772569</v>
      </c>
      <c r="C589" s="17">
        <v>8.0094462457725696E-2</v>
      </c>
      <c r="D589" s="17">
        <v>7.9301268010769602E-2</v>
      </c>
    </row>
    <row r="590" spans="1:4" x14ac:dyDescent="0.25">
      <c r="A590" s="17">
        <v>566</v>
      </c>
      <c r="B590" s="17">
        <v>2.0435173836339309</v>
      </c>
      <c r="C590" s="17">
        <v>4.3539826163660695</v>
      </c>
      <c r="D590" s="17">
        <v>4.3108640944674086</v>
      </c>
    </row>
    <row r="591" spans="1:4" x14ac:dyDescent="0.25">
      <c r="A591" s="17">
        <v>567</v>
      </c>
      <c r="B591" s="17">
        <v>0.62541771444435856</v>
      </c>
      <c r="C591" s="17">
        <v>1.2350822855556416</v>
      </c>
      <c r="D591" s="17">
        <v>1.2228509729233401</v>
      </c>
    </row>
    <row r="592" spans="1:4" x14ac:dyDescent="0.25">
      <c r="A592" s="17">
        <v>568</v>
      </c>
      <c r="B592" s="17">
        <v>-0.31331492975823555</v>
      </c>
      <c r="C592" s="17">
        <v>-2.0177850702417648</v>
      </c>
      <c r="D592" s="17">
        <v>-1.9978024664043095</v>
      </c>
    </row>
    <row r="593" spans="1:4" x14ac:dyDescent="0.25">
      <c r="A593" s="17">
        <v>569</v>
      </c>
      <c r="B593" s="17">
        <v>1.1989024654776905</v>
      </c>
      <c r="C593" s="17">
        <v>-1.1989024654776905</v>
      </c>
      <c r="D593" s="17">
        <v>-1.1870294501795255</v>
      </c>
    </row>
    <row r="594" spans="1:4" x14ac:dyDescent="0.25">
      <c r="A594" s="17">
        <v>570</v>
      </c>
      <c r="B594" s="17">
        <v>4.5154709232953907E-2</v>
      </c>
      <c r="C594" s="17">
        <v>0.893845290767046</v>
      </c>
      <c r="D594" s="17">
        <v>0.88499332897944449</v>
      </c>
    </row>
    <row r="595" spans="1:4" x14ac:dyDescent="0.25">
      <c r="A595" s="17">
        <v>571</v>
      </c>
      <c r="B595" s="17">
        <v>7.6601363862373192E-2</v>
      </c>
      <c r="C595" s="17">
        <v>1.3154986361376266</v>
      </c>
      <c r="D595" s="17">
        <v>1.3024709413239757</v>
      </c>
    </row>
    <row r="596" spans="1:4" x14ac:dyDescent="0.25">
      <c r="A596" s="17">
        <v>572</v>
      </c>
      <c r="B596" s="17">
        <v>0.17860853329631984</v>
      </c>
      <c r="C596" s="17">
        <v>-0.64050853329631985</v>
      </c>
      <c r="D596" s="17">
        <v>-0.63416542546777577</v>
      </c>
    </row>
    <row r="597" spans="1:4" x14ac:dyDescent="0.25">
      <c r="A597" s="17">
        <v>573</v>
      </c>
      <c r="B597" s="17">
        <v>0.95332965017374482</v>
      </c>
      <c r="C597" s="17">
        <v>0.42597034982625515</v>
      </c>
      <c r="D597" s="17">
        <v>0.42175186448179752</v>
      </c>
    </row>
    <row r="598" spans="1:4" x14ac:dyDescent="0.25">
      <c r="A598" s="17">
        <v>574</v>
      </c>
      <c r="B598" s="17">
        <v>0.54974572927603871</v>
      </c>
      <c r="C598" s="17">
        <v>0.35935427072396131</v>
      </c>
      <c r="D598" s="17">
        <v>0.35579550020123452</v>
      </c>
    </row>
    <row r="599" spans="1:4" x14ac:dyDescent="0.25">
      <c r="A599" s="17">
        <v>575</v>
      </c>
      <c r="B599" s="17">
        <v>0.16138510054875804</v>
      </c>
      <c r="C599" s="17">
        <v>-0.61488510054875811</v>
      </c>
      <c r="D599" s="17">
        <v>-0.60879574764837829</v>
      </c>
    </row>
    <row r="600" spans="1:4" x14ac:dyDescent="0.25">
      <c r="A600" s="17">
        <v>576</v>
      </c>
      <c r="B600" s="17">
        <v>0.53596698307798918</v>
      </c>
      <c r="C600" s="17">
        <v>0.81843301692201087</v>
      </c>
      <c r="D600" s="17">
        <v>0.81032788075768869</v>
      </c>
    </row>
    <row r="601" spans="1:4" x14ac:dyDescent="0.25">
      <c r="A601" s="17">
        <v>577</v>
      </c>
      <c r="B601" s="17">
        <v>-9.2935620335317937E-3</v>
      </c>
      <c r="C601" s="17">
        <v>0.90219356203353185</v>
      </c>
      <c r="D601" s="17">
        <v>0.89325892533674101</v>
      </c>
    </row>
    <row r="602" spans="1:4" x14ac:dyDescent="0.25">
      <c r="A602" s="17">
        <v>578</v>
      </c>
      <c r="B602" s="17">
        <v>1.4793666219605679</v>
      </c>
      <c r="C602" s="17">
        <v>0.28283337803943209</v>
      </c>
      <c r="D602" s="17">
        <v>0.28003241205513424</v>
      </c>
    </row>
    <row r="603" spans="1:4" x14ac:dyDescent="0.25">
      <c r="A603" s="17">
        <v>579</v>
      </c>
      <c r="B603" s="17">
        <v>0.32461879542726313</v>
      </c>
      <c r="C603" s="17">
        <v>0.11108120457273685</v>
      </c>
      <c r="D603" s="17">
        <v>0.10998114107365546</v>
      </c>
    </row>
    <row r="604" spans="1:4" x14ac:dyDescent="0.25">
      <c r="A604" s="17">
        <v>580</v>
      </c>
      <c r="B604" s="17">
        <v>-3.2931403021231737E-3</v>
      </c>
      <c r="C604" s="17">
        <v>-0.43240685969787679</v>
      </c>
      <c r="D604" s="17">
        <v>-0.42812463207047863</v>
      </c>
    </row>
    <row r="605" spans="1:4" x14ac:dyDescent="0.25">
      <c r="A605" s="17">
        <v>581</v>
      </c>
      <c r="B605" s="17">
        <v>-0.3572069035342802</v>
      </c>
      <c r="C605" s="17">
        <v>0.3572069035342802</v>
      </c>
      <c r="D605" s="17">
        <v>0.35366939889783522</v>
      </c>
    </row>
    <row r="606" spans="1:4" x14ac:dyDescent="0.25">
      <c r="A606" s="17">
        <v>582</v>
      </c>
      <c r="B606" s="17">
        <v>0.11938214842889766</v>
      </c>
      <c r="C606" s="17">
        <v>0.75021785157110243</v>
      </c>
      <c r="D606" s="17">
        <v>0.74278826635867146</v>
      </c>
    </row>
    <row r="607" spans="1:4" x14ac:dyDescent="0.25">
      <c r="A607" s="17">
        <v>583</v>
      </c>
      <c r="B607" s="17">
        <v>0.96777510989750626</v>
      </c>
      <c r="C607" s="17">
        <v>-1.4015751098975062</v>
      </c>
      <c r="D607" s="17">
        <v>-1.3876949793610245</v>
      </c>
    </row>
    <row r="608" spans="1:4" x14ac:dyDescent="0.25">
      <c r="A608" s="17">
        <v>584</v>
      </c>
      <c r="B608" s="17">
        <v>1.0227789757687522</v>
      </c>
      <c r="C608" s="17">
        <v>-2.3356789757687522</v>
      </c>
      <c r="D608" s="17">
        <v>-2.3125481932326974</v>
      </c>
    </row>
    <row r="609" spans="1:4" x14ac:dyDescent="0.25">
      <c r="A609" s="17">
        <v>585</v>
      </c>
      <c r="B609" s="17">
        <v>-0.21764153881855358</v>
      </c>
      <c r="C609" s="17">
        <v>0.21764153881855358</v>
      </c>
      <c r="D609" s="17">
        <v>0.21548618307084541</v>
      </c>
    </row>
    <row r="610" spans="1:4" x14ac:dyDescent="0.25">
      <c r="A610" s="17">
        <v>586</v>
      </c>
      <c r="B610" s="17">
        <v>0.18983154431247301</v>
      </c>
      <c r="C610" s="17">
        <v>0.24976845568752698</v>
      </c>
      <c r="D610" s="17">
        <v>0.24729493946684306</v>
      </c>
    </row>
    <row r="611" spans="1:4" x14ac:dyDescent="0.25">
      <c r="A611" s="17">
        <v>587</v>
      </c>
      <c r="B611" s="17">
        <v>0.15182887334688505</v>
      </c>
      <c r="C611" s="17">
        <v>-1.4763288733468851</v>
      </c>
      <c r="D611" s="17">
        <v>-1.4617084385716625</v>
      </c>
    </row>
    <row r="612" spans="1:4" x14ac:dyDescent="0.25">
      <c r="A612" s="17">
        <v>588</v>
      </c>
      <c r="B612" s="17">
        <v>0.28139353517693061</v>
      </c>
      <c r="C612" s="17">
        <v>-0.72679353517693057</v>
      </c>
      <c r="D612" s="17">
        <v>-0.71959592652214743</v>
      </c>
    </row>
    <row r="613" spans="1:4" x14ac:dyDescent="0.25">
      <c r="A613" s="17">
        <v>589</v>
      </c>
      <c r="B613" s="17">
        <v>-2.0786612269228439</v>
      </c>
      <c r="C613" s="17">
        <v>-1.5581387730771561</v>
      </c>
      <c r="D613" s="17">
        <v>-1.5427081554730477</v>
      </c>
    </row>
    <row r="614" spans="1:4" x14ac:dyDescent="0.25">
      <c r="A614" s="17">
        <v>590</v>
      </c>
      <c r="B614" s="17">
        <v>-0.3067589134220669</v>
      </c>
      <c r="C614" s="17">
        <v>1.6860589134220669</v>
      </c>
      <c r="D614" s="17">
        <v>1.6693614723464985</v>
      </c>
    </row>
    <row r="615" spans="1:4" x14ac:dyDescent="0.25">
      <c r="A615" s="17">
        <v>591</v>
      </c>
      <c r="B615" s="17">
        <v>1.0200010027449518</v>
      </c>
      <c r="C615" s="17">
        <v>1.2373989972550483</v>
      </c>
      <c r="D615" s="17">
        <v>1.2251447416776446</v>
      </c>
    </row>
    <row r="616" spans="1:4" x14ac:dyDescent="0.25">
      <c r="A616" s="17">
        <v>592</v>
      </c>
      <c r="B616" s="17">
        <v>-0.15674837013685122</v>
      </c>
      <c r="C616" s="17">
        <v>-2.1006516298631488</v>
      </c>
      <c r="D616" s="17">
        <v>-2.0798483788434399</v>
      </c>
    </row>
    <row r="617" spans="1:4" x14ac:dyDescent="0.25">
      <c r="A617" s="17">
        <v>593</v>
      </c>
      <c r="B617" s="17">
        <v>1.0743381550904856</v>
      </c>
      <c r="C617" s="17">
        <v>0.28626184490951445</v>
      </c>
      <c r="D617" s="17">
        <v>0.28342692600513358</v>
      </c>
    </row>
    <row r="618" spans="1:4" x14ac:dyDescent="0.25">
      <c r="A618" s="17">
        <v>594</v>
      </c>
      <c r="B618" s="17">
        <v>-1.1958213999591116</v>
      </c>
      <c r="C618" s="17">
        <v>0.2908213999591116</v>
      </c>
      <c r="D618" s="17">
        <v>0.28794132670029776</v>
      </c>
    </row>
    <row r="619" spans="1:4" x14ac:dyDescent="0.25">
      <c r="A619" s="17">
        <v>595</v>
      </c>
      <c r="B619" s="17">
        <v>0.22727862067330096</v>
      </c>
      <c r="C619" s="17">
        <v>-0.68287862067330096</v>
      </c>
      <c r="D619" s="17">
        <v>-0.67611591182624442</v>
      </c>
    </row>
    <row r="620" spans="1:4" x14ac:dyDescent="0.25">
      <c r="A620" s="17">
        <v>596</v>
      </c>
      <c r="B620" s="17">
        <v>-0.6540055413971031</v>
      </c>
      <c r="C620" s="17">
        <v>-1.1893944586028968</v>
      </c>
      <c r="D620" s="17">
        <v>-1.1776156033505489</v>
      </c>
    </row>
    <row r="621" spans="1:4" x14ac:dyDescent="0.25">
      <c r="A621" s="17">
        <v>597</v>
      </c>
      <c r="B621" s="17">
        <v>-6.0630503513361148E-2</v>
      </c>
      <c r="C621" s="17">
        <v>1.4463305035133611</v>
      </c>
      <c r="D621" s="17">
        <v>1.4320071497052809</v>
      </c>
    </row>
    <row r="622" spans="1:4" x14ac:dyDescent="0.25">
      <c r="A622" s="17">
        <v>598</v>
      </c>
      <c r="B622" s="17">
        <v>-5.4074487177192473E-2</v>
      </c>
      <c r="C622" s="17">
        <v>0.51177448717719243</v>
      </c>
      <c r="D622" s="17">
        <v>0.50670626312191513</v>
      </c>
    </row>
    <row r="623" spans="1:4" x14ac:dyDescent="0.25">
      <c r="A623" s="17">
        <v>599</v>
      </c>
      <c r="B623" s="17">
        <v>-1.0987034630470536</v>
      </c>
      <c r="C623" s="17">
        <v>-0.74469653695294635</v>
      </c>
      <c r="D623" s="17">
        <v>-0.73732163062792699</v>
      </c>
    </row>
    <row r="624" spans="1:4" x14ac:dyDescent="0.25">
      <c r="A624" s="17">
        <v>600</v>
      </c>
      <c r="B624" s="17">
        <v>5.9377931114811391E-2</v>
      </c>
      <c r="C624" s="17">
        <v>0.86652206888518857</v>
      </c>
      <c r="D624" s="17">
        <v>0.85794069544045881</v>
      </c>
    </row>
    <row r="625" spans="1:4" x14ac:dyDescent="0.25">
      <c r="A625" s="17">
        <v>601</v>
      </c>
      <c r="B625" s="17">
        <v>0.96566385039941816</v>
      </c>
      <c r="C625" s="17">
        <v>-0.96566385039941816</v>
      </c>
      <c r="D625" s="17">
        <v>-0.95610065239222342</v>
      </c>
    </row>
    <row r="626" spans="1:4" x14ac:dyDescent="0.25">
      <c r="A626" s="17">
        <v>602</v>
      </c>
      <c r="B626" s="17">
        <v>-0.53399710676893064</v>
      </c>
      <c r="C626" s="17">
        <v>7.2097106768930663E-2</v>
      </c>
      <c r="D626" s="17">
        <v>7.1383112031018547E-2</v>
      </c>
    </row>
    <row r="627" spans="1:4" x14ac:dyDescent="0.25">
      <c r="A627" s="17">
        <v>603</v>
      </c>
      <c r="B627" s="17">
        <v>-2.202892180547193</v>
      </c>
      <c r="C627" s="17">
        <v>-1.0915078194528069</v>
      </c>
      <c r="D627" s="17">
        <v>-1.0806983587905785</v>
      </c>
    </row>
    <row r="628" spans="1:4" x14ac:dyDescent="0.25">
      <c r="A628" s="17">
        <v>604</v>
      </c>
      <c r="B628" s="17">
        <v>-0.12241262356267961</v>
      </c>
      <c r="C628" s="17">
        <v>1.5476126235626797</v>
      </c>
      <c r="D628" s="17">
        <v>1.5322862489122853</v>
      </c>
    </row>
    <row r="629" spans="1:4" x14ac:dyDescent="0.25">
      <c r="A629" s="17">
        <v>605</v>
      </c>
      <c r="B629" s="17">
        <v>0.84165513461697317</v>
      </c>
      <c r="C629" s="17">
        <v>-0.84165513461697317</v>
      </c>
      <c r="D629" s="17">
        <v>-0.83332002431664964</v>
      </c>
    </row>
    <row r="630" spans="1:4" x14ac:dyDescent="0.25">
      <c r="A630" s="17">
        <v>606</v>
      </c>
      <c r="B630" s="17">
        <v>0.32406320082250306</v>
      </c>
      <c r="C630" s="17">
        <v>0.14653679917749696</v>
      </c>
      <c r="D630" s="17">
        <v>0.14508561052080726</v>
      </c>
    </row>
    <row r="631" spans="1:4" x14ac:dyDescent="0.25">
      <c r="A631" s="17">
        <v>607</v>
      </c>
      <c r="B631" s="17">
        <v>2.1930854753983473E-2</v>
      </c>
      <c r="C631" s="17">
        <v>-0.9653308547539835</v>
      </c>
      <c r="D631" s="17">
        <v>-0.95577095448159732</v>
      </c>
    </row>
    <row r="632" spans="1:4" x14ac:dyDescent="0.25">
      <c r="A632" s="17">
        <v>608</v>
      </c>
      <c r="B632" s="17">
        <v>-1.4433943558401936</v>
      </c>
      <c r="C632" s="17">
        <v>1.139435584019366E-2</v>
      </c>
      <c r="D632" s="17">
        <v>1.1281514833440495E-2</v>
      </c>
    </row>
    <row r="633" spans="1:4" x14ac:dyDescent="0.25">
      <c r="A633" s="17">
        <v>609</v>
      </c>
      <c r="B633" s="17">
        <v>-1.4232818311478797</v>
      </c>
      <c r="C633" s="17">
        <v>0.94138183114787966</v>
      </c>
      <c r="D633" s="17">
        <v>0.93205910373303535</v>
      </c>
    </row>
    <row r="634" spans="1:4" x14ac:dyDescent="0.25">
      <c r="A634" s="17">
        <v>610</v>
      </c>
      <c r="B634" s="17">
        <v>-0.43187881841403197</v>
      </c>
      <c r="C634" s="17">
        <v>-2.0132211815859682</v>
      </c>
      <c r="D634" s="17">
        <v>-1.9932837750196752</v>
      </c>
    </row>
    <row r="635" spans="1:4" x14ac:dyDescent="0.25">
      <c r="A635" s="17">
        <v>611</v>
      </c>
      <c r="B635" s="17">
        <v>-1.2939394071597379</v>
      </c>
      <c r="C635" s="17">
        <v>1.2939394071597379</v>
      </c>
      <c r="D635" s="17">
        <v>1.2811252185009592</v>
      </c>
    </row>
    <row r="636" spans="1:4" x14ac:dyDescent="0.25">
      <c r="A636" s="17">
        <v>612</v>
      </c>
      <c r="B636" s="17">
        <v>1.8212795417299077</v>
      </c>
      <c r="C636" s="17">
        <v>-1.3274795417299077</v>
      </c>
      <c r="D636" s="17">
        <v>-1.3143331971682755</v>
      </c>
    </row>
    <row r="637" spans="1:4" x14ac:dyDescent="0.25">
      <c r="A637" s="17">
        <v>613</v>
      </c>
      <c r="B637" s="17">
        <v>1.4779220759881917</v>
      </c>
      <c r="C637" s="17">
        <v>1.4348779240118081</v>
      </c>
      <c r="D637" s="17">
        <v>1.4206679878132007</v>
      </c>
    </row>
    <row r="638" spans="1:4" x14ac:dyDescent="0.25">
      <c r="A638" s="17">
        <v>614</v>
      </c>
      <c r="B638" s="17">
        <v>2.5574423930369843</v>
      </c>
      <c r="C638" s="17">
        <v>3.4768576069630157</v>
      </c>
      <c r="D638" s="17">
        <v>3.4424254619423071</v>
      </c>
    </row>
    <row r="639" spans="1:4" x14ac:dyDescent="0.25">
      <c r="A639" s="17">
        <v>615</v>
      </c>
      <c r="B639" s="17">
        <v>-0.28953548067450507</v>
      </c>
      <c r="C639" s="17">
        <v>-2.450364519325495</v>
      </c>
      <c r="D639" s="17">
        <v>-2.4260979786670438</v>
      </c>
    </row>
    <row r="640" spans="1:4" x14ac:dyDescent="0.25">
      <c r="A640" s="17">
        <v>616</v>
      </c>
      <c r="B640" s="17">
        <v>-0.20652964672335244</v>
      </c>
      <c r="C640" s="17">
        <v>2.0414296467233526</v>
      </c>
      <c r="D640" s="17">
        <v>2.0212128850403941</v>
      </c>
    </row>
    <row r="641" spans="1:4" x14ac:dyDescent="0.25">
      <c r="A641" s="17">
        <v>617</v>
      </c>
      <c r="B641" s="17">
        <v>-1.3850569223403877</v>
      </c>
      <c r="C641" s="17">
        <v>1.3846569223403877</v>
      </c>
      <c r="D641" s="17">
        <v>1.3709443366254965</v>
      </c>
    </row>
    <row r="642" spans="1:4" x14ac:dyDescent="0.25">
      <c r="A642" s="17">
        <v>618</v>
      </c>
      <c r="B642" s="17">
        <v>-0.17663865698726128</v>
      </c>
      <c r="C642" s="17">
        <v>0.17663865698726128</v>
      </c>
      <c r="D642" s="17">
        <v>0.1748893624974702</v>
      </c>
    </row>
    <row r="643" spans="1:4" x14ac:dyDescent="0.25">
      <c r="A643" s="17">
        <v>619</v>
      </c>
      <c r="B643" s="17">
        <v>1.5837072887345069</v>
      </c>
      <c r="C643" s="17">
        <v>0.26819271126549316</v>
      </c>
      <c r="D643" s="17">
        <v>0.26553673527461658</v>
      </c>
    </row>
    <row r="644" spans="1:4" x14ac:dyDescent="0.25">
      <c r="A644" s="17">
        <v>620</v>
      </c>
      <c r="B644" s="17">
        <v>-1.543068027934148</v>
      </c>
      <c r="C644" s="17">
        <v>-2.1957319720658521</v>
      </c>
      <c r="D644" s="17">
        <v>-2.1739871178798862</v>
      </c>
    </row>
    <row r="645" spans="1:4" x14ac:dyDescent="0.25">
      <c r="A645" s="17">
        <v>621</v>
      </c>
      <c r="B645" s="17">
        <v>1.2612401801317692</v>
      </c>
      <c r="C645" s="17">
        <v>-0.31334018013176923</v>
      </c>
      <c r="D645" s="17">
        <v>-0.31023709805515348</v>
      </c>
    </row>
    <row r="646" spans="1:4" x14ac:dyDescent="0.25">
      <c r="A646" s="17">
        <v>622</v>
      </c>
      <c r="B646" s="17">
        <v>0.63552953625099162</v>
      </c>
      <c r="C646" s="17">
        <v>-0.63552953625099162</v>
      </c>
      <c r="D646" s="17">
        <v>-0.6292357366103869</v>
      </c>
    </row>
    <row r="647" spans="1:4" x14ac:dyDescent="0.25">
      <c r="A647" s="17">
        <v>623</v>
      </c>
      <c r="B647" s="17">
        <v>2.3762074329642533</v>
      </c>
      <c r="C647" s="17">
        <v>0.87229256703574665</v>
      </c>
      <c r="D647" s="17">
        <v>0.86365404698001846</v>
      </c>
    </row>
    <row r="648" spans="1:4" x14ac:dyDescent="0.25">
      <c r="A648" s="17">
        <v>624</v>
      </c>
      <c r="B648" s="17">
        <v>0.62719561717959071</v>
      </c>
      <c r="C648" s="17">
        <v>-0.17159561717959071</v>
      </c>
      <c r="D648" s="17">
        <v>-0.16989626510839487</v>
      </c>
    </row>
    <row r="649" spans="1:4" x14ac:dyDescent="0.25">
      <c r="A649" s="17">
        <v>625</v>
      </c>
      <c r="B649" s="17">
        <v>0.53341124789609295</v>
      </c>
      <c r="C649" s="17">
        <v>-0.98901124789609296</v>
      </c>
      <c r="D649" s="17">
        <v>-0.97921683507732482</v>
      </c>
    </row>
    <row r="650" spans="1:4" x14ac:dyDescent="0.25">
      <c r="A650" s="17">
        <v>626</v>
      </c>
      <c r="B650" s="17">
        <v>0.14538397593166838</v>
      </c>
      <c r="C650" s="17">
        <v>-1.5246839759316684</v>
      </c>
      <c r="D650" s="17">
        <v>-1.509584669113669</v>
      </c>
    </row>
    <row r="651" spans="1:4" x14ac:dyDescent="0.25">
      <c r="A651" s="17">
        <v>627</v>
      </c>
      <c r="B651" s="17">
        <v>5.671107701196311E-2</v>
      </c>
      <c r="C651" s="17">
        <v>0.86498892298803687</v>
      </c>
      <c r="D651" s="17">
        <v>0.8564227326505367</v>
      </c>
    </row>
    <row r="652" spans="1:4" x14ac:dyDescent="0.25">
      <c r="A652" s="17">
        <v>628</v>
      </c>
      <c r="B652" s="17">
        <v>-0.79312643042902176</v>
      </c>
      <c r="C652" s="17">
        <v>-2.4705735695709783</v>
      </c>
      <c r="D652" s="17">
        <v>-2.446106893897682</v>
      </c>
    </row>
    <row r="653" spans="1:4" x14ac:dyDescent="0.25">
      <c r="A653" s="17">
        <v>629</v>
      </c>
      <c r="B653" s="17">
        <v>-1.743859918094433</v>
      </c>
      <c r="C653" s="17">
        <v>-5.4266400819055667</v>
      </c>
      <c r="D653" s="17">
        <v>-5.3728987788676852</v>
      </c>
    </row>
    <row r="654" spans="1:4" x14ac:dyDescent="0.25">
      <c r="A654" s="17">
        <v>630</v>
      </c>
      <c r="B654" s="17">
        <v>0.66908745037849915</v>
      </c>
      <c r="C654" s="17">
        <v>-1.8985874503784992</v>
      </c>
      <c r="D654" s="17">
        <v>-1.8797852888246265</v>
      </c>
    </row>
    <row r="655" spans="1:4" x14ac:dyDescent="0.25">
      <c r="A655" s="17">
        <v>631</v>
      </c>
      <c r="B655" s="17">
        <v>1.5592611261250644</v>
      </c>
      <c r="C655" s="17">
        <v>1.4866388738749357</v>
      </c>
      <c r="D655" s="17">
        <v>1.4719163367206469</v>
      </c>
    </row>
    <row r="656" spans="1:4" x14ac:dyDescent="0.25">
      <c r="A656" s="17">
        <v>632</v>
      </c>
      <c r="B656" s="17">
        <v>-0.17774984619678141</v>
      </c>
      <c r="C656" s="17">
        <v>2.1580498461967812</v>
      </c>
      <c r="D656" s="17">
        <v>2.136678167035301</v>
      </c>
    </row>
    <row r="657" spans="1:4" x14ac:dyDescent="0.25">
      <c r="A657" s="17">
        <v>633</v>
      </c>
      <c r="B657" s="17">
        <v>-0.37076341189042555</v>
      </c>
      <c r="C657" s="17">
        <v>0.8597634118904256</v>
      </c>
      <c r="D657" s="17">
        <v>0.85124897102795716</v>
      </c>
    </row>
    <row r="658" spans="1:4" x14ac:dyDescent="0.25">
      <c r="A658" s="17">
        <v>634</v>
      </c>
      <c r="B658" s="17">
        <v>-0.12085695866935146</v>
      </c>
      <c r="C658" s="17">
        <v>0.12085695866935146</v>
      </c>
      <c r="D658" s="17">
        <v>0.11966008356024978</v>
      </c>
    </row>
    <row r="659" spans="1:4" x14ac:dyDescent="0.25">
      <c r="A659" s="17">
        <v>635</v>
      </c>
      <c r="B659" s="17">
        <v>-0.81623916598704016</v>
      </c>
      <c r="C659" s="17">
        <v>-1.65306083401296</v>
      </c>
      <c r="D659" s="17">
        <v>-1.6366901807394989</v>
      </c>
    </row>
    <row r="660" spans="1:4" x14ac:dyDescent="0.25">
      <c r="A660" s="17">
        <v>636</v>
      </c>
      <c r="B660" s="17">
        <v>1.1534548268083178</v>
      </c>
      <c r="C660" s="17">
        <v>0.82684517319168216</v>
      </c>
      <c r="D660" s="17">
        <v>0.81865672944984114</v>
      </c>
    </row>
    <row r="661" spans="1:4" x14ac:dyDescent="0.25">
      <c r="A661" s="17">
        <v>637</v>
      </c>
      <c r="B661" s="17">
        <v>-0.68723009876175467</v>
      </c>
      <c r="C661" s="17">
        <v>1.1762300987617547</v>
      </c>
      <c r="D661" s="17">
        <v>1.1645816132853353</v>
      </c>
    </row>
    <row r="662" spans="1:4" x14ac:dyDescent="0.25">
      <c r="A662" s="17">
        <v>638</v>
      </c>
      <c r="B662" s="17">
        <v>-0.63878224922667759</v>
      </c>
      <c r="C662" s="17">
        <v>-1.3317177507733224</v>
      </c>
      <c r="D662" s="17">
        <v>-1.318529434222927</v>
      </c>
    </row>
    <row r="663" spans="1:4" x14ac:dyDescent="0.25">
      <c r="A663" s="17">
        <v>639</v>
      </c>
      <c r="B663" s="17">
        <v>0.67286549369086746</v>
      </c>
      <c r="C663" s="17">
        <v>-0.67286549369086746</v>
      </c>
      <c r="D663" s="17">
        <v>-0.66620194721378534</v>
      </c>
    </row>
    <row r="664" spans="1:4" x14ac:dyDescent="0.25">
      <c r="A664" s="17">
        <v>640</v>
      </c>
      <c r="B664" s="17">
        <v>0.60263833564919611</v>
      </c>
      <c r="C664" s="17">
        <v>-0.60263833564919611</v>
      </c>
      <c r="D664" s="17">
        <v>-0.59667026536453571</v>
      </c>
    </row>
    <row r="665" spans="1:4" x14ac:dyDescent="0.25">
      <c r="A665" s="17">
        <v>641</v>
      </c>
      <c r="B665" s="17">
        <v>-1.2976063315511541</v>
      </c>
      <c r="C665" s="17">
        <v>-0.40839366844884584</v>
      </c>
      <c r="D665" s="17">
        <v>-0.4043492491463675</v>
      </c>
    </row>
    <row r="666" spans="1:4" x14ac:dyDescent="0.25">
      <c r="A666" s="17">
        <v>642</v>
      </c>
      <c r="B666" s="17">
        <v>-1.5655140499664544</v>
      </c>
      <c r="C666" s="17">
        <v>-0.27318595003354562</v>
      </c>
      <c r="D666" s="17">
        <v>-0.27048052481557378</v>
      </c>
    </row>
    <row r="667" spans="1:4" x14ac:dyDescent="0.25">
      <c r="A667" s="17">
        <v>643</v>
      </c>
      <c r="B667" s="17">
        <v>-0.11896793701316725</v>
      </c>
      <c r="C667" s="17">
        <v>-0.50153206298683284</v>
      </c>
      <c r="D667" s="17">
        <v>-0.4965652720861316</v>
      </c>
    </row>
    <row r="668" spans="1:4" x14ac:dyDescent="0.25">
      <c r="A668" s="17">
        <v>644</v>
      </c>
      <c r="B668" s="17">
        <v>-0.65422777923900721</v>
      </c>
      <c r="C668" s="17">
        <v>0.65422777923900721</v>
      </c>
      <c r="D668" s="17">
        <v>0.64774880646594324</v>
      </c>
    </row>
    <row r="669" spans="1:4" x14ac:dyDescent="0.25">
      <c r="A669" s="17">
        <v>645</v>
      </c>
      <c r="B669" s="17">
        <v>0.73842565705255436</v>
      </c>
      <c r="C669" s="17">
        <v>-1.1542256570525544</v>
      </c>
      <c r="D669" s="17">
        <v>-1.1427950867782168</v>
      </c>
    </row>
    <row r="670" spans="1:4" x14ac:dyDescent="0.25">
      <c r="A670" s="17">
        <v>646</v>
      </c>
      <c r="B670" s="17">
        <v>1.2315714282375818</v>
      </c>
      <c r="C670" s="17">
        <v>1.0728571762418149E-2</v>
      </c>
      <c r="D670" s="17">
        <v>1.0622324173201709E-2</v>
      </c>
    </row>
    <row r="671" spans="1:4" x14ac:dyDescent="0.25">
      <c r="A671" s="17">
        <v>647</v>
      </c>
      <c r="B671" s="17">
        <v>-0.41498874242932621</v>
      </c>
      <c r="C671" s="17">
        <v>2.5887424293262185E-3</v>
      </c>
      <c r="D671" s="17">
        <v>2.5631054994245421E-3</v>
      </c>
    </row>
    <row r="672" spans="1:4" x14ac:dyDescent="0.25">
      <c r="A672" s="17">
        <v>648</v>
      </c>
      <c r="B672" s="17">
        <v>-0.82668434455652928</v>
      </c>
      <c r="C672" s="17">
        <v>-3.2156554434706885E-3</v>
      </c>
      <c r="D672" s="17">
        <v>-3.1838100453892505E-3</v>
      </c>
    </row>
    <row r="673" spans="1:4" x14ac:dyDescent="0.25">
      <c r="A673" s="17">
        <v>649</v>
      </c>
      <c r="B673" s="17">
        <v>0.60274945457014817</v>
      </c>
      <c r="C673" s="17">
        <v>-8.3249454570148207E-2</v>
      </c>
      <c r="D673" s="17">
        <v>-8.2425015488457418E-2</v>
      </c>
    </row>
    <row r="674" spans="1:4" x14ac:dyDescent="0.25">
      <c r="A674" s="17">
        <v>650</v>
      </c>
      <c r="B674" s="17">
        <v>-0.27586785339740771</v>
      </c>
      <c r="C674" s="17">
        <v>-0.76583214660259236</v>
      </c>
      <c r="D674" s="17">
        <v>-0.75824792932532104</v>
      </c>
    </row>
    <row r="675" spans="1:4" x14ac:dyDescent="0.25">
      <c r="A675" s="17">
        <v>651</v>
      </c>
      <c r="B675" s="17">
        <v>-0.88202156719063107</v>
      </c>
      <c r="C675" s="17">
        <v>-0.27647843280936901</v>
      </c>
      <c r="D675" s="17">
        <v>-0.2737404013540326</v>
      </c>
    </row>
    <row r="676" spans="1:4" x14ac:dyDescent="0.25">
      <c r="A676" s="17">
        <v>652</v>
      </c>
      <c r="B676" s="17">
        <v>-0.1871949544777024</v>
      </c>
      <c r="C676" s="17">
        <v>0.2930949544777024</v>
      </c>
      <c r="D676" s="17">
        <v>0.29019236566957768</v>
      </c>
    </row>
    <row r="677" spans="1:4" x14ac:dyDescent="0.25">
      <c r="A677" s="17">
        <v>653</v>
      </c>
      <c r="B677" s="17">
        <v>0.9071041790577079</v>
      </c>
      <c r="C677" s="17">
        <v>1.7039958209422921</v>
      </c>
      <c r="D677" s="17">
        <v>1.6871207464198656</v>
      </c>
    </row>
    <row r="678" spans="1:4" x14ac:dyDescent="0.25">
      <c r="A678" s="17">
        <v>654</v>
      </c>
      <c r="B678" s="17">
        <v>0.37751140180042064</v>
      </c>
      <c r="C678" s="17">
        <v>-0.58391140180042067</v>
      </c>
      <c r="D678" s="17">
        <v>-0.57812878878061424</v>
      </c>
    </row>
    <row r="679" spans="1:4" x14ac:dyDescent="0.25">
      <c r="A679" s="17">
        <v>655</v>
      </c>
      <c r="B679" s="17">
        <v>-0.97602817431603284</v>
      </c>
      <c r="C679" s="17">
        <v>-0.27137182568396723</v>
      </c>
      <c r="D679" s="17">
        <v>-0.26868436616944125</v>
      </c>
    </row>
    <row r="680" spans="1:4" x14ac:dyDescent="0.25">
      <c r="A680" s="17">
        <v>656</v>
      </c>
      <c r="B680" s="17">
        <v>0.12482697555554623</v>
      </c>
      <c r="C680" s="17">
        <v>1.1225730244444538</v>
      </c>
      <c r="D680" s="17">
        <v>1.1114559176936343</v>
      </c>
    </row>
    <row r="681" spans="1:4" x14ac:dyDescent="0.25">
      <c r="A681" s="17">
        <v>657</v>
      </c>
      <c r="B681" s="17">
        <v>1.3869156797284943</v>
      </c>
      <c r="C681" s="17">
        <v>0.5568843202715057</v>
      </c>
      <c r="D681" s="17">
        <v>0.55136936284645999</v>
      </c>
    </row>
    <row r="682" spans="1:4" x14ac:dyDescent="0.25">
      <c r="A682" s="17">
        <v>658</v>
      </c>
      <c r="B682" s="17">
        <v>1.5254809741556528</v>
      </c>
      <c r="C682" s="17">
        <v>0.28181902584434715</v>
      </c>
      <c r="D682" s="17">
        <v>0.27902810523027477</v>
      </c>
    </row>
    <row r="683" spans="1:4" x14ac:dyDescent="0.25">
      <c r="A683" s="17">
        <v>659</v>
      </c>
      <c r="B683" s="17">
        <v>0.30706200591684524</v>
      </c>
      <c r="C683" s="17">
        <v>1.1744379940831549</v>
      </c>
      <c r="D683" s="17">
        <v>1.1628072562441603</v>
      </c>
    </row>
    <row r="684" spans="1:4" x14ac:dyDescent="0.25">
      <c r="A684" s="17">
        <v>660</v>
      </c>
      <c r="B684" s="17">
        <v>0.754537900590596</v>
      </c>
      <c r="C684" s="17">
        <v>-0.754537900590596</v>
      </c>
      <c r="D684" s="17">
        <v>-0.74706553290871969</v>
      </c>
    </row>
    <row r="685" spans="1:4" x14ac:dyDescent="0.25">
      <c r="A685" s="17">
        <v>661</v>
      </c>
      <c r="B685" s="17">
        <v>4.4851841645176527E-3</v>
      </c>
      <c r="C685" s="17">
        <v>-1.4859851841645177</v>
      </c>
      <c r="D685" s="17">
        <v>-1.4712691206543789</v>
      </c>
    </row>
    <row r="686" spans="1:4" x14ac:dyDescent="0.25">
      <c r="A686" s="17">
        <v>662</v>
      </c>
      <c r="B686" s="17">
        <v>1.2435722717003992</v>
      </c>
      <c r="C686" s="17">
        <v>-0.25347227170039921</v>
      </c>
      <c r="D686" s="17">
        <v>-0.25096207571180362</v>
      </c>
    </row>
    <row r="687" spans="1:4" x14ac:dyDescent="0.25">
      <c r="A687" s="17">
        <v>663</v>
      </c>
      <c r="B687" s="17">
        <v>5.5963733740377747E-3</v>
      </c>
      <c r="C687" s="17">
        <v>0.48580362662596221</v>
      </c>
      <c r="D687" s="17">
        <v>0.48099259815874168</v>
      </c>
    </row>
    <row r="688" spans="1:4" x14ac:dyDescent="0.25">
      <c r="A688" s="17">
        <v>664</v>
      </c>
      <c r="B688" s="17">
        <v>0.45151660315446035</v>
      </c>
      <c r="C688" s="17">
        <v>0.52408339684553962</v>
      </c>
      <c r="D688" s="17">
        <v>0.51889327474016711</v>
      </c>
    </row>
    <row r="689" spans="1:4" x14ac:dyDescent="0.25">
      <c r="A689" s="17">
        <v>665</v>
      </c>
      <c r="B689" s="17">
        <v>0.29806137331973231</v>
      </c>
      <c r="C689" s="17">
        <v>1.1477386266802676</v>
      </c>
      <c r="D689" s="17">
        <v>1.1363722990053637</v>
      </c>
    </row>
    <row r="690" spans="1:4" x14ac:dyDescent="0.25">
      <c r="A690" s="17">
        <v>666</v>
      </c>
      <c r="B690" s="17">
        <v>7.5267936810949052E-2</v>
      </c>
      <c r="C690" s="17">
        <v>-7.5267936810949052E-2</v>
      </c>
      <c r="D690" s="17">
        <v>-7.4522540591531294E-2</v>
      </c>
    </row>
    <row r="691" spans="1:4" x14ac:dyDescent="0.25">
      <c r="A691" s="17">
        <v>667</v>
      </c>
      <c r="B691" s="17">
        <v>0.29361661648165188</v>
      </c>
      <c r="C691" s="17">
        <v>-1.2551166164816518</v>
      </c>
      <c r="D691" s="17">
        <v>-1.2426868991213409</v>
      </c>
    </row>
    <row r="692" spans="1:4" x14ac:dyDescent="0.25">
      <c r="A692" s="17">
        <v>668</v>
      </c>
      <c r="B692" s="17">
        <v>-0.70256450985313224</v>
      </c>
      <c r="C692" s="17">
        <v>-0.26833549014686775</v>
      </c>
      <c r="D692" s="17">
        <v>-0.26567810018288524</v>
      </c>
    </row>
    <row r="693" spans="1:4" x14ac:dyDescent="0.25">
      <c r="A693" s="17">
        <v>669</v>
      </c>
      <c r="B693" s="17">
        <v>-0.27820135073739993</v>
      </c>
      <c r="C693" s="17">
        <v>0.27820135073739993</v>
      </c>
      <c r="D693" s="17">
        <v>0.2754462568174294</v>
      </c>
    </row>
    <row r="694" spans="1:4" x14ac:dyDescent="0.25">
      <c r="A694" s="17">
        <v>670</v>
      </c>
      <c r="B694" s="17">
        <v>1.6018196728496847</v>
      </c>
      <c r="C694" s="17">
        <v>1.2829803271503151</v>
      </c>
      <c r="D694" s="17">
        <v>1.2702746688585616</v>
      </c>
    </row>
    <row r="695" spans="1:4" x14ac:dyDescent="0.25">
      <c r="A695" s="17">
        <v>671</v>
      </c>
      <c r="B695" s="17">
        <v>-2.6264267764110893E-3</v>
      </c>
      <c r="C695" s="17">
        <v>2.6264267764110893E-3</v>
      </c>
      <c r="D695" s="17">
        <v>2.6004166494877005E-3</v>
      </c>
    </row>
    <row r="696" spans="1:4" x14ac:dyDescent="0.25">
      <c r="A696" s="17">
        <v>672</v>
      </c>
      <c r="B696" s="17">
        <v>-0.47588191111102862</v>
      </c>
      <c r="C696" s="17">
        <v>-1.9223180888889715</v>
      </c>
      <c r="D696" s="17">
        <v>-1.903280917196924</v>
      </c>
    </row>
    <row r="697" spans="1:4" x14ac:dyDescent="0.25">
      <c r="A697" s="17">
        <v>673</v>
      </c>
      <c r="B697" s="17">
        <v>1.1987913465567386</v>
      </c>
      <c r="C697" s="17">
        <v>1.1994086534432615</v>
      </c>
      <c r="D697" s="17">
        <v>1.187530625245689</v>
      </c>
    </row>
    <row r="698" spans="1:4" x14ac:dyDescent="0.25">
      <c r="A698" s="17">
        <v>674</v>
      </c>
      <c r="B698" s="17">
        <v>0.15649586802686954</v>
      </c>
      <c r="C698" s="17">
        <v>-0.63159586802686962</v>
      </c>
      <c r="D698" s="17">
        <v>-0.62534102443510764</v>
      </c>
    </row>
    <row r="699" spans="1:4" x14ac:dyDescent="0.25">
      <c r="A699" s="17">
        <v>675</v>
      </c>
      <c r="B699" s="17">
        <v>-0.13174661292264861</v>
      </c>
      <c r="C699" s="17">
        <v>-1.7913533870773515</v>
      </c>
      <c r="D699" s="17">
        <v>-1.7736131898706382</v>
      </c>
    </row>
    <row r="700" spans="1:4" x14ac:dyDescent="0.25">
      <c r="A700" s="17">
        <v>676</v>
      </c>
      <c r="B700" s="17">
        <v>-1.2667152715264951</v>
      </c>
      <c r="C700" s="17">
        <v>-0.20028472847350498</v>
      </c>
      <c r="D700" s="17">
        <v>-0.19830126133282541</v>
      </c>
    </row>
    <row r="701" spans="1:4" x14ac:dyDescent="0.25">
      <c r="A701" s="17">
        <v>677</v>
      </c>
      <c r="B701" s="17">
        <v>0.69508927788126984</v>
      </c>
      <c r="C701" s="17">
        <v>0.77191072211873024</v>
      </c>
      <c r="D701" s="17">
        <v>0.76426630726728395</v>
      </c>
    </row>
    <row r="702" spans="1:4" x14ac:dyDescent="0.25">
      <c r="A702" s="17">
        <v>678</v>
      </c>
      <c r="B702" s="17">
        <v>-0.69734192056838773</v>
      </c>
      <c r="C702" s="17">
        <v>-1.7597580794316123</v>
      </c>
      <c r="D702" s="17">
        <v>-1.7423307780457269</v>
      </c>
    </row>
    <row r="703" spans="1:4" x14ac:dyDescent="0.25">
      <c r="A703" s="17">
        <v>679</v>
      </c>
      <c r="B703" s="17">
        <v>0.25083583191512743</v>
      </c>
      <c r="C703" s="17">
        <v>0.73926416808487261</v>
      </c>
      <c r="D703" s="17">
        <v>0.73194305979641849</v>
      </c>
    </row>
    <row r="704" spans="1:4" x14ac:dyDescent="0.25">
      <c r="A704" s="17">
        <v>680</v>
      </c>
      <c r="B704" s="17">
        <v>0.47196248460963053</v>
      </c>
      <c r="C704" s="17">
        <v>0.99503751539036955</v>
      </c>
      <c r="D704" s="17">
        <v>0.98518342301616579</v>
      </c>
    </row>
    <row r="705" spans="1:4" x14ac:dyDescent="0.25">
      <c r="A705" s="17">
        <v>681</v>
      </c>
      <c r="B705" s="17">
        <v>1.9828464527941325</v>
      </c>
      <c r="C705" s="17">
        <v>-5.9746452794132487E-2</v>
      </c>
      <c r="D705" s="17">
        <v>-5.9154769510077199E-2</v>
      </c>
    </row>
    <row r="706" spans="1:4" x14ac:dyDescent="0.25">
      <c r="A706" s="17">
        <v>682</v>
      </c>
      <c r="B706" s="17">
        <v>0.14571733269452442</v>
      </c>
      <c r="C706" s="17">
        <v>-1.1026173326945243</v>
      </c>
      <c r="D706" s="17">
        <v>-1.0916978518893132</v>
      </c>
    </row>
    <row r="707" spans="1:4" x14ac:dyDescent="0.25">
      <c r="A707" s="17">
        <v>683</v>
      </c>
      <c r="B707" s="17">
        <v>-0.33887228157719823</v>
      </c>
      <c r="C707" s="17">
        <v>-0.62732771842280166</v>
      </c>
      <c r="D707" s="17">
        <v>-0.62111514332827211</v>
      </c>
    </row>
    <row r="708" spans="1:4" x14ac:dyDescent="0.25">
      <c r="A708" s="17">
        <v>684</v>
      </c>
      <c r="B708" s="17">
        <v>0.63075142265005513</v>
      </c>
      <c r="C708" s="17">
        <v>1.2923485773499448</v>
      </c>
      <c r="D708" s="17">
        <v>1.2795501430558558</v>
      </c>
    </row>
    <row r="709" spans="1:4" x14ac:dyDescent="0.25">
      <c r="A709" s="17">
        <v>685</v>
      </c>
      <c r="B709" s="17">
        <v>-0.33865004373529423</v>
      </c>
      <c r="C709" s="17">
        <v>0.33865004373529423</v>
      </c>
      <c r="D709" s="17">
        <v>0.3352963120800746</v>
      </c>
    </row>
    <row r="710" spans="1:4" x14ac:dyDescent="0.25">
      <c r="A710" s="17">
        <v>686</v>
      </c>
      <c r="B710" s="17">
        <v>0.13404984599456318</v>
      </c>
      <c r="C710" s="17">
        <v>1.2844501540054369</v>
      </c>
      <c r="D710" s="17">
        <v>1.271729939669936</v>
      </c>
    </row>
    <row r="711" spans="1:4" x14ac:dyDescent="0.25">
      <c r="A711" s="17">
        <v>687</v>
      </c>
      <c r="B711" s="17">
        <v>-0.93591424385235666</v>
      </c>
      <c r="C711" s="17">
        <v>-0.48258575614764343</v>
      </c>
      <c r="D711" s="17">
        <v>-0.4778065950145195</v>
      </c>
    </row>
    <row r="712" spans="1:4" x14ac:dyDescent="0.25">
      <c r="A712" s="17">
        <v>688</v>
      </c>
      <c r="B712" s="17">
        <v>1.3264669867306</v>
      </c>
      <c r="C712" s="17">
        <v>0.56033301326939999</v>
      </c>
      <c r="D712" s="17">
        <v>0.55478390262013322</v>
      </c>
    </row>
    <row r="713" spans="1:4" x14ac:dyDescent="0.25">
      <c r="A713" s="17">
        <v>689</v>
      </c>
      <c r="B713" s="17">
        <v>-0.40276566112460493</v>
      </c>
      <c r="C713" s="17">
        <v>-0.53623433887539496</v>
      </c>
      <c r="D713" s="17">
        <v>-0.53092388311089522</v>
      </c>
    </row>
    <row r="714" spans="1:4" x14ac:dyDescent="0.25">
      <c r="A714" s="17">
        <v>690</v>
      </c>
      <c r="B714" s="17">
        <v>0.63764079574907984</v>
      </c>
      <c r="C714" s="17">
        <v>0.30135920425092011</v>
      </c>
      <c r="D714" s="17">
        <v>0.29837477261836998</v>
      </c>
    </row>
    <row r="715" spans="1:4" x14ac:dyDescent="0.25">
      <c r="A715" s="17">
        <v>691</v>
      </c>
      <c r="B715" s="17">
        <v>0.95121839067565661</v>
      </c>
      <c r="C715" s="17">
        <v>1.8139816093243435</v>
      </c>
      <c r="D715" s="17">
        <v>1.7960173194690245</v>
      </c>
    </row>
    <row r="716" spans="1:4" x14ac:dyDescent="0.25">
      <c r="A716" s="17">
        <v>692</v>
      </c>
      <c r="B716" s="17">
        <v>-0.21597475500427343</v>
      </c>
      <c r="C716" s="17">
        <v>0.21597475500427343</v>
      </c>
      <c r="D716" s="17">
        <v>0.21383590581176515</v>
      </c>
    </row>
    <row r="717" spans="1:4" x14ac:dyDescent="0.25">
      <c r="A717" s="17">
        <v>693</v>
      </c>
      <c r="B717" s="17">
        <v>5.8377860826243286E-2</v>
      </c>
      <c r="C717" s="17">
        <v>1.2960221391737567</v>
      </c>
      <c r="D717" s="17">
        <v>1.2831873247261616</v>
      </c>
    </row>
    <row r="718" spans="1:4" x14ac:dyDescent="0.25">
      <c r="A718" s="17">
        <v>694</v>
      </c>
      <c r="B718" s="17">
        <v>-0.25353295028605333</v>
      </c>
      <c r="C718" s="17">
        <v>-0.19586704971394669</v>
      </c>
      <c r="D718" s="17">
        <v>-0.19392733189317007</v>
      </c>
    </row>
    <row r="719" spans="1:4" x14ac:dyDescent="0.25">
      <c r="A719" s="17">
        <v>695</v>
      </c>
      <c r="B719" s="17">
        <v>0.33806418486245648</v>
      </c>
      <c r="C719" s="17">
        <v>-1.2430641848624564</v>
      </c>
      <c r="D719" s="17">
        <v>-1.2307538255893256</v>
      </c>
    </row>
    <row r="720" spans="1:4" x14ac:dyDescent="0.25">
      <c r="A720" s="17">
        <v>696</v>
      </c>
      <c r="B720" s="17">
        <v>-0.81746147411751224</v>
      </c>
      <c r="C720" s="17">
        <v>-1.947738525882488</v>
      </c>
      <c r="D720" s="17">
        <v>-1.9284496095773458</v>
      </c>
    </row>
    <row r="721" spans="1:4" x14ac:dyDescent="0.25">
      <c r="A721" s="17">
        <v>697</v>
      </c>
      <c r="B721" s="17">
        <v>0.88421368134159362</v>
      </c>
      <c r="C721" s="17">
        <v>1.4253863186584064</v>
      </c>
      <c r="D721" s="17">
        <v>1.4112703800774618</v>
      </c>
    </row>
    <row r="722" spans="1:4" x14ac:dyDescent="0.25">
      <c r="A722" s="17">
        <v>698</v>
      </c>
      <c r="B722" s="17">
        <v>0.24594659939323887</v>
      </c>
      <c r="C722" s="17">
        <v>-0.24594659939323887</v>
      </c>
      <c r="D722" s="17">
        <v>-0.2435109319213532</v>
      </c>
    </row>
    <row r="723" spans="1:4" x14ac:dyDescent="0.25">
      <c r="A723" s="17">
        <v>699</v>
      </c>
      <c r="B723" s="17">
        <v>0.65241961223569733</v>
      </c>
      <c r="C723" s="17">
        <v>-0.19681961223569733</v>
      </c>
      <c r="D723" s="17">
        <v>-0.19487046096247659</v>
      </c>
    </row>
    <row r="724" spans="1:4" x14ac:dyDescent="0.25">
      <c r="A724" s="17">
        <v>700</v>
      </c>
      <c r="B724" s="17">
        <v>-0.12485723982362386</v>
      </c>
      <c r="C724" s="17">
        <v>-0.33074276017637616</v>
      </c>
      <c r="D724" s="17">
        <v>-0.32746733622454804</v>
      </c>
    </row>
    <row r="725" spans="1:4" x14ac:dyDescent="0.25">
      <c r="A725" s="17">
        <v>701</v>
      </c>
      <c r="B725" s="17">
        <v>-0.74445634305204067</v>
      </c>
      <c r="C725" s="17">
        <v>0.74445634305204067</v>
      </c>
      <c r="D725" s="17">
        <v>0.73708381542415646</v>
      </c>
    </row>
    <row r="726" spans="1:4" x14ac:dyDescent="0.25">
      <c r="A726" s="17">
        <v>702</v>
      </c>
      <c r="B726" s="17">
        <v>-0.37954180664563453</v>
      </c>
      <c r="C726" s="17">
        <v>-7.8158193354365468E-2</v>
      </c>
      <c r="D726" s="17">
        <v>-7.7384174239304618E-2</v>
      </c>
    </row>
    <row r="727" spans="1:4" x14ac:dyDescent="0.25">
      <c r="A727" s="17">
        <v>703</v>
      </c>
      <c r="B727" s="17">
        <v>-1.1573742533097158</v>
      </c>
      <c r="C727" s="17">
        <v>-1.1629257466902843</v>
      </c>
      <c r="D727" s="17">
        <v>-1.1514090173660334</v>
      </c>
    </row>
    <row r="728" spans="1:4" x14ac:dyDescent="0.25">
      <c r="A728" s="17">
        <v>704</v>
      </c>
      <c r="B728" s="17">
        <v>0.33784194702055248</v>
      </c>
      <c r="C728" s="17">
        <v>0.1305580529794475</v>
      </c>
      <c r="D728" s="17">
        <v>0.12926510563388843</v>
      </c>
    </row>
    <row r="729" spans="1:4" x14ac:dyDescent="0.25">
      <c r="A729" s="17">
        <v>705</v>
      </c>
      <c r="B729" s="17">
        <v>9.5602699345167186E-2</v>
      </c>
      <c r="C729" s="17">
        <v>-9.5602699345167186E-2</v>
      </c>
      <c r="D729" s="17">
        <v>-9.4655923152310861E-2</v>
      </c>
    </row>
    <row r="730" spans="1:4" x14ac:dyDescent="0.25">
      <c r="A730" s="17">
        <v>706</v>
      </c>
      <c r="B730" s="17">
        <v>-0.65611680089519142</v>
      </c>
      <c r="C730" s="17">
        <v>-0.28288319910480852</v>
      </c>
      <c r="D730" s="17">
        <v>-0.28008173973069089</v>
      </c>
    </row>
    <row r="731" spans="1:4" x14ac:dyDescent="0.25">
      <c r="A731" s="17">
        <v>707</v>
      </c>
      <c r="B731" s="17">
        <v>-0.56455481003073393</v>
      </c>
      <c r="C731" s="17">
        <v>-0.86064518996926609</v>
      </c>
      <c r="D731" s="17">
        <v>-0.85212201664947007</v>
      </c>
    </row>
    <row r="732" spans="1:4" x14ac:dyDescent="0.25">
      <c r="A732" s="17">
        <v>708</v>
      </c>
      <c r="B732" s="17">
        <v>0.24461317234181473</v>
      </c>
      <c r="C732" s="17">
        <v>0.23268682765818527</v>
      </c>
      <c r="D732" s="17">
        <v>0.23038247484882948</v>
      </c>
    </row>
    <row r="733" spans="1:4" x14ac:dyDescent="0.25">
      <c r="A733" s="17">
        <v>709</v>
      </c>
      <c r="B733" s="17">
        <v>-1.1684861454049169</v>
      </c>
      <c r="C733" s="17">
        <v>-0.75461385459508312</v>
      </c>
      <c r="D733" s="17">
        <v>-0.7471407347226966</v>
      </c>
    </row>
    <row r="734" spans="1:4" x14ac:dyDescent="0.25">
      <c r="A734" s="17">
        <v>710</v>
      </c>
      <c r="B734" s="17">
        <v>0.49174165253908858</v>
      </c>
      <c r="C734" s="17">
        <v>-7.4416525390885724E-3</v>
      </c>
      <c r="D734" s="17">
        <v>-7.3679560900575649E-3</v>
      </c>
    </row>
    <row r="735" spans="1:4" x14ac:dyDescent="0.25">
      <c r="A735" s="17">
        <v>711</v>
      </c>
      <c r="B735" s="17">
        <v>0.64730814187190477</v>
      </c>
      <c r="C735" s="17">
        <v>-0.16540814187190478</v>
      </c>
      <c r="D735" s="17">
        <v>-0.16377006583533274</v>
      </c>
    </row>
    <row r="736" spans="1:4" x14ac:dyDescent="0.25">
      <c r="A736" s="17">
        <v>712</v>
      </c>
      <c r="B736" s="17">
        <v>0.26694807545316906</v>
      </c>
      <c r="C736" s="17">
        <v>-0.26694807545316906</v>
      </c>
      <c r="D736" s="17">
        <v>-0.26430442538576487</v>
      </c>
    </row>
    <row r="737" spans="1:4" x14ac:dyDescent="0.25">
      <c r="A737" s="17">
        <v>713</v>
      </c>
      <c r="B737" s="17">
        <v>1.0009996672621577</v>
      </c>
      <c r="C737" s="17">
        <v>-4.4099667262157749E-2</v>
      </c>
      <c r="D737" s="17">
        <v>-4.3662937804070469E-2</v>
      </c>
    </row>
    <row r="738" spans="1:4" x14ac:dyDescent="0.25">
      <c r="A738" s="17">
        <v>714</v>
      </c>
      <c r="B738" s="17">
        <v>-0.6802296067417779</v>
      </c>
      <c r="C738" s="17">
        <v>-1.2428703932582221</v>
      </c>
      <c r="D738" s="17">
        <v>-1.2305619531492835</v>
      </c>
    </row>
    <row r="739" spans="1:4" x14ac:dyDescent="0.25">
      <c r="A739" s="17">
        <v>715</v>
      </c>
      <c r="B739" s="17">
        <v>-1.3591662137585687</v>
      </c>
      <c r="C739" s="17">
        <v>-0.60163378624143138</v>
      </c>
      <c r="D739" s="17">
        <v>-0.59567566424767004</v>
      </c>
    </row>
    <row r="740" spans="1:4" x14ac:dyDescent="0.25">
      <c r="A740" s="17">
        <v>716</v>
      </c>
      <c r="B740" s="17">
        <v>0.30972886001969357</v>
      </c>
      <c r="C740" s="17">
        <v>-1.3047288600196936</v>
      </c>
      <c r="D740" s="17">
        <v>-1.2918078208517585</v>
      </c>
    </row>
    <row r="741" spans="1:4" x14ac:dyDescent="0.25">
      <c r="A741" s="17">
        <v>717</v>
      </c>
      <c r="B741" s="17">
        <v>1.0363354841248975</v>
      </c>
      <c r="C741" s="17">
        <v>-4.1335484124897515E-2</v>
      </c>
      <c r="D741" s="17">
        <v>-4.0926129027628266E-2</v>
      </c>
    </row>
    <row r="742" spans="1:4" x14ac:dyDescent="0.25">
      <c r="A742" s="17">
        <v>718</v>
      </c>
      <c r="B742" s="17">
        <v>0.8904363409149062</v>
      </c>
      <c r="C742" s="17">
        <v>1.5546636590850937</v>
      </c>
      <c r="D742" s="17">
        <v>1.5392674563585744</v>
      </c>
    </row>
    <row r="743" spans="1:4" x14ac:dyDescent="0.25">
      <c r="A743" s="17">
        <v>719</v>
      </c>
      <c r="B743" s="17">
        <v>0.7152018025735839</v>
      </c>
      <c r="C743" s="17">
        <v>0.72369819742641617</v>
      </c>
      <c r="D743" s="17">
        <v>0.71653124263508161</v>
      </c>
    </row>
    <row r="744" spans="1:4" x14ac:dyDescent="0.25">
      <c r="A744" s="17">
        <v>720</v>
      </c>
      <c r="B744" s="17">
        <v>0.96010790435181759</v>
      </c>
      <c r="C744" s="17">
        <v>-0.96010790435181759</v>
      </c>
      <c r="D744" s="17">
        <v>-0.95059972819528915</v>
      </c>
    </row>
    <row r="745" spans="1:4" x14ac:dyDescent="0.25">
      <c r="A745" s="17">
        <v>721</v>
      </c>
      <c r="B745" s="17">
        <v>0.66064241238614618</v>
      </c>
      <c r="C745" s="17">
        <v>-0.66064241238614618</v>
      </c>
      <c r="D745" s="17">
        <v>-0.65409991398052991</v>
      </c>
    </row>
    <row r="746" spans="1:4" x14ac:dyDescent="0.25">
      <c r="A746" s="17">
        <v>722</v>
      </c>
      <c r="B746" s="17">
        <v>0.17505272782585546</v>
      </c>
      <c r="C746" s="17">
        <v>-0.65235272782585541</v>
      </c>
      <c r="D746" s="17">
        <v>-0.64589232413138986</v>
      </c>
    </row>
    <row r="747" spans="1:4" x14ac:dyDescent="0.25">
      <c r="A747" s="17">
        <v>723</v>
      </c>
      <c r="B747" s="17">
        <v>-0.21941944155378579</v>
      </c>
      <c r="C747" s="17">
        <v>-0.26018055844621424</v>
      </c>
      <c r="D747" s="17">
        <v>-0.25760392870387222</v>
      </c>
    </row>
    <row r="748" spans="1:4" x14ac:dyDescent="0.25">
      <c r="A748" s="17">
        <v>724</v>
      </c>
      <c r="B748" s="17">
        <v>0.4087358185879359</v>
      </c>
      <c r="C748" s="17">
        <v>0.54816418141206413</v>
      </c>
      <c r="D748" s="17">
        <v>0.54273558158912671</v>
      </c>
    </row>
    <row r="749" spans="1:4" x14ac:dyDescent="0.25">
      <c r="A749" s="17">
        <v>725</v>
      </c>
      <c r="B749" s="17">
        <v>-0.48966065730907804</v>
      </c>
      <c r="C749" s="17">
        <v>-0.46723934269092193</v>
      </c>
      <c r="D749" s="17">
        <v>-0.4626121607279059</v>
      </c>
    </row>
    <row r="750" spans="1:4" x14ac:dyDescent="0.25">
      <c r="A750" s="17">
        <v>726</v>
      </c>
      <c r="B750" s="17">
        <v>-3.1517346223934109E-2</v>
      </c>
      <c r="C750" s="17">
        <v>-0.93468265377606585</v>
      </c>
      <c r="D750" s="17">
        <v>-0.92542626990267807</v>
      </c>
    </row>
    <row r="751" spans="1:4" x14ac:dyDescent="0.25">
      <c r="A751" s="17">
        <v>727</v>
      </c>
      <c r="B751" s="17">
        <v>1.0887836148142469</v>
      </c>
      <c r="C751" s="17">
        <v>0.83431638518575313</v>
      </c>
      <c r="D751" s="17">
        <v>0.82605395226059175</v>
      </c>
    </row>
    <row r="752" spans="1:4" x14ac:dyDescent="0.25">
      <c r="A752" s="17">
        <v>728</v>
      </c>
      <c r="B752" s="17">
        <v>5.6044363486251039E-2</v>
      </c>
      <c r="C752" s="17">
        <v>-1.0129443634862509</v>
      </c>
      <c r="D752" s="17">
        <v>-1.0029129353507935</v>
      </c>
    </row>
    <row r="753" spans="1:4" x14ac:dyDescent="0.25">
      <c r="A753" s="17">
        <v>729</v>
      </c>
      <c r="B753" s="17">
        <v>-5.4407843940048509E-2</v>
      </c>
      <c r="C753" s="17">
        <v>1.0113078439400485</v>
      </c>
      <c r="D753" s="17">
        <v>1.0012926226455705</v>
      </c>
    </row>
    <row r="754" spans="1:4" x14ac:dyDescent="0.25">
      <c r="A754" s="17">
        <v>730</v>
      </c>
      <c r="B754" s="17">
        <v>-0.8862440861868075</v>
      </c>
      <c r="C754" s="17">
        <v>-1.0368559138131925</v>
      </c>
      <c r="D754" s="17">
        <v>-1.0265876839269592</v>
      </c>
    </row>
    <row r="755" spans="1:4" x14ac:dyDescent="0.25">
      <c r="A755" s="17">
        <v>731</v>
      </c>
      <c r="B755" s="17">
        <v>0.2795045135207464</v>
      </c>
      <c r="C755" s="17">
        <v>-0.76610451352074638</v>
      </c>
      <c r="D755" s="17">
        <v>-0.75851759892932402</v>
      </c>
    </row>
    <row r="756" spans="1:4" x14ac:dyDescent="0.25">
      <c r="A756" s="17">
        <v>732</v>
      </c>
      <c r="B756" s="17">
        <v>-0.76745795968910713</v>
      </c>
      <c r="C756" s="17">
        <v>0.27845795968910714</v>
      </c>
      <c r="D756" s="17">
        <v>0.27570032450986237</v>
      </c>
    </row>
    <row r="757" spans="1:4" x14ac:dyDescent="0.25">
      <c r="A757" s="17">
        <v>733</v>
      </c>
      <c r="B757" s="17">
        <v>0.59308210844732312</v>
      </c>
      <c r="C757" s="17">
        <v>0.86681789155267686</v>
      </c>
      <c r="D757" s="17">
        <v>0.85823358850595044</v>
      </c>
    </row>
    <row r="758" spans="1:4" x14ac:dyDescent="0.25">
      <c r="A758" s="17">
        <v>734</v>
      </c>
      <c r="B758" s="17">
        <v>2.0486308781607322E-2</v>
      </c>
      <c r="C758" s="17">
        <v>-2.4655863087816074</v>
      </c>
      <c r="D758" s="17">
        <v>-2.4411690231340666</v>
      </c>
    </row>
    <row r="759" spans="1:4" x14ac:dyDescent="0.25">
      <c r="A759" s="17">
        <v>735</v>
      </c>
      <c r="B759" s="17">
        <v>0.8463221292969576</v>
      </c>
      <c r="C759" s="17">
        <v>0.62787787070304235</v>
      </c>
      <c r="D759" s="17">
        <v>0.62165984732007584</v>
      </c>
    </row>
    <row r="760" spans="1:4" x14ac:dyDescent="0.25">
      <c r="A760" s="17">
        <v>736</v>
      </c>
      <c r="B760" s="17">
        <v>8.7157661352814289E-2</v>
      </c>
      <c r="C760" s="17">
        <v>-0.57615766135281432</v>
      </c>
      <c r="D760" s="17">
        <v>-0.57045183546257294</v>
      </c>
    </row>
    <row r="761" spans="1:4" x14ac:dyDescent="0.25">
      <c r="A761" s="17">
        <v>737</v>
      </c>
      <c r="B761" s="17">
        <v>0.70386767263647876</v>
      </c>
      <c r="C761" s="17">
        <v>1.2379323273635212</v>
      </c>
      <c r="D761" s="17">
        <v>1.2256727900916351</v>
      </c>
    </row>
    <row r="762" spans="1:4" x14ac:dyDescent="0.25">
      <c r="A762" s="17">
        <v>738</v>
      </c>
      <c r="B762" s="17">
        <v>-6.1822322468754604E-3</v>
      </c>
      <c r="C762" s="17">
        <v>-0.96001776775312453</v>
      </c>
      <c r="D762" s="17">
        <v>-0.95051048424069851</v>
      </c>
    </row>
    <row r="763" spans="1:4" x14ac:dyDescent="0.25">
      <c r="A763" s="17">
        <v>739</v>
      </c>
      <c r="B763" s="17">
        <v>0.29917256252925245</v>
      </c>
      <c r="C763" s="17">
        <v>-0.29917256252925245</v>
      </c>
      <c r="D763" s="17">
        <v>-0.2962097857279839</v>
      </c>
    </row>
    <row r="764" spans="1:4" x14ac:dyDescent="0.25">
      <c r="A764" s="17">
        <v>740</v>
      </c>
      <c r="B764" s="17">
        <v>0.30995109786159758</v>
      </c>
      <c r="C764" s="17">
        <v>0.65624890213840237</v>
      </c>
      <c r="D764" s="17">
        <v>0.64974991370618773</v>
      </c>
    </row>
    <row r="765" spans="1:4" x14ac:dyDescent="0.25">
      <c r="A765" s="17">
        <v>741</v>
      </c>
      <c r="B765" s="17">
        <v>0.71397949444311182</v>
      </c>
      <c r="C765" s="17">
        <v>-0.23437949444311179</v>
      </c>
      <c r="D765" s="17">
        <v>-0.23205837875336263</v>
      </c>
    </row>
    <row r="766" spans="1:4" x14ac:dyDescent="0.25">
      <c r="A766" s="17">
        <v>742</v>
      </c>
      <c r="B766" s="17">
        <v>1.2171259685138205</v>
      </c>
      <c r="C766" s="17">
        <v>0.20807403148617953</v>
      </c>
      <c r="D766" s="17">
        <v>0.2060134250314235</v>
      </c>
    </row>
    <row r="767" spans="1:4" x14ac:dyDescent="0.25">
      <c r="A767" s="17">
        <v>743</v>
      </c>
      <c r="B767" s="17">
        <v>-8.1409741731387333E-2</v>
      </c>
      <c r="C767" s="17">
        <v>-0.39139025826861268</v>
      </c>
      <c r="D767" s="17">
        <v>-0.38751422776756239</v>
      </c>
    </row>
    <row r="768" spans="1:4" x14ac:dyDescent="0.25">
      <c r="A768" s="17">
        <v>744</v>
      </c>
      <c r="B768" s="17">
        <v>8.5601996459486129E-2</v>
      </c>
      <c r="C768" s="17">
        <v>-1.0380019964594862</v>
      </c>
      <c r="D768" s="17">
        <v>-1.0277224166451444</v>
      </c>
    </row>
    <row r="769" spans="1:4" x14ac:dyDescent="0.25">
      <c r="A769" s="17">
        <v>745</v>
      </c>
      <c r="B769" s="17">
        <v>-0.78257013293858058</v>
      </c>
      <c r="C769" s="17">
        <v>-1.1498298670614193</v>
      </c>
      <c r="D769" s="17">
        <v>-1.1384428293373225</v>
      </c>
    </row>
    <row r="770" spans="1:4" x14ac:dyDescent="0.25">
      <c r="A770" s="17">
        <v>746</v>
      </c>
      <c r="B770" s="17">
        <v>-0.5343304635317867</v>
      </c>
      <c r="C770" s="17">
        <v>0.5343304635317867</v>
      </c>
      <c r="D770" s="17">
        <v>0.52903886229610098</v>
      </c>
    </row>
    <row r="771" spans="1:4" x14ac:dyDescent="0.25">
      <c r="A771" s="17">
        <v>747</v>
      </c>
      <c r="B771" s="17">
        <v>0.23283456672090153</v>
      </c>
      <c r="C771" s="17">
        <v>-0.72183456672090152</v>
      </c>
      <c r="D771" s="17">
        <v>-0.71468606790619038</v>
      </c>
    </row>
    <row r="772" spans="1:4" x14ac:dyDescent="0.25">
      <c r="A772" s="17">
        <v>748</v>
      </c>
      <c r="B772" s="17">
        <v>0.64141883906144814</v>
      </c>
      <c r="C772" s="17">
        <v>1.3003811609385518</v>
      </c>
      <c r="D772" s="17">
        <v>1.2875031780651767</v>
      </c>
    </row>
    <row r="773" spans="1:4" x14ac:dyDescent="0.25">
      <c r="A773" s="17">
        <v>749</v>
      </c>
      <c r="B773" s="17">
        <v>-0.46577008930439556</v>
      </c>
      <c r="C773" s="17">
        <v>-2.4612299106956046</v>
      </c>
      <c r="D773" s="17">
        <v>-2.4368557674909308</v>
      </c>
    </row>
    <row r="774" spans="1:4" x14ac:dyDescent="0.25">
      <c r="A774" s="17">
        <v>750</v>
      </c>
      <c r="B774" s="17">
        <v>0.26350338890365671</v>
      </c>
      <c r="C774" s="17">
        <v>0.7216966110963432</v>
      </c>
      <c r="D774" s="17">
        <v>0.71454947848888251</v>
      </c>
    </row>
    <row r="775" spans="1:4" x14ac:dyDescent="0.25">
      <c r="A775" s="17">
        <v>751</v>
      </c>
      <c r="B775" s="17">
        <v>0.55130139416936674</v>
      </c>
      <c r="C775" s="17">
        <v>0.42429860583063328</v>
      </c>
      <c r="D775" s="17">
        <v>0.4200966761632271</v>
      </c>
    </row>
    <row r="776" spans="1:4" x14ac:dyDescent="0.25">
      <c r="A776" s="17">
        <v>752</v>
      </c>
      <c r="B776" s="17">
        <v>-0.16230431618445179</v>
      </c>
      <c r="C776" s="17">
        <v>0.6466043161844518</v>
      </c>
      <c r="D776" s="17">
        <v>0.64020084037304914</v>
      </c>
    </row>
    <row r="777" spans="1:4" x14ac:dyDescent="0.25">
      <c r="A777" s="17">
        <v>753</v>
      </c>
      <c r="B777" s="17">
        <v>0.77731727938575834</v>
      </c>
      <c r="C777" s="17">
        <v>0.66158272061424173</v>
      </c>
      <c r="D777" s="17">
        <v>0.65503091011335612</v>
      </c>
    </row>
    <row r="778" spans="1:4" x14ac:dyDescent="0.25">
      <c r="A778" s="17">
        <v>754</v>
      </c>
      <c r="B778" s="17">
        <v>0.19572084712292964</v>
      </c>
      <c r="C778" s="17">
        <v>1.6910791528770703</v>
      </c>
      <c r="D778" s="17">
        <v>1.6743319951802036</v>
      </c>
    </row>
    <row r="779" spans="1:4" x14ac:dyDescent="0.25">
      <c r="A779" s="17">
        <v>755</v>
      </c>
      <c r="B779" s="17">
        <v>-0.13574689407692103</v>
      </c>
      <c r="C779" s="17">
        <v>0.60194689407692104</v>
      </c>
      <c r="D779" s="17">
        <v>0.59598567130204705</v>
      </c>
    </row>
    <row r="780" spans="1:4" x14ac:dyDescent="0.25">
      <c r="A780" s="17">
        <v>756</v>
      </c>
      <c r="B780" s="17">
        <v>0.40217980225176719</v>
      </c>
      <c r="C780" s="17">
        <v>-0.40217980225176719</v>
      </c>
      <c r="D780" s="17">
        <v>-0.39819692033914589</v>
      </c>
    </row>
    <row r="781" spans="1:4" x14ac:dyDescent="0.25">
      <c r="A781" s="17">
        <v>757</v>
      </c>
      <c r="B781" s="17">
        <v>-0.20719636024906446</v>
      </c>
      <c r="C781" s="17">
        <v>-0.72740363975093558</v>
      </c>
      <c r="D781" s="17">
        <v>-0.72019998908593963</v>
      </c>
    </row>
    <row r="782" spans="1:4" x14ac:dyDescent="0.25">
      <c r="A782" s="17">
        <v>758</v>
      </c>
      <c r="B782" s="17">
        <v>0.39995742383272698</v>
      </c>
      <c r="C782" s="17">
        <v>0.53464257616727306</v>
      </c>
      <c r="D782" s="17">
        <v>0.52934788400617627</v>
      </c>
    </row>
    <row r="783" spans="1:4" x14ac:dyDescent="0.25">
      <c r="A783" s="17">
        <v>759</v>
      </c>
      <c r="B783" s="17">
        <v>-0.31742632983346003</v>
      </c>
      <c r="C783" s="17">
        <v>0.31742632983346003</v>
      </c>
      <c r="D783" s="17">
        <v>0.31428278164778561</v>
      </c>
    </row>
    <row r="784" spans="1:4" x14ac:dyDescent="0.25">
      <c r="A784" s="17">
        <v>760</v>
      </c>
      <c r="B784" s="17">
        <v>0.11371508346034506</v>
      </c>
      <c r="C784" s="17">
        <v>0.35028491653965499</v>
      </c>
      <c r="D784" s="17">
        <v>0.34681596198117498</v>
      </c>
    </row>
    <row r="785" spans="1:4" x14ac:dyDescent="0.25">
      <c r="A785" s="17">
        <v>761</v>
      </c>
      <c r="B785" s="17">
        <v>-1.6959676631641158</v>
      </c>
      <c r="C785" s="17">
        <v>-1.1211323368358841</v>
      </c>
      <c r="D785" s="17">
        <v>-1.1100294975559464</v>
      </c>
    </row>
    <row r="786" spans="1:4" x14ac:dyDescent="0.25">
      <c r="A786" s="17">
        <v>762</v>
      </c>
      <c r="B786" s="17">
        <v>-2.5596950357241024</v>
      </c>
      <c r="C786" s="17">
        <v>-1.8206049642758977</v>
      </c>
      <c r="D786" s="17">
        <v>-1.8025750817665227</v>
      </c>
    </row>
    <row r="787" spans="1:4" x14ac:dyDescent="0.25">
      <c r="A787" s="17">
        <v>763</v>
      </c>
      <c r="B787" s="17">
        <v>0.69608934816983792</v>
      </c>
      <c r="C787" s="17">
        <v>0.78541065183016212</v>
      </c>
      <c r="D787" s="17">
        <v>0.77763254397481996</v>
      </c>
    </row>
    <row r="788" spans="1:4" x14ac:dyDescent="0.25">
      <c r="A788" s="17">
        <v>764</v>
      </c>
      <c r="B788" s="17">
        <v>1.0882280202094869</v>
      </c>
      <c r="C788" s="17">
        <v>0.85357197979051302</v>
      </c>
      <c r="D788" s="17">
        <v>0.8451188541477197</v>
      </c>
    </row>
    <row r="789" spans="1:4" x14ac:dyDescent="0.25">
      <c r="A789" s="17">
        <v>765</v>
      </c>
      <c r="B789" s="17">
        <v>0.13316089462694711</v>
      </c>
      <c r="C789" s="17">
        <v>-1.0993608946269471</v>
      </c>
      <c r="D789" s="17">
        <v>-1.0884736630998109</v>
      </c>
    </row>
    <row r="790" spans="1:4" x14ac:dyDescent="0.25">
      <c r="A790" s="17">
        <v>766</v>
      </c>
      <c r="B790" s="17">
        <v>0.58230357311497805</v>
      </c>
      <c r="C790" s="17">
        <v>0.86349642688502193</v>
      </c>
      <c r="D790" s="17">
        <v>0.85494501709020454</v>
      </c>
    </row>
    <row r="791" spans="1:4" x14ac:dyDescent="0.25">
      <c r="A791" s="17">
        <v>767</v>
      </c>
      <c r="B791" s="17">
        <v>1.1257862154912668</v>
      </c>
      <c r="C791" s="17">
        <v>-0.64848621549126673</v>
      </c>
      <c r="D791" s="17">
        <v>-0.64206410278495152</v>
      </c>
    </row>
    <row r="792" spans="1:4" x14ac:dyDescent="0.25">
      <c r="A792" s="17">
        <v>768</v>
      </c>
      <c r="B792" s="17">
        <v>-0.49277198709573422</v>
      </c>
      <c r="C792" s="17">
        <v>0.49277198709573422</v>
      </c>
      <c r="D792" s="17">
        <v>0.4878919493030322</v>
      </c>
    </row>
    <row r="793" spans="1:4" x14ac:dyDescent="0.25">
      <c r="A793" s="17">
        <v>769</v>
      </c>
      <c r="B793" s="17">
        <v>0.67397668290038759</v>
      </c>
      <c r="C793" s="17">
        <v>1.6790233170996127</v>
      </c>
      <c r="D793" s="17">
        <v>1.6623955512021122</v>
      </c>
    </row>
    <row r="794" spans="1:4" x14ac:dyDescent="0.25">
      <c r="A794" s="17">
        <v>770</v>
      </c>
      <c r="B794" s="17">
        <v>0.14882866248118073</v>
      </c>
      <c r="C794" s="17">
        <v>0.77707133751881918</v>
      </c>
      <c r="D794" s="17">
        <v>0.7693758158698164</v>
      </c>
    </row>
    <row r="795" spans="1:4" x14ac:dyDescent="0.25">
      <c r="A795" s="17">
        <v>771</v>
      </c>
      <c r="B795" s="17">
        <v>0.54963461035508665</v>
      </c>
      <c r="C795" s="17">
        <v>-1.0115346103550866</v>
      </c>
      <c r="D795" s="17">
        <v>-1.0015171433390488</v>
      </c>
    </row>
    <row r="796" spans="1:4" x14ac:dyDescent="0.25">
      <c r="A796" s="17">
        <v>772</v>
      </c>
      <c r="B796" s="17">
        <v>0.3418422281748249</v>
      </c>
      <c r="C796" s="17">
        <v>-0.3418422281748249</v>
      </c>
      <c r="D796" s="17">
        <v>-0.33845688356043935</v>
      </c>
    </row>
    <row r="797" spans="1:4" x14ac:dyDescent="0.25">
      <c r="A797" s="17">
        <v>773</v>
      </c>
      <c r="B797" s="17">
        <v>-0.60855790272773047</v>
      </c>
      <c r="C797" s="17">
        <v>-0.79004209727226959</v>
      </c>
      <c r="D797" s="17">
        <v>-0.7822181231148968</v>
      </c>
    </row>
    <row r="798" spans="1:4" x14ac:dyDescent="0.25">
      <c r="A798" s="17">
        <v>774</v>
      </c>
      <c r="B798" s="17">
        <v>1.0745603929323895</v>
      </c>
      <c r="C798" s="17">
        <v>-0.13996039293238949</v>
      </c>
      <c r="D798" s="17">
        <v>-0.13857433198558736</v>
      </c>
    </row>
    <row r="799" spans="1:4" x14ac:dyDescent="0.25">
      <c r="A799" s="17">
        <v>775</v>
      </c>
      <c r="B799" s="17">
        <v>-0.46188092707107509</v>
      </c>
      <c r="C799" s="17">
        <v>-4.3190729289249163E-3</v>
      </c>
      <c r="D799" s="17">
        <v>-4.2763001259358228E-3</v>
      </c>
    </row>
    <row r="800" spans="1:4" x14ac:dyDescent="0.25">
      <c r="A800" s="17">
        <v>776</v>
      </c>
      <c r="B800" s="17">
        <v>0.26694807545316906</v>
      </c>
      <c r="C800" s="17">
        <v>0.66325192454683091</v>
      </c>
      <c r="D800" s="17">
        <v>0.65668358352374012</v>
      </c>
    </row>
    <row r="801" spans="1:4" x14ac:dyDescent="0.25">
      <c r="A801" s="17">
        <v>777</v>
      </c>
      <c r="B801" s="17">
        <v>0.39884623462320684</v>
      </c>
      <c r="C801" s="17">
        <v>-0.86284623462320686</v>
      </c>
      <c r="D801" s="17">
        <v>-0.85430126383647698</v>
      </c>
    </row>
    <row r="802" spans="1:4" x14ac:dyDescent="0.25">
      <c r="A802" s="17">
        <v>778</v>
      </c>
      <c r="B802" s="17">
        <v>0.57141391886168091</v>
      </c>
      <c r="C802" s="17">
        <v>-0.10741391886168089</v>
      </c>
      <c r="D802" s="17">
        <v>-0.10635017336227329</v>
      </c>
    </row>
    <row r="803" spans="1:4" x14ac:dyDescent="0.25">
      <c r="A803" s="17">
        <v>779</v>
      </c>
      <c r="B803" s="17">
        <v>-0.41243300724742993</v>
      </c>
      <c r="C803" s="17">
        <v>0.41243300724742993</v>
      </c>
      <c r="D803" s="17">
        <v>0.40834858541536223</v>
      </c>
    </row>
    <row r="804" spans="1:4" x14ac:dyDescent="0.25">
      <c r="A804" s="17">
        <v>780</v>
      </c>
      <c r="B804" s="17">
        <v>-0.5422199069193796</v>
      </c>
      <c r="C804" s="17">
        <v>7.8219906919379578E-2</v>
      </c>
      <c r="D804" s="17">
        <v>7.7445276640256092E-2</v>
      </c>
    </row>
    <row r="805" spans="1:4" x14ac:dyDescent="0.25">
      <c r="A805" s="17">
        <v>781</v>
      </c>
      <c r="B805" s="17">
        <v>1.0858945228694947</v>
      </c>
      <c r="C805" s="17">
        <v>1.2131054771305052</v>
      </c>
      <c r="D805" s="17">
        <v>1.2010918060413234</v>
      </c>
    </row>
    <row r="806" spans="1:4" x14ac:dyDescent="0.25">
      <c r="A806" s="17">
        <v>782</v>
      </c>
      <c r="B806" s="17">
        <v>1.1082294259808489</v>
      </c>
      <c r="C806" s="17">
        <v>1.5824705740191511</v>
      </c>
      <c r="D806" s="17">
        <v>1.5667989928228117</v>
      </c>
    </row>
    <row r="807" spans="1:4" x14ac:dyDescent="0.25">
      <c r="A807" s="17">
        <v>783</v>
      </c>
      <c r="B807" s="17">
        <v>7.4490104364284965E-2</v>
      </c>
      <c r="C807" s="17">
        <v>1.244209895635715</v>
      </c>
      <c r="D807" s="17">
        <v>1.2318881901172223</v>
      </c>
    </row>
    <row r="808" spans="1:4" x14ac:dyDescent="0.25">
      <c r="A808" s="17">
        <v>784</v>
      </c>
      <c r="B808" s="17">
        <v>-0.5507760638326844</v>
      </c>
      <c r="C808" s="17">
        <v>-0.76792393616731558</v>
      </c>
      <c r="D808" s="17">
        <v>-0.7603190034021563</v>
      </c>
    </row>
    <row r="809" spans="1:4" x14ac:dyDescent="0.25">
      <c r="A809" s="17">
        <v>785</v>
      </c>
      <c r="B809" s="17">
        <v>0.54685663733128631</v>
      </c>
      <c r="C809" s="17">
        <v>0.33424336266871368</v>
      </c>
      <c r="D809" s="17">
        <v>0.33093327142063661</v>
      </c>
    </row>
    <row r="810" spans="1:4" x14ac:dyDescent="0.25">
      <c r="A810" s="17">
        <v>786</v>
      </c>
      <c r="B810" s="17">
        <v>-0.15263697006162674</v>
      </c>
      <c r="C810" s="17">
        <v>-0.7284630299383732</v>
      </c>
      <c r="D810" s="17">
        <v>-0.72124888788123787</v>
      </c>
    </row>
    <row r="811" spans="1:4" x14ac:dyDescent="0.25">
      <c r="A811" s="17">
        <v>787</v>
      </c>
      <c r="B811" s="17">
        <v>0.87621311903304877</v>
      </c>
      <c r="C811" s="17">
        <v>2.1740868809669514</v>
      </c>
      <c r="D811" s="17">
        <v>2.1525563832487942</v>
      </c>
    </row>
    <row r="812" spans="1:4" x14ac:dyDescent="0.25">
      <c r="A812" s="17">
        <v>788</v>
      </c>
      <c r="B812" s="17">
        <v>-0.6945639475445875</v>
      </c>
      <c r="C812" s="17">
        <v>-0.60133605245541255</v>
      </c>
      <c r="D812" s="17">
        <v>-0.59538087898990766</v>
      </c>
    </row>
    <row r="813" spans="1:4" x14ac:dyDescent="0.25">
      <c r="A813" s="17">
        <v>789</v>
      </c>
      <c r="B813" s="17">
        <v>0.23161225859042939</v>
      </c>
      <c r="C813" s="17">
        <v>-1.1050122585904294</v>
      </c>
      <c r="D813" s="17">
        <v>-1.0940690602663885</v>
      </c>
    </row>
    <row r="814" spans="1:4" x14ac:dyDescent="0.25">
      <c r="A814" s="17">
        <v>790</v>
      </c>
      <c r="B814" s="17">
        <v>0.47818514418294317</v>
      </c>
      <c r="C814" s="17">
        <v>-4.0585144182943178E-2</v>
      </c>
      <c r="D814" s="17">
        <v>-4.0183219879976369E-2</v>
      </c>
    </row>
    <row r="815" spans="1:4" x14ac:dyDescent="0.25">
      <c r="A815" s="17">
        <v>791</v>
      </c>
      <c r="B815" s="17">
        <v>-0.46965925153771593</v>
      </c>
      <c r="C815" s="17">
        <v>0.46965925153771593</v>
      </c>
      <c r="D815" s="17">
        <v>0.46500810464378561</v>
      </c>
    </row>
    <row r="816" spans="1:4" x14ac:dyDescent="0.25">
      <c r="A816" s="17">
        <v>792</v>
      </c>
      <c r="B816" s="17">
        <v>-1.1121488524822469</v>
      </c>
      <c r="C816" s="17">
        <v>-1.0954511475177529</v>
      </c>
      <c r="D816" s="17">
        <v>-1.0846026351429883</v>
      </c>
    </row>
    <row r="817" spans="1:4" x14ac:dyDescent="0.25">
      <c r="A817" s="17">
        <v>793</v>
      </c>
      <c r="B817" s="17">
        <v>-0.18863950045007855</v>
      </c>
      <c r="C817" s="17">
        <v>0.63403950045007851</v>
      </c>
      <c r="D817" s="17">
        <v>0.62776045698720173</v>
      </c>
    </row>
    <row r="818" spans="1:4" x14ac:dyDescent="0.25">
      <c r="A818" s="17">
        <v>794</v>
      </c>
      <c r="B818" s="17">
        <v>0.43718226235165086</v>
      </c>
      <c r="C818" s="17">
        <v>-0.43718226235165086</v>
      </c>
      <c r="D818" s="17">
        <v>-0.43285274277983204</v>
      </c>
    </row>
    <row r="819" spans="1:4" x14ac:dyDescent="0.25">
      <c r="A819" s="17">
        <v>795</v>
      </c>
      <c r="B819" s="17">
        <v>1.1506768537845176</v>
      </c>
      <c r="C819" s="17">
        <v>-0.26567685378451755</v>
      </c>
      <c r="D819" s="17">
        <v>-0.26304579292662278</v>
      </c>
    </row>
    <row r="820" spans="1:4" x14ac:dyDescent="0.25">
      <c r="A820" s="17">
        <v>796</v>
      </c>
      <c r="B820" s="17">
        <v>0.68397738578606859</v>
      </c>
      <c r="C820" s="17">
        <v>1.0628226142139314</v>
      </c>
      <c r="D820" s="17">
        <v>1.0522972299385978</v>
      </c>
    </row>
    <row r="821" spans="1:4" x14ac:dyDescent="0.25">
      <c r="A821" s="17">
        <v>797</v>
      </c>
      <c r="B821" s="17">
        <v>0.60897211414346075</v>
      </c>
      <c r="C821" s="17">
        <v>-0.17697211414346076</v>
      </c>
      <c r="D821" s="17">
        <v>-0.17521951734841062</v>
      </c>
    </row>
    <row r="822" spans="1:4" x14ac:dyDescent="0.25">
      <c r="A822" s="17">
        <v>798</v>
      </c>
      <c r="B822" s="17">
        <v>9.8188923702142022E-3</v>
      </c>
      <c r="C822" s="17">
        <v>1.2749811076297857</v>
      </c>
      <c r="D822" s="17">
        <v>1.2623546675050437</v>
      </c>
    </row>
    <row r="823" spans="1:4" x14ac:dyDescent="0.25">
      <c r="A823" s="17">
        <v>799</v>
      </c>
      <c r="B823" s="17">
        <v>1.0134449864087831</v>
      </c>
      <c r="C823" s="17">
        <v>-0.16594498640878308</v>
      </c>
      <c r="D823" s="17">
        <v>-0.16430159387351106</v>
      </c>
    </row>
    <row r="824" spans="1:4" x14ac:dyDescent="0.25">
      <c r="A824" s="17">
        <v>800</v>
      </c>
      <c r="B824" s="17">
        <v>0.37162209898996396</v>
      </c>
      <c r="C824" s="17">
        <v>0.46867790101003609</v>
      </c>
      <c r="D824" s="17">
        <v>0.46403647266299636</v>
      </c>
    </row>
    <row r="825" spans="1:4" x14ac:dyDescent="0.25">
      <c r="A825" s="17">
        <v>801</v>
      </c>
      <c r="B825" s="17">
        <v>0.4760738846848549</v>
      </c>
      <c r="C825" s="17">
        <v>-5.8573884684854916E-2</v>
      </c>
      <c r="D825" s="17">
        <v>-5.7993813620726163E-2</v>
      </c>
    </row>
    <row r="826" spans="1:4" x14ac:dyDescent="0.25">
      <c r="A826" s="17">
        <v>802</v>
      </c>
      <c r="B826" s="17">
        <v>-0.13896934278452933</v>
      </c>
      <c r="C826" s="17">
        <v>-1.1189306572154707</v>
      </c>
      <c r="D826" s="17">
        <v>-1.1078496216906903</v>
      </c>
    </row>
    <row r="827" spans="1:4" x14ac:dyDescent="0.25">
      <c r="A827" s="17">
        <v>803</v>
      </c>
      <c r="B827" s="17">
        <v>-7.9076244391395059E-2</v>
      </c>
      <c r="C827" s="17">
        <v>-0.76842375560860499</v>
      </c>
      <c r="D827" s="17">
        <v>-0.7608138730130436</v>
      </c>
    </row>
    <row r="828" spans="1:4" x14ac:dyDescent="0.25">
      <c r="A828" s="17">
        <v>804</v>
      </c>
      <c r="B828" s="17">
        <v>0.22005589081142019</v>
      </c>
      <c r="C828" s="17">
        <v>1.0484441091885799</v>
      </c>
      <c r="D828" s="17">
        <v>1.0380611186567297</v>
      </c>
    </row>
    <row r="829" spans="1:4" x14ac:dyDescent="0.25">
      <c r="A829" s="17">
        <v>805</v>
      </c>
      <c r="B829" s="17">
        <v>0.60008260046729989</v>
      </c>
      <c r="C829" s="17">
        <v>-0.60008260046729989</v>
      </c>
      <c r="D829" s="17">
        <v>-0.59413984023394595</v>
      </c>
    </row>
    <row r="830" spans="1:4" x14ac:dyDescent="0.25">
      <c r="A830" s="17">
        <v>806</v>
      </c>
      <c r="B830" s="17">
        <v>0.29017192993213953</v>
      </c>
      <c r="C830" s="17">
        <v>0.12912807006786048</v>
      </c>
      <c r="D830" s="17">
        <v>0.12784928418203167</v>
      </c>
    </row>
    <row r="831" spans="1:4" x14ac:dyDescent="0.25">
      <c r="A831" s="17">
        <v>807</v>
      </c>
      <c r="B831" s="17">
        <v>-0.42621175344547935</v>
      </c>
      <c r="C831" s="17">
        <v>0.84371175344547933</v>
      </c>
      <c r="D831" s="17">
        <v>0.83535627596140527</v>
      </c>
    </row>
    <row r="832" spans="1:4" x14ac:dyDescent="0.25">
      <c r="A832" s="17">
        <v>808</v>
      </c>
      <c r="B832" s="17">
        <v>-0.56111012348122147</v>
      </c>
      <c r="C832" s="17">
        <v>0.97691012348122142</v>
      </c>
      <c r="D832" s="17">
        <v>0.96723555096593072</v>
      </c>
    </row>
    <row r="833" spans="1:4" x14ac:dyDescent="0.25">
      <c r="A833" s="17">
        <v>809</v>
      </c>
      <c r="B833" s="17">
        <v>0.81365316653706621</v>
      </c>
      <c r="C833" s="17">
        <v>0.83244683346293369</v>
      </c>
      <c r="D833" s="17">
        <v>0.82420291515163357</v>
      </c>
    </row>
    <row r="834" spans="1:4" x14ac:dyDescent="0.25">
      <c r="A834" s="17">
        <v>810</v>
      </c>
      <c r="B834" s="17">
        <v>0.16082950594399797</v>
      </c>
      <c r="C834" s="17">
        <v>-1.3928295059439979</v>
      </c>
      <c r="D834" s="17">
        <v>-1.3790359851964871</v>
      </c>
    </row>
    <row r="835" spans="1:4" x14ac:dyDescent="0.25">
      <c r="A835" s="17">
        <v>811</v>
      </c>
      <c r="B835" s="17">
        <v>0.3252855089529752</v>
      </c>
      <c r="C835" s="17">
        <v>-1.1551855089529752</v>
      </c>
      <c r="D835" s="17">
        <v>-1.1437454330377488</v>
      </c>
    </row>
    <row r="836" spans="1:4" x14ac:dyDescent="0.25">
      <c r="A836" s="17">
        <v>812</v>
      </c>
      <c r="B836" s="17">
        <v>0.35139845537669789</v>
      </c>
      <c r="C836" s="17">
        <v>2.1179015446233023</v>
      </c>
      <c r="D836" s="17">
        <v>2.0969274636088802</v>
      </c>
    </row>
    <row r="837" spans="1:4" x14ac:dyDescent="0.25">
      <c r="A837" s="17">
        <v>813</v>
      </c>
      <c r="B837" s="17">
        <v>-0.11963465053887933</v>
      </c>
      <c r="C837" s="17">
        <v>-1.1073653494611209</v>
      </c>
      <c r="D837" s="17">
        <v>-1.0963988479204214</v>
      </c>
    </row>
    <row r="838" spans="1:4" x14ac:dyDescent="0.25">
      <c r="A838" s="17">
        <v>814</v>
      </c>
      <c r="B838" s="17">
        <v>0.36384377452332323</v>
      </c>
      <c r="C838" s="17">
        <v>-0.36384377452332323</v>
      </c>
      <c r="D838" s="17">
        <v>-0.36024054338029921</v>
      </c>
    </row>
    <row r="839" spans="1:4" x14ac:dyDescent="0.25">
      <c r="A839" s="17">
        <v>815</v>
      </c>
      <c r="B839" s="17">
        <v>-0.14819221322354631</v>
      </c>
      <c r="C839" s="17">
        <v>-0.26420778677645368</v>
      </c>
      <c r="D839" s="17">
        <v>-0.26159127443736091</v>
      </c>
    </row>
    <row r="840" spans="1:4" x14ac:dyDescent="0.25">
      <c r="A840" s="17">
        <v>816</v>
      </c>
      <c r="B840" s="17">
        <v>-7.0075611794282136E-2</v>
      </c>
      <c r="C840" s="17">
        <v>7.0075611794282136E-2</v>
      </c>
      <c r="D840" s="17">
        <v>6.9381636400270189E-2</v>
      </c>
    </row>
    <row r="841" spans="1:4" x14ac:dyDescent="0.25">
      <c r="A841" s="17">
        <v>817</v>
      </c>
      <c r="B841" s="17">
        <v>-2.0766610863457076</v>
      </c>
      <c r="C841" s="17">
        <v>-1.1138913654292537E-2</v>
      </c>
      <c r="D841" s="17">
        <v>-1.1028602352055238E-2</v>
      </c>
    </row>
    <row r="842" spans="1:4" x14ac:dyDescent="0.25">
      <c r="A842" s="17">
        <v>818</v>
      </c>
      <c r="B842" s="17">
        <v>0.5220771179589877</v>
      </c>
      <c r="C842" s="17">
        <v>-0.10097711795898773</v>
      </c>
      <c r="D842" s="17">
        <v>-9.997711762467032E-2</v>
      </c>
    </row>
    <row r="843" spans="1:4" x14ac:dyDescent="0.25">
      <c r="A843" s="17">
        <v>819</v>
      </c>
      <c r="B843" s="17">
        <v>0.85654507002454272</v>
      </c>
      <c r="C843" s="17">
        <v>0.39605492997545722</v>
      </c>
      <c r="D843" s="17">
        <v>0.39213270412480089</v>
      </c>
    </row>
    <row r="844" spans="1:4" x14ac:dyDescent="0.25">
      <c r="A844" s="17">
        <v>820</v>
      </c>
      <c r="B844" s="17">
        <v>-0.94269249803042943</v>
      </c>
      <c r="C844" s="17">
        <v>-0.73100750196957054</v>
      </c>
      <c r="D844" s="17">
        <v>-0.72376816140277989</v>
      </c>
    </row>
    <row r="845" spans="1:4" x14ac:dyDescent="0.25">
      <c r="A845" s="17">
        <v>821</v>
      </c>
      <c r="B845" s="17">
        <v>1.0272237326068325</v>
      </c>
      <c r="C845" s="17">
        <v>-1.4500237326068326</v>
      </c>
      <c r="D845" s="17">
        <v>-1.4356638038756131</v>
      </c>
    </row>
    <row r="846" spans="1:4" x14ac:dyDescent="0.25">
      <c r="A846" s="17">
        <v>822</v>
      </c>
      <c r="B846" s="17">
        <v>0.11127046719940081</v>
      </c>
      <c r="C846" s="17">
        <v>-0.96237046719940078</v>
      </c>
      <c r="D846" s="17">
        <v>-0.95283988434668487</v>
      </c>
    </row>
    <row r="847" spans="1:4" x14ac:dyDescent="0.25">
      <c r="A847" s="17">
        <v>823</v>
      </c>
      <c r="B847" s="17">
        <v>0.59663791391778753</v>
      </c>
      <c r="C847" s="17">
        <v>0.25446208608221244</v>
      </c>
      <c r="D847" s="17">
        <v>0.25194208772717253</v>
      </c>
    </row>
    <row r="848" spans="1:4" x14ac:dyDescent="0.25">
      <c r="A848" s="17">
        <v>824</v>
      </c>
      <c r="B848" s="17">
        <v>-0.16697131086443628</v>
      </c>
      <c r="C848" s="17">
        <v>0.58977131086443624</v>
      </c>
      <c r="D848" s="17">
        <v>0.58393066577616193</v>
      </c>
    </row>
    <row r="849" spans="1:4" x14ac:dyDescent="0.25">
      <c r="A849" s="17">
        <v>825</v>
      </c>
      <c r="B849" s="17">
        <v>0.54207852373034981</v>
      </c>
      <c r="C849" s="17">
        <v>0.29822147626965023</v>
      </c>
      <c r="D849" s="17">
        <v>0.29526811830105176</v>
      </c>
    </row>
    <row r="850" spans="1:4" x14ac:dyDescent="0.25">
      <c r="A850" s="17">
        <v>826</v>
      </c>
      <c r="B850" s="17">
        <v>-0.44165728345780897</v>
      </c>
      <c r="C850" s="17">
        <v>0.85915728345780895</v>
      </c>
      <c r="D850" s="17">
        <v>0.85064884522888262</v>
      </c>
    </row>
    <row r="851" spans="1:4" x14ac:dyDescent="0.25">
      <c r="A851" s="17">
        <v>827</v>
      </c>
      <c r="B851" s="17">
        <v>-0.94591494673803767</v>
      </c>
      <c r="C851" s="17">
        <v>-0.31198505326196235</v>
      </c>
      <c r="D851" s="17">
        <v>-0.30889539132795157</v>
      </c>
    </row>
    <row r="852" spans="1:4" x14ac:dyDescent="0.25">
      <c r="A852" s="17">
        <v>828</v>
      </c>
      <c r="B852" s="17">
        <v>0.18994266323342501</v>
      </c>
      <c r="C852" s="17">
        <v>1.4837573367665748</v>
      </c>
      <c r="D852" s="17">
        <v>1.4690633361572969</v>
      </c>
    </row>
    <row r="853" spans="1:4" x14ac:dyDescent="0.25">
      <c r="A853" s="17">
        <v>829</v>
      </c>
      <c r="B853" s="17">
        <v>0.79098490666285592</v>
      </c>
      <c r="C853" s="17">
        <v>0.44611509333714416</v>
      </c>
      <c r="D853" s="17">
        <v>0.44169710982267724</v>
      </c>
    </row>
    <row r="854" spans="1:4" x14ac:dyDescent="0.25">
      <c r="A854" s="17">
        <v>830</v>
      </c>
      <c r="B854" s="17">
        <v>0.14093921909358792</v>
      </c>
      <c r="C854" s="17">
        <v>-0.14093921909358792</v>
      </c>
      <c r="D854" s="17">
        <v>-0.13954346459929481</v>
      </c>
    </row>
    <row r="855" spans="1:4" x14ac:dyDescent="0.25">
      <c r="A855" s="17">
        <v>831</v>
      </c>
      <c r="B855" s="17">
        <v>0.16983013854111095</v>
      </c>
      <c r="C855" s="17">
        <v>-0.16983013854111095</v>
      </c>
      <c r="D855" s="17">
        <v>-0.16814827042335323</v>
      </c>
    </row>
    <row r="856" spans="1:4" x14ac:dyDescent="0.25">
      <c r="A856" s="17">
        <v>832</v>
      </c>
      <c r="B856" s="17">
        <v>0.21527777721048369</v>
      </c>
      <c r="C856" s="17">
        <v>-1.0382777772104836</v>
      </c>
      <c r="D856" s="17">
        <v>-1.0279954662739947</v>
      </c>
    </row>
    <row r="857" spans="1:4" x14ac:dyDescent="0.25">
      <c r="A857" s="17">
        <v>833</v>
      </c>
      <c r="B857" s="17">
        <v>-7.9076244391395059E-2</v>
      </c>
      <c r="C857" s="17">
        <v>7.9076244391395059E-2</v>
      </c>
      <c r="D857" s="17">
        <v>7.8293133599303746E-2</v>
      </c>
    </row>
    <row r="858" spans="1:4" x14ac:dyDescent="0.25">
      <c r="A858" s="17">
        <v>834</v>
      </c>
      <c r="B858" s="17">
        <v>-0.24542126905655648</v>
      </c>
      <c r="C858" s="17">
        <v>-0.16867873094344354</v>
      </c>
      <c r="D858" s="17">
        <v>-0.16700826548805009</v>
      </c>
    </row>
    <row r="859" spans="1:4" x14ac:dyDescent="0.25">
      <c r="A859" s="17">
        <v>835</v>
      </c>
      <c r="B859" s="17">
        <v>1.4084727503931844</v>
      </c>
      <c r="C859" s="17">
        <v>-0.17137275039318434</v>
      </c>
      <c r="D859" s="17">
        <v>-0.16967560542460164</v>
      </c>
    </row>
    <row r="860" spans="1:4" x14ac:dyDescent="0.25">
      <c r="A860" s="17">
        <v>836</v>
      </c>
      <c r="B860" s="17">
        <v>0.54930125359223059</v>
      </c>
      <c r="C860" s="17">
        <v>-0.54930125359223059</v>
      </c>
      <c r="D860" s="17">
        <v>-0.54386139307396641</v>
      </c>
    </row>
    <row r="861" spans="1:4" x14ac:dyDescent="0.25">
      <c r="A861" s="17">
        <v>837</v>
      </c>
      <c r="B861" s="17">
        <v>0.41584742952886461</v>
      </c>
      <c r="C861" s="17">
        <v>0.40045257047113542</v>
      </c>
      <c r="D861" s="17">
        <v>0.39648679374425311</v>
      </c>
    </row>
    <row r="862" spans="1:4" x14ac:dyDescent="0.25">
      <c r="A862" s="17">
        <v>838</v>
      </c>
      <c r="B862" s="17">
        <v>0.30772871944255736</v>
      </c>
      <c r="C862" s="17">
        <v>9.7971280557442642E-2</v>
      </c>
      <c r="D862" s="17">
        <v>9.7001047743403138E-2</v>
      </c>
    </row>
    <row r="863" spans="1:4" x14ac:dyDescent="0.25">
      <c r="A863" s="17">
        <v>839</v>
      </c>
      <c r="B863" s="17">
        <v>0.88432480026254556</v>
      </c>
      <c r="C863" s="17">
        <v>-0.48032480026254554</v>
      </c>
      <c r="D863" s="17">
        <v>-0.47556802991147873</v>
      </c>
    </row>
    <row r="864" spans="1:4" x14ac:dyDescent="0.25">
      <c r="A864" s="17">
        <v>840</v>
      </c>
      <c r="B864" s="17">
        <v>-8.2632049861859444E-2</v>
      </c>
      <c r="C864" s="17">
        <v>-1.5434679501381408</v>
      </c>
      <c r="D864" s="17">
        <v>-1.5281826211711045</v>
      </c>
    </row>
    <row r="865" spans="1:4" x14ac:dyDescent="0.25">
      <c r="A865" s="17">
        <v>841</v>
      </c>
      <c r="B865" s="17">
        <v>-0.33209402739912552</v>
      </c>
      <c r="C865" s="17">
        <v>-1.7384059726008745</v>
      </c>
      <c r="D865" s="17">
        <v>-1.7211901261901428</v>
      </c>
    </row>
    <row r="866" spans="1:4" x14ac:dyDescent="0.25">
      <c r="A866" s="17">
        <v>842</v>
      </c>
      <c r="B866" s="17">
        <v>0.65286408791950534</v>
      </c>
      <c r="C866" s="17">
        <v>1.8266359120804945</v>
      </c>
      <c r="D866" s="17">
        <v>1.8085463036654614</v>
      </c>
    </row>
    <row r="867" spans="1:4" x14ac:dyDescent="0.25">
      <c r="A867" s="17">
        <v>843</v>
      </c>
      <c r="B867" s="17">
        <v>2.9598060299672282E-2</v>
      </c>
      <c r="C867" s="17">
        <v>0.78340193970032768</v>
      </c>
      <c r="D867" s="17">
        <v>0.77564372459734343</v>
      </c>
    </row>
    <row r="868" spans="1:4" x14ac:dyDescent="0.25">
      <c r="A868" s="17">
        <v>844</v>
      </c>
      <c r="B868" s="17">
        <v>0.32495215219011914</v>
      </c>
      <c r="C868" s="17">
        <v>-0.73065215219011914</v>
      </c>
      <c r="D868" s="17">
        <v>-0.72341633073642486</v>
      </c>
    </row>
    <row r="869" spans="1:4" x14ac:dyDescent="0.25">
      <c r="A869" s="17">
        <v>845</v>
      </c>
      <c r="B869" s="17">
        <v>-3.8487349068832277E-3</v>
      </c>
      <c r="C869" s="17">
        <v>-0.4034512650931168</v>
      </c>
      <c r="D869" s="17">
        <v>-0.3994557915825957</v>
      </c>
    </row>
    <row r="870" spans="1:4" x14ac:dyDescent="0.25">
      <c r="A870" s="17">
        <v>846</v>
      </c>
      <c r="B870" s="17">
        <v>0.41573631060791261</v>
      </c>
      <c r="C870" s="17">
        <v>-8.4363106079126116E-3</v>
      </c>
      <c r="D870" s="17">
        <v>-8.3527638242566881E-3</v>
      </c>
    </row>
    <row r="871" spans="1:4" x14ac:dyDescent="0.25">
      <c r="A871" s="17">
        <v>847</v>
      </c>
      <c r="B871" s="17">
        <v>0.79309616616094414</v>
      </c>
      <c r="C871" s="17">
        <v>0.41900383383905582</v>
      </c>
      <c r="D871" s="17">
        <v>0.41485433955373158</v>
      </c>
    </row>
    <row r="872" spans="1:4" x14ac:dyDescent="0.25">
      <c r="A872" s="17">
        <v>848</v>
      </c>
      <c r="B872" s="17">
        <v>0.16171845731161411</v>
      </c>
      <c r="C872" s="17">
        <v>0.23908154268838588</v>
      </c>
      <c r="D872" s="17">
        <v>0.23671386150031104</v>
      </c>
    </row>
    <row r="873" spans="1:4" x14ac:dyDescent="0.25">
      <c r="A873" s="17">
        <v>849</v>
      </c>
      <c r="B873" s="17">
        <v>-0.23097580933279493</v>
      </c>
      <c r="C873" s="17">
        <v>-0.97632419066720511</v>
      </c>
      <c r="D873" s="17">
        <v>-0.96665542078345856</v>
      </c>
    </row>
    <row r="874" spans="1:4" x14ac:dyDescent="0.25">
      <c r="A874" s="17">
        <v>850</v>
      </c>
      <c r="B874" s="17">
        <v>-2.75170650696617E-2</v>
      </c>
      <c r="C874" s="17">
        <v>-0.37818293493033828</v>
      </c>
      <c r="D874" s="17">
        <v>-0.37443769968291241</v>
      </c>
    </row>
    <row r="875" spans="1:4" x14ac:dyDescent="0.25">
      <c r="A875" s="17">
        <v>851</v>
      </c>
      <c r="B875" s="17">
        <v>0.15127327874212498</v>
      </c>
      <c r="C875" s="17">
        <v>0.65842672125787494</v>
      </c>
      <c r="D875" s="17">
        <v>0.65190616536669954</v>
      </c>
    </row>
    <row r="876" spans="1:4" x14ac:dyDescent="0.25">
      <c r="A876" s="17">
        <v>852</v>
      </c>
      <c r="B876" s="17">
        <v>0.52618851803421218</v>
      </c>
      <c r="C876" s="17">
        <v>0.27701148196578784</v>
      </c>
      <c r="D876" s="17">
        <v>0.2742681715983038</v>
      </c>
    </row>
    <row r="877" spans="1:4" x14ac:dyDescent="0.25">
      <c r="A877" s="17">
        <v>853</v>
      </c>
      <c r="B877" s="17">
        <v>0.54418978322843814</v>
      </c>
      <c r="C877" s="17">
        <v>-0.14498978322843814</v>
      </c>
      <c r="D877" s="17">
        <v>-0.14355391503738979</v>
      </c>
    </row>
    <row r="878" spans="1:4" x14ac:dyDescent="0.25">
      <c r="A878" s="17">
        <v>854</v>
      </c>
      <c r="B878" s="17">
        <v>0.51296536644092283</v>
      </c>
      <c r="C878" s="17">
        <v>-0.11536536644092282</v>
      </c>
      <c r="D878" s="17">
        <v>-0.11422287587136201</v>
      </c>
    </row>
    <row r="879" spans="1:4" x14ac:dyDescent="0.25">
      <c r="A879" s="17">
        <v>855</v>
      </c>
      <c r="B879" s="17">
        <v>-0.44199064022066503</v>
      </c>
      <c r="C879" s="17">
        <v>-0.75560935977933497</v>
      </c>
      <c r="D879" s="17">
        <v>-0.74812638118313857</v>
      </c>
    </row>
    <row r="880" spans="1:4" x14ac:dyDescent="0.25">
      <c r="A880" s="17">
        <v>856</v>
      </c>
      <c r="B880" s="17">
        <v>-0.4735484137710364</v>
      </c>
      <c r="C880" s="17">
        <v>-0.73855158622896355</v>
      </c>
      <c r="D880" s="17">
        <v>-0.73123753480753573</v>
      </c>
    </row>
    <row r="881" spans="1:4" x14ac:dyDescent="0.25">
      <c r="A881" s="17">
        <v>857</v>
      </c>
      <c r="B881" s="17">
        <v>0.28694948122453118</v>
      </c>
      <c r="C881" s="17">
        <v>-0.28694948122453118</v>
      </c>
      <c r="D881" s="17">
        <v>-0.28410775249472842</v>
      </c>
    </row>
    <row r="882" spans="1:4" x14ac:dyDescent="0.25">
      <c r="A882" s="17">
        <v>858</v>
      </c>
      <c r="B882" s="17">
        <v>2.3708757489215658E-2</v>
      </c>
      <c r="C882" s="17">
        <v>0.38199124251078437</v>
      </c>
      <c r="D882" s="17">
        <v>0.37820829269068496</v>
      </c>
    </row>
    <row r="883" spans="1:4" x14ac:dyDescent="0.25">
      <c r="A883" s="17">
        <v>859</v>
      </c>
      <c r="B883" s="17">
        <v>1.0154451269859193</v>
      </c>
      <c r="C883" s="17">
        <v>-0.20894512698591927</v>
      </c>
      <c r="D883" s="17">
        <v>-0.20687589386594868</v>
      </c>
    </row>
    <row r="884" spans="1:4" x14ac:dyDescent="0.25">
      <c r="A884" s="17">
        <v>860</v>
      </c>
      <c r="B884" s="17">
        <v>-9.6077439297052855E-2</v>
      </c>
      <c r="C884" s="17">
        <v>0.89607743929705286</v>
      </c>
      <c r="D884" s="17">
        <v>0.88720337201346011</v>
      </c>
    </row>
    <row r="885" spans="1:4" x14ac:dyDescent="0.25">
      <c r="A885" s="17">
        <v>861</v>
      </c>
      <c r="B885" s="17">
        <v>1.0972286528065998</v>
      </c>
      <c r="C885" s="17">
        <v>-0.3035286528065998</v>
      </c>
      <c r="D885" s="17">
        <v>-0.30052273661076628</v>
      </c>
    </row>
    <row r="886" spans="1:4" x14ac:dyDescent="0.25">
      <c r="A886" s="17">
        <v>862</v>
      </c>
      <c r="B886" s="17">
        <v>0.64864156892332903</v>
      </c>
      <c r="C886" s="17">
        <v>0.53015843107667104</v>
      </c>
      <c r="D886" s="17">
        <v>0.52490814646730843</v>
      </c>
    </row>
    <row r="887" spans="1:4" x14ac:dyDescent="0.25">
      <c r="A887" s="17">
        <v>863</v>
      </c>
      <c r="B887" s="17">
        <v>0.5776365784349935</v>
      </c>
      <c r="C887" s="17">
        <v>2.8775634215650063</v>
      </c>
      <c r="D887" s="17">
        <v>2.849066228916338</v>
      </c>
    </row>
    <row r="888" spans="1:4" x14ac:dyDescent="0.25">
      <c r="A888" s="17">
        <v>864</v>
      </c>
      <c r="B888" s="17">
        <v>0.5547460807188791</v>
      </c>
      <c r="C888" s="17">
        <v>0.94345391928112088</v>
      </c>
      <c r="D888" s="17">
        <v>0.93411067148633453</v>
      </c>
    </row>
    <row r="889" spans="1:4" x14ac:dyDescent="0.25">
      <c r="A889" s="17">
        <v>865</v>
      </c>
      <c r="B889" s="17">
        <v>-0.11663443967317501</v>
      </c>
      <c r="C889" s="17">
        <v>0.48773443967317498</v>
      </c>
      <c r="D889" s="17">
        <v>0.48290428990667655</v>
      </c>
    </row>
    <row r="890" spans="1:4" x14ac:dyDescent="0.25">
      <c r="A890" s="17">
        <v>866</v>
      </c>
      <c r="B890" s="17">
        <v>0.19083161460104114</v>
      </c>
      <c r="C890" s="17">
        <v>0.54716838539895885</v>
      </c>
      <c r="D890" s="17">
        <v>0.54174964717997831</v>
      </c>
    </row>
    <row r="891" spans="1:4" x14ac:dyDescent="0.25">
      <c r="A891" s="17">
        <v>867</v>
      </c>
      <c r="B891" s="17">
        <v>0.19805434446292186</v>
      </c>
      <c r="C891" s="17">
        <v>-1.3071543444629219</v>
      </c>
      <c r="D891" s="17">
        <v>-1.2942092851476195</v>
      </c>
    </row>
    <row r="892" spans="1:4" x14ac:dyDescent="0.25">
      <c r="A892" s="17">
        <v>868</v>
      </c>
      <c r="B892" s="17">
        <v>-0.4067659422788773</v>
      </c>
      <c r="C892" s="17">
        <v>3.4365942278877293E-2</v>
      </c>
      <c r="D892" s="17">
        <v>3.402560820653857E-2</v>
      </c>
    </row>
    <row r="893" spans="1:4" x14ac:dyDescent="0.25">
      <c r="A893" s="17">
        <v>869</v>
      </c>
      <c r="B893" s="17">
        <v>0.94866265549376028</v>
      </c>
      <c r="C893" s="17">
        <v>-0.57626265549376021</v>
      </c>
      <c r="D893" s="17">
        <v>-0.57055578982165367</v>
      </c>
    </row>
    <row r="894" spans="1:4" x14ac:dyDescent="0.25">
      <c r="A894" s="17">
        <v>870</v>
      </c>
      <c r="B894" s="17">
        <v>-0.73545571045492764</v>
      </c>
      <c r="C894" s="17">
        <v>2.2114557104549277</v>
      </c>
      <c r="D894" s="17">
        <v>2.1895551403606093</v>
      </c>
    </row>
    <row r="895" spans="1:4" x14ac:dyDescent="0.25">
      <c r="A895" s="17">
        <v>871</v>
      </c>
      <c r="B895" s="17">
        <v>0.35817670955477054</v>
      </c>
      <c r="C895" s="17">
        <v>-1.0935767095547706</v>
      </c>
      <c r="D895" s="17">
        <v>-1.0827467601834619</v>
      </c>
    </row>
    <row r="896" spans="1:4" x14ac:dyDescent="0.25">
      <c r="A896" s="17">
        <v>872</v>
      </c>
      <c r="B896" s="17">
        <v>0.64119660121954414</v>
      </c>
      <c r="C896" s="17">
        <v>-0.26459660121954415</v>
      </c>
      <c r="D896" s="17">
        <v>-0.26197623835885858</v>
      </c>
    </row>
    <row r="897" spans="1:4" x14ac:dyDescent="0.25">
      <c r="A897" s="17">
        <v>873</v>
      </c>
      <c r="B897" s="17">
        <v>-0.91257927045243414</v>
      </c>
      <c r="C897" s="17">
        <v>-0.98502072954756581</v>
      </c>
      <c r="D897" s="17">
        <v>-0.97526583577789794</v>
      </c>
    </row>
    <row r="898" spans="1:4" x14ac:dyDescent="0.25">
      <c r="A898" s="17">
        <v>874</v>
      </c>
      <c r="B898" s="17">
        <v>-0.82746217700319324</v>
      </c>
      <c r="C898" s="17">
        <v>-3.8793378229968072</v>
      </c>
      <c r="D898" s="17">
        <v>-3.8409198209945852</v>
      </c>
    </row>
    <row r="899" spans="1:4" x14ac:dyDescent="0.25">
      <c r="A899" s="17">
        <v>875</v>
      </c>
      <c r="B899" s="17">
        <v>-1.3627199950660238E-2</v>
      </c>
      <c r="C899" s="17">
        <v>-0.7928728000493398</v>
      </c>
      <c r="D899" s="17">
        <v>-0.78502079277138848</v>
      </c>
    </row>
    <row r="900" spans="1:4" x14ac:dyDescent="0.25">
      <c r="A900" s="17">
        <v>876</v>
      </c>
      <c r="B900" s="17">
        <v>0.54407866430748608</v>
      </c>
      <c r="C900" s="17">
        <v>-0.54407866430748608</v>
      </c>
      <c r="D900" s="17">
        <v>-0.53869052432884823</v>
      </c>
    </row>
    <row r="901" spans="1:4" x14ac:dyDescent="0.25">
      <c r="A901" s="17">
        <v>877</v>
      </c>
      <c r="B901" s="17">
        <v>0.7574269925353484</v>
      </c>
      <c r="C901" s="17">
        <v>4.9073007464651597E-2</v>
      </c>
      <c r="D901" s="17">
        <v>4.8587025839680442E-2</v>
      </c>
    </row>
    <row r="902" spans="1:4" x14ac:dyDescent="0.25">
      <c r="A902" s="17">
        <v>878</v>
      </c>
      <c r="B902" s="17">
        <v>0.40140196980510312</v>
      </c>
      <c r="C902" s="17">
        <v>-6.0196980510313081E-4</v>
      </c>
      <c r="D902" s="17">
        <v>-5.9600835543493363E-4</v>
      </c>
    </row>
    <row r="903" spans="1:4" x14ac:dyDescent="0.25">
      <c r="A903" s="17">
        <v>879</v>
      </c>
      <c r="B903" s="17">
        <v>-0.96180495243417541</v>
      </c>
      <c r="C903" s="17">
        <v>-0.65109504756582459</v>
      </c>
      <c r="D903" s="17">
        <v>-0.64464709897708905</v>
      </c>
    </row>
    <row r="904" spans="1:4" x14ac:dyDescent="0.25">
      <c r="A904" s="17">
        <v>880</v>
      </c>
      <c r="B904" s="17">
        <v>-0.15297032682448281</v>
      </c>
      <c r="C904" s="17">
        <v>-1.0740296731755172</v>
      </c>
      <c r="D904" s="17">
        <v>-1.0633933027388154</v>
      </c>
    </row>
    <row r="905" spans="1:4" x14ac:dyDescent="0.25">
      <c r="A905" s="17">
        <v>881</v>
      </c>
      <c r="B905" s="17">
        <v>-0.26208910719935824</v>
      </c>
      <c r="C905" s="17">
        <v>2.2987891071993585</v>
      </c>
      <c r="D905" s="17">
        <v>2.2760236537759577</v>
      </c>
    </row>
    <row r="906" spans="1:4" x14ac:dyDescent="0.25">
      <c r="A906" s="17">
        <v>882</v>
      </c>
      <c r="B906" s="17">
        <v>0.72275788919832074</v>
      </c>
      <c r="C906" s="17">
        <v>-0.32035788919832076</v>
      </c>
      <c r="D906" s="17">
        <v>-0.31718530908537224</v>
      </c>
    </row>
    <row r="907" spans="1:4" x14ac:dyDescent="0.25">
      <c r="A907" s="17">
        <v>883</v>
      </c>
      <c r="B907" s="17">
        <v>-1.4813970268057817</v>
      </c>
      <c r="C907" s="17">
        <v>-1.3701029731942185</v>
      </c>
      <c r="D907" s="17">
        <v>-1.3565345186875255</v>
      </c>
    </row>
    <row r="908" spans="1:4" x14ac:dyDescent="0.25">
      <c r="A908" s="17">
        <v>884</v>
      </c>
      <c r="B908" s="17">
        <v>-0.51777374430993695</v>
      </c>
      <c r="C908" s="17">
        <v>-0.31212625569006303</v>
      </c>
      <c r="D908" s="17">
        <v>-0.30903519539493679</v>
      </c>
    </row>
    <row r="909" spans="1:4" x14ac:dyDescent="0.25">
      <c r="A909" s="17">
        <v>885</v>
      </c>
      <c r="B909" s="17">
        <v>0.83332121554557226</v>
      </c>
      <c r="C909" s="17">
        <v>2.0415787844544275</v>
      </c>
      <c r="D909" s="17">
        <v>2.0213605458251673</v>
      </c>
    </row>
    <row r="910" spans="1:4" x14ac:dyDescent="0.25">
      <c r="A910" s="17">
        <v>886</v>
      </c>
      <c r="B910" s="17">
        <v>-2.1986696615510164</v>
      </c>
      <c r="C910" s="17">
        <v>-1.0938303384489836</v>
      </c>
      <c r="D910" s="17">
        <v>-1.0829978773306164</v>
      </c>
    </row>
    <row r="911" spans="1:4" x14ac:dyDescent="0.25">
      <c r="A911" s="17">
        <v>887</v>
      </c>
      <c r="B911" s="17">
        <v>0.10304766704895196</v>
      </c>
      <c r="C911" s="17">
        <v>0.73025233295104808</v>
      </c>
      <c r="D911" s="17">
        <v>0.7230204710020498</v>
      </c>
    </row>
    <row r="912" spans="1:4" x14ac:dyDescent="0.25">
      <c r="A912" s="17">
        <v>888</v>
      </c>
      <c r="B912" s="17">
        <v>-8.0076314679963193E-2</v>
      </c>
      <c r="C912" s="17">
        <v>0.90657631467996325</v>
      </c>
      <c r="D912" s="17">
        <v>0.89759827454484653</v>
      </c>
    </row>
    <row r="913" spans="1:4" x14ac:dyDescent="0.25">
      <c r="A913" s="17">
        <v>889</v>
      </c>
      <c r="B913" s="17">
        <v>-0.48254904636814921</v>
      </c>
      <c r="C913" s="17">
        <v>-0.3439509536318508</v>
      </c>
      <c r="D913" s="17">
        <v>-0.34054472580942136</v>
      </c>
    </row>
    <row r="914" spans="1:4" x14ac:dyDescent="0.25">
      <c r="A914" s="17">
        <v>890</v>
      </c>
      <c r="B914" s="17">
        <v>1.1305643290922034</v>
      </c>
      <c r="C914" s="17">
        <v>-1.1305643290922034</v>
      </c>
      <c r="D914" s="17">
        <v>-1.1193680825572336</v>
      </c>
    </row>
    <row r="915" spans="1:4" x14ac:dyDescent="0.25">
      <c r="A915" s="17">
        <v>891</v>
      </c>
      <c r="B915" s="17">
        <v>-4.6407281631503677E-2</v>
      </c>
      <c r="C915" s="17">
        <v>0.87290728163150366</v>
      </c>
      <c r="D915" s="17">
        <v>0.86426267391142453</v>
      </c>
    </row>
    <row r="916" spans="1:4" x14ac:dyDescent="0.25">
      <c r="A916" s="17">
        <v>892</v>
      </c>
      <c r="B916" s="17">
        <v>0.89610340588345871</v>
      </c>
      <c r="C916" s="17">
        <v>-7.640340588345873E-2</v>
      </c>
      <c r="D916" s="17">
        <v>-7.564676484466934E-2</v>
      </c>
    </row>
    <row r="917" spans="1:4" x14ac:dyDescent="0.25">
      <c r="A917" s="17">
        <v>893</v>
      </c>
      <c r="B917" s="17">
        <v>6.3822687952891852E-2</v>
      </c>
      <c r="C917" s="17">
        <v>1.1532773120471083</v>
      </c>
      <c r="D917" s="17">
        <v>1.1418561334581512</v>
      </c>
    </row>
    <row r="918" spans="1:4" x14ac:dyDescent="0.25">
      <c r="A918" s="17">
        <v>894</v>
      </c>
      <c r="B918" s="17">
        <v>-0.21464132795284924</v>
      </c>
      <c r="C918" s="17">
        <v>0.21464132795284924</v>
      </c>
      <c r="D918" s="17">
        <v>0.21251568400450085</v>
      </c>
    </row>
    <row r="919" spans="1:4" x14ac:dyDescent="0.25">
      <c r="A919" s="17">
        <v>895</v>
      </c>
      <c r="B919" s="17">
        <v>-0.72112136965211815</v>
      </c>
      <c r="C919" s="17">
        <v>-8.8578630347881826E-2</v>
      </c>
      <c r="D919" s="17">
        <v>-8.7701415175259881E-2</v>
      </c>
    </row>
    <row r="920" spans="1:4" x14ac:dyDescent="0.25">
      <c r="A920" s="17">
        <v>896</v>
      </c>
      <c r="B920" s="17">
        <v>1.3109103377973184</v>
      </c>
      <c r="C920" s="17">
        <v>-0.50121033779731838</v>
      </c>
      <c r="D920" s="17">
        <v>-0.49624673301742922</v>
      </c>
    </row>
    <row r="921" spans="1:4" x14ac:dyDescent="0.25">
      <c r="A921" s="17">
        <v>897</v>
      </c>
      <c r="B921" s="17">
        <v>0.60319393025395618</v>
      </c>
      <c r="C921" s="17">
        <v>0.59920606974604373</v>
      </c>
      <c r="D921" s="17">
        <v>0.5932719900041914</v>
      </c>
    </row>
    <row r="922" spans="1:4" x14ac:dyDescent="0.25">
      <c r="A922" s="17">
        <v>898</v>
      </c>
      <c r="B922" s="17">
        <v>-0.34331703841527872</v>
      </c>
      <c r="C922" s="17">
        <v>-0.45668296158472133</v>
      </c>
      <c r="D922" s="17">
        <v>-0.45216032196603789</v>
      </c>
    </row>
    <row r="923" spans="1:4" x14ac:dyDescent="0.25">
      <c r="A923" s="17">
        <v>899</v>
      </c>
      <c r="B923" s="17">
        <v>1.5837072887345069</v>
      </c>
      <c r="C923" s="17">
        <v>-0.7837072887345069</v>
      </c>
      <c r="D923" s="17">
        <v>-0.77594604968765868</v>
      </c>
    </row>
    <row r="924" spans="1:4" x14ac:dyDescent="0.25">
      <c r="A924" s="17">
        <v>900</v>
      </c>
      <c r="B924" s="17">
        <v>0.19683203633244978</v>
      </c>
      <c r="C924" s="17">
        <v>-0.59603203633244983</v>
      </c>
      <c r="D924" s="17">
        <v>-0.59012938979585117</v>
      </c>
    </row>
    <row r="925" spans="1:4" x14ac:dyDescent="0.25">
      <c r="A925" s="17">
        <v>901</v>
      </c>
      <c r="B925" s="17">
        <v>0.11182606180416087</v>
      </c>
      <c r="C925" s="17">
        <v>-0.51262606180416082</v>
      </c>
      <c r="D925" s="17">
        <v>-0.50754940440349916</v>
      </c>
    </row>
    <row r="926" spans="1:4" x14ac:dyDescent="0.25">
      <c r="A926" s="17">
        <v>902</v>
      </c>
      <c r="B926" s="17">
        <v>1.1508990916264215</v>
      </c>
      <c r="C926" s="17">
        <v>-0.35089909162642141</v>
      </c>
      <c r="D926" s="17">
        <v>-0.34742405474647581</v>
      </c>
    </row>
    <row r="927" spans="1:4" x14ac:dyDescent="0.25">
      <c r="A927" s="17">
        <v>903</v>
      </c>
      <c r="B927" s="17">
        <v>-1.2293772899236097E-2</v>
      </c>
      <c r="C927" s="17">
        <v>-0.38690622710076389</v>
      </c>
      <c r="D927" s="17">
        <v>-0.3830746030232437</v>
      </c>
    </row>
    <row r="928" spans="1:4" x14ac:dyDescent="0.25">
      <c r="A928" s="17">
        <v>904</v>
      </c>
      <c r="B928" s="17">
        <v>-0.42243371013311098</v>
      </c>
      <c r="C928" s="17">
        <v>-0.38076628986688904</v>
      </c>
      <c r="D928" s="17">
        <v>-0.37699547104317949</v>
      </c>
    </row>
    <row r="929" spans="1:4" x14ac:dyDescent="0.25">
      <c r="A929" s="17">
        <v>905</v>
      </c>
      <c r="B929" s="17">
        <v>0.97288658026129882</v>
      </c>
      <c r="C929" s="17">
        <v>2.5918134197387013</v>
      </c>
      <c r="D929" s="17">
        <v>2.566146077091036</v>
      </c>
    </row>
    <row r="930" spans="1:4" x14ac:dyDescent="0.25">
      <c r="A930" s="17">
        <v>906</v>
      </c>
      <c r="B930" s="17">
        <v>-1.2596036605855665</v>
      </c>
      <c r="C930" s="17">
        <v>-0.70509633941443339</v>
      </c>
      <c r="D930" s="17">
        <v>-0.69811360323229366</v>
      </c>
    </row>
    <row r="931" spans="1:4" x14ac:dyDescent="0.25">
      <c r="A931" s="17">
        <v>907</v>
      </c>
      <c r="B931" s="17">
        <v>0.6691985692994511</v>
      </c>
      <c r="C931" s="17">
        <v>0.90560143070054888</v>
      </c>
      <c r="D931" s="17">
        <v>0.89663304507256247</v>
      </c>
    </row>
    <row r="932" spans="1:4" x14ac:dyDescent="0.25">
      <c r="A932" s="17">
        <v>908</v>
      </c>
      <c r="B932" s="17">
        <v>-0.18030558137867769</v>
      </c>
      <c r="C932" s="17">
        <v>-0.21109441862132233</v>
      </c>
      <c r="D932" s="17">
        <v>-0.20900390055682777</v>
      </c>
    </row>
    <row r="933" spans="1:4" x14ac:dyDescent="0.25">
      <c r="A933" s="17">
        <v>909</v>
      </c>
      <c r="B933" s="17">
        <v>-0.17486075425202907</v>
      </c>
      <c r="C933" s="17">
        <v>-0.21803924574797096</v>
      </c>
      <c r="D933" s="17">
        <v>-0.21587995141427008</v>
      </c>
    </row>
    <row r="934" spans="1:4" x14ac:dyDescent="0.25">
      <c r="A934" s="17">
        <v>910</v>
      </c>
      <c r="B934" s="17">
        <v>0.38873441281657378</v>
      </c>
      <c r="C934" s="17">
        <v>-0.38873441281657378</v>
      </c>
      <c r="D934" s="17">
        <v>-0.38488468378256485</v>
      </c>
    </row>
    <row r="935" spans="1:4" x14ac:dyDescent="0.25">
      <c r="A935" s="17">
        <v>911</v>
      </c>
      <c r="B935" s="17">
        <v>-0.8402408529126747</v>
      </c>
      <c r="C935" s="17">
        <v>-0.74705914708732524</v>
      </c>
      <c r="D935" s="17">
        <v>-0.7396608432741224</v>
      </c>
    </row>
    <row r="936" spans="1:4" x14ac:dyDescent="0.25">
      <c r="A936" s="17">
        <v>912</v>
      </c>
      <c r="B936" s="17">
        <v>-0.34009458970767037</v>
      </c>
      <c r="C936" s="17">
        <v>0.34009458970767037</v>
      </c>
      <c r="D936" s="17">
        <v>0.33672655237127752</v>
      </c>
    </row>
    <row r="937" spans="1:4" x14ac:dyDescent="0.25">
      <c r="A937" s="17">
        <v>913</v>
      </c>
      <c r="B937" s="17">
        <v>-1.1232607445774483</v>
      </c>
      <c r="C937" s="17">
        <v>-0.48963925542255171</v>
      </c>
      <c r="D937" s="17">
        <v>-0.48479024181417807</v>
      </c>
    </row>
    <row r="938" spans="1:4" x14ac:dyDescent="0.25">
      <c r="A938" s="17">
        <v>914</v>
      </c>
      <c r="B938" s="17">
        <v>3.3739949549975307E-3</v>
      </c>
      <c r="C938" s="17">
        <v>0.40232600504500249</v>
      </c>
      <c r="D938" s="17">
        <v>0.39834167525146452</v>
      </c>
    </row>
    <row r="939" spans="1:4" x14ac:dyDescent="0.25">
      <c r="A939" s="17">
        <v>915</v>
      </c>
      <c r="B939" s="17">
        <v>-0.94569270889613377</v>
      </c>
      <c r="C939" s="17">
        <v>0.13269270889613383</v>
      </c>
      <c r="D939" s="17">
        <v>0.13137862154704241</v>
      </c>
    </row>
    <row r="940" spans="1:4" x14ac:dyDescent="0.25">
      <c r="A940" s="17">
        <v>916</v>
      </c>
      <c r="B940" s="17">
        <v>0.82120925316180304</v>
      </c>
      <c r="C940" s="17">
        <v>0.7982907468381969</v>
      </c>
      <c r="D940" s="17">
        <v>0.79038508434894938</v>
      </c>
    </row>
    <row r="941" spans="1:4" x14ac:dyDescent="0.25">
      <c r="A941" s="17">
        <v>917</v>
      </c>
      <c r="B941" s="17">
        <v>0.57696986490928148</v>
      </c>
      <c r="C941" s="17">
        <v>-0.17616986490928149</v>
      </c>
      <c r="D941" s="17">
        <v>-0.17442521297855906</v>
      </c>
    </row>
    <row r="942" spans="1:4" x14ac:dyDescent="0.25">
      <c r="A942" s="17">
        <v>918</v>
      </c>
      <c r="B942" s="17">
        <v>0.11338172669748903</v>
      </c>
      <c r="C942" s="17">
        <v>-0.11338172669748903</v>
      </c>
      <c r="D942" s="17">
        <v>-0.11225888058250062</v>
      </c>
    </row>
    <row r="943" spans="1:4" x14ac:dyDescent="0.25">
      <c r="A943" s="17">
        <v>919</v>
      </c>
      <c r="B943" s="17">
        <v>-1.2073777677381208</v>
      </c>
      <c r="C943" s="17">
        <v>-1.2219222322618792</v>
      </c>
      <c r="D943" s="17">
        <v>-1.2098212467567468</v>
      </c>
    </row>
    <row r="944" spans="1:4" x14ac:dyDescent="0.25">
      <c r="A944" s="17">
        <v>920</v>
      </c>
      <c r="B944" s="17">
        <v>-0.53455270137369071</v>
      </c>
      <c r="C944" s="17">
        <v>0.94355270137369063</v>
      </c>
      <c r="D944" s="17">
        <v>0.9342084753164267</v>
      </c>
    </row>
    <row r="945" spans="1:4" x14ac:dyDescent="0.25">
      <c r="A945" s="17">
        <v>921</v>
      </c>
      <c r="B945" s="17">
        <v>0.23839051276850209</v>
      </c>
      <c r="C945" s="17">
        <v>0.1689094872314979</v>
      </c>
      <c r="D945" s="17">
        <v>0.16723673654188637</v>
      </c>
    </row>
    <row r="946" spans="1:4" x14ac:dyDescent="0.25">
      <c r="A946" s="17">
        <v>922</v>
      </c>
      <c r="B946" s="17">
        <v>-0.99414055843121063</v>
      </c>
      <c r="C946" s="17">
        <v>0.1778405584312106</v>
      </c>
      <c r="D946" s="17">
        <v>0.1760793612265267</v>
      </c>
    </row>
    <row r="947" spans="1:4" x14ac:dyDescent="0.25">
      <c r="A947" s="17">
        <v>923</v>
      </c>
      <c r="B947" s="17">
        <v>-0.19652894383767139</v>
      </c>
      <c r="C947" s="17">
        <v>-0.62647105616232857</v>
      </c>
      <c r="D947" s="17">
        <v>-0.62026696479722387</v>
      </c>
    </row>
    <row r="948" spans="1:4" x14ac:dyDescent="0.25">
      <c r="A948" s="17">
        <v>924</v>
      </c>
      <c r="B948" s="17">
        <v>-0.28753534009736886</v>
      </c>
      <c r="C948" s="17">
        <v>-0.12656465990263116</v>
      </c>
      <c r="D948" s="17">
        <v>-0.12531126007528803</v>
      </c>
    </row>
    <row r="949" spans="1:4" x14ac:dyDescent="0.25">
      <c r="A949" s="17">
        <v>925</v>
      </c>
      <c r="B949" s="17">
        <v>0.1486064246392767</v>
      </c>
      <c r="C949" s="17">
        <v>-0.5644064246392767</v>
      </c>
      <c r="D949" s="17">
        <v>-0.55881697403167063</v>
      </c>
    </row>
    <row r="950" spans="1:4" x14ac:dyDescent="0.25">
      <c r="A950" s="17">
        <v>926</v>
      </c>
      <c r="B950" s="17">
        <v>0.36117692042047495</v>
      </c>
      <c r="C950" s="17">
        <v>0.88112307957952507</v>
      </c>
      <c r="D950" s="17">
        <v>0.87239710886493027</v>
      </c>
    </row>
    <row r="951" spans="1:4" x14ac:dyDescent="0.25">
      <c r="A951" s="17">
        <v>927</v>
      </c>
      <c r="B951" s="17">
        <v>-0.11418982341223076</v>
      </c>
      <c r="C951" s="17">
        <v>-0.29821017658776922</v>
      </c>
      <c r="D951" s="17">
        <v>-0.29525693052259888</v>
      </c>
    </row>
    <row r="952" spans="1:4" x14ac:dyDescent="0.25">
      <c r="A952" s="17">
        <v>928</v>
      </c>
      <c r="B952" s="17">
        <v>1.6834920797494133</v>
      </c>
      <c r="C952" s="17">
        <v>1.1680079202505869</v>
      </c>
      <c r="D952" s="17">
        <v>1.1564408609569123</v>
      </c>
    </row>
    <row r="953" spans="1:4" x14ac:dyDescent="0.25">
      <c r="A953" s="17">
        <v>929</v>
      </c>
      <c r="B953" s="17">
        <v>-6.3741833300017467E-2</v>
      </c>
      <c r="C953" s="17">
        <v>1.2613418333000175</v>
      </c>
      <c r="D953" s="17">
        <v>1.2488504661419564</v>
      </c>
    </row>
    <row r="954" spans="1:4" x14ac:dyDescent="0.25">
      <c r="A954" s="17">
        <v>930</v>
      </c>
      <c r="B954" s="17">
        <v>-0.5934457294782568</v>
      </c>
      <c r="C954" s="17">
        <v>-0.20335427052174315</v>
      </c>
      <c r="D954" s="17">
        <v>-0.2013404049785692</v>
      </c>
    </row>
    <row r="955" spans="1:4" x14ac:dyDescent="0.25">
      <c r="A955" s="17">
        <v>931</v>
      </c>
      <c r="B955" s="17">
        <v>-0.98525104475504977</v>
      </c>
      <c r="C955" s="17">
        <v>-1.0350489552449504</v>
      </c>
      <c r="D955" s="17">
        <v>-1.0247986200977319</v>
      </c>
    </row>
    <row r="956" spans="1:4" x14ac:dyDescent="0.25">
      <c r="A956" s="17">
        <v>932</v>
      </c>
      <c r="B956" s="17">
        <v>0.21194420958192334</v>
      </c>
      <c r="C956" s="17">
        <v>1.8083557904180769</v>
      </c>
      <c r="D956" s="17">
        <v>1.790447214380906</v>
      </c>
    </row>
    <row r="957" spans="1:4" x14ac:dyDescent="0.25">
      <c r="A957" s="17">
        <v>933</v>
      </c>
      <c r="B957" s="17">
        <v>-3.1342909759669544</v>
      </c>
      <c r="C957" s="17">
        <v>-0.5321090240330455</v>
      </c>
      <c r="D957" s="17">
        <v>-0.52683942223927593</v>
      </c>
    </row>
    <row r="958" spans="1:4" x14ac:dyDescent="0.25">
      <c r="A958" s="17">
        <v>934</v>
      </c>
      <c r="B958" s="17">
        <v>0.7969853283942645</v>
      </c>
      <c r="C958" s="17">
        <v>-0.38288532839426448</v>
      </c>
      <c r="D958" s="17">
        <v>-0.3790935242297308</v>
      </c>
    </row>
    <row r="959" spans="1:4" x14ac:dyDescent="0.25">
      <c r="A959" s="17">
        <v>935</v>
      </c>
      <c r="B959" s="17">
        <v>-1.3675001328299696</v>
      </c>
      <c r="C959" s="17">
        <v>1.7799001328299697</v>
      </c>
      <c r="D959" s="17">
        <v>1.7622733599148972</v>
      </c>
    </row>
    <row r="960" spans="1:4" x14ac:dyDescent="0.25">
      <c r="A960" s="17">
        <v>936</v>
      </c>
      <c r="B960" s="17">
        <v>-0.20819643053763259</v>
      </c>
      <c r="C960" s="17">
        <v>0.20819643053763259</v>
      </c>
      <c r="D960" s="17">
        <v>0.20613461193605709</v>
      </c>
    </row>
    <row r="961" spans="1:4" x14ac:dyDescent="0.25">
      <c r="A961" s="17">
        <v>937</v>
      </c>
      <c r="B961" s="17">
        <v>-1.4936201081105027</v>
      </c>
      <c r="C961" s="17">
        <v>3.1263201081105025</v>
      </c>
      <c r="D961" s="17">
        <v>3.0953594190307894</v>
      </c>
    </row>
    <row r="962" spans="1:4" x14ac:dyDescent="0.25">
      <c r="A962" s="17">
        <v>938</v>
      </c>
      <c r="B962" s="17">
        <v>2.016515485842592</v>
      </c>
      <c r="C962" s="17">
        <v>-1.2415485842591778E-2</v>
      </c>
      <c r="D962" s="17">
        <v>-1.2292532343380725E-2</v>
      </c>
    </row>
    <row r="963" spans="1:4" x14ac:dyDescent="0.25">
      <c r="A963" s="17">
        <v>939</v>
      </c>
      <c r="B963" s="17">
        <v>-3.6851054429630659E-2</v>
      </c>
      <c r="C963" s="17">
        <v>-0.75994894557036929</v>
      </c>
      <c r="D963" s="17">
        <v>-0.75242299102744803</v>
      </c>
    </row>
    <row r="964" spans="1:4" x14ac:dyDescent="0.25">
      <c r="A964" s="17">
        <v>940</v>
      </c>
      <c r="B964" s="17">
        <v>1.2750189263298186</v>
      </c>
      <c r="C964" s="17">
        <v>1.8748810736701815</v>
      </c>
      <c r="D964" s="17">
        <v>1.856313681984106</v>
      </c>
    </row>
    <row r="965" spans="1:4" x14ac:dyDescent="0.25">
      <c r="A965" s="17">
        <v>941</v>
      </c>
      <c r="B965" s="17">
        <v>-0.15352592142924287</v>
      </c>
      <c r="C965" s="17">
        <v>-1.0160740785707572</v>
      </c>
      <c r="D965" s="17">
        <v>-1.0060116561249641</v>
      </c>
    </row>
    <row r="966" spans="1:4" x14ac:dyDescent="0.25">
      <c r="A966" s="17">
        <v>942</v>
      </c>
      <c r="B966" s="17">
        <v>-1.0155865101749491</v>
      </c>
      <c r="C966" s="17">
        <v>-0.5655134898250509</v>
      </c>
      <c r="D966" s="17">
        <v>-0.55991307568849624</v>
      </c>
    </row>
    <row r="967" spans="1:4" x14ac:dyDescent="0.25">
      <c r="A967" s="17">
        <v>943</v>
      </c>
      <c r="B967" s="17">
        <v>-0.16230431618445179</v>
      </c>
      <c r="C967" s="17">
        <v>2.1348043161844519</v>
      </c>
      <c r="D967" s="17">
        <v>2.1136628430167015</v>
      </c>
    </row>
    <row r="968" spans="1:4" x14ac:dyDescent="0.25">
      <c r="A968" s="17">
        <v>944</v>
      </c>
      <c r="B968" s="17">
        <v>1.9339541275752474</v>
      </c>
      <c r="C968" s="17">
        <v>-1.9339541275752474</v>
      </c>
      <c r="D968" s="17">
        <v>-1.9148017214339346</v>
      </c>
    </row>
    <row r="969" spans="1:4" x14ac:dyDescent="0.25">
      <c r="A969" s="17">
        <v>945</v>
      </c>
      <c r="B969" s="17">
        <v>1.7082715991217117</v>
      </c>
      <c r="C969" s="17">
        <v>-0.93007159912171167</v>
      </c>
      <c r="D969" s="17">
        <v>-0.92086087961554997</v>
      </c>
    </row>
    <row r="970" spans="1:4" x14ac:dyDescent="0.25">
      <c r="A970" s="17">
        <v>946</v>
      </c>
      <c r="B970" s="17">
        <v>-0.12274598032553564</v>
      </c>
      <c r="C970" s="17">
        <v>-0.26565401967446439</v>
      </c>
      <c r="D970" s="17">
        <v>-0.26302318494817395</v>
      </c>
    </row>
    <row r="971" spans="1:4" x14ac:dyDescent="0.25">
      <c r="A971" s="17">
        <v>947</v>
      </c>
      <c r="B971" s="17">
        <v>1.1507879727054695</v>
      </c>
      <c r="C971" s="17">
        <v>0.39361202729453049</v>
      </c>
      <c r="D971" s="17">
        <v>0.38971399408817819</v>
      </c>
    </row>
    <row r="972" spans="1:4" x14ac:dyDescent="0.25">
      <c r="A972" s="17">
        <v>948</v>
      </c>
      <c r="B972" s="17">
        <v>0.44429387329257958</v>
      </c>
      <c r="C972" s="17">
        <v>-6.189387329257956E-2</v>
      </c>
      <c r="D972" s="17">
        <v>-6.1280923594313093E-2</v>
      </c>
    </row>
    <row r="973" spans="1:4" x14ac:dyDescent="0.25">
      <c r="A973" s="17">
        <v>949</v>
      </c>
      <c r="B973" s="17">
        <v>-0.1214125532741115</v>
      </c>
      <c r="C973" s="17">
        <v>0.88191255327411144</v>
      </c>
      <c r="D973" s="17">
        <v>0.87317876421438578</v>
      </c>
    </row>
    <row r="974" spans="1:4" x14ac:dyDescent="0.25">
      <c r="A974" s="17">
        <v>950</v>
      </c>
      <c r="B974" s="17">
        <v>-0.25675539899366162</v>
      </c>
      <c r="C974" s="17">
        <v>0.25675539899366162</v>
      </c>
      <c r="D974" s="17">
        <v>0.25421268941726288</v>
      </c>
    </row>
    <row r="975" spans="1:4" x14ac:dyDescent="0.25">
      <c r="A975" s="17">
        <v>951</v>
      </c>
      <c r="B975" s="17">
        <v>-0.81879490116893638</v>
      </c>
      <c r="C975" s="17">
        <v>0.81879490116893638</v>
      </c>
      <c r="D975" s="17">
        <v>0.81068618117913749</v>
      </c>
    </row>
    <row r="976" spans="1:4" x14ac:dyDescent="0.25">
      <c r="A976" s="17">
        <v>952</v>
      </c>
      <c r="B976" s="17">
        <v>0.3418422281748249</v>
      </c>
      <c r="C976" s="17">
        <v>-1.102342228174825</v>
      </c>
      <c r="D976" s="17">
        <v>-1.0914254717948821</v>
      </c>
    </row>
    <row r="977" spans="1:4" x14ac:dyDescent="0.25">
      <c r="A977" s="17">
        <v>953</v>
      </c>
      <c r="B977" s="17">
        <v>1.7717205029853105</v>
      </c>
      <c r="C977" s="17">
        <v>0.86497949701468935</v>
      </c>
      <c r="D977" s="17">
        <v>0.85641340002483757</v>
      </c>
    </row>
    <row r="978" spans="1:4" x14ac:dyDescent="0.25">
      <c r="A978" s="17">
        <v>954</v>
      </c>
      <c r="B978" s="17">
        <v>-0.12241262356267961</v>
      </c>
      <c r="C978" s="17">
        <v>-0.24998737643732039</v>
      </c>
      <c r="D978" s="17">
        <v>-0.24751169219255925</v>
      </c>
    </row>
    <row r="979" spans="1:4" x14ac:dyDescent="0.25">
      <c r="A979" s="17">
        <v>955</v>
      </c>
      <c r="B979" s="17">
        <v>-1.3537213866319202</v>
      </c>
      <c r="C979" s="17">
        <v>-0.15007861336807982</v>
      </c>
      <c r="D979" s="17">
        <v>-0.1485923492859248</v>
      </c>
    </row>
    <row r="980" spans="1:4" x14ac:dyDescent="0.25">
      <c r="A980" s="17">
        <v>956</v>
      </c>
      <c r="B980" s="17">
        <v>0.83854380483031676</v>
      </c>
      <c r="C980" s="17">
        <v>0.66525619516968326</v>
      </c>
      <c r="D980" s="17">
        <v>0.65866800537953085</v>
      </c>
    </row>
    <row r="981" spans="1:4" x14ac:dyDescent="0.25">
      <c r="A981" s="17">
        <v>957</v>
      </c>
      <c r="B981" s="17">
        <v>9.9602980499439595E-2</v>
      </c>
      <c r="C981" s="17">
        <v>0.64389701950056044</v>
      </c>
      <c r="D981" s="17">
        <v>0.63752035468994395</v>
      </c>
    </row>
    <row r="982" spans="1:4" x14ac:dyDescent="0.25">
      <c r="A982" s="17">
        <v>958</v>
      </c>
      <c r="B982" s="17">
        <v>-1.1528183775506833</v>
      </c>
      <c r="C982" s="17">
        <v>-0.33978162244931664</v>
      </c>
      <c r="D982" s="17">
        <v>-0.33641668450186768</v>
      </c>
    </row>
    <row r="983" spans="1:4" x14ac:dyDescent="0.25">
      <c r="A983" s="17">
        <v>959</v>
      </c>
      <c r="B983" s="17">
        <v>-0.24486567445179641</v>
      </c>
      <c r="C983" s="17">
        <v>-0.88933432554820369</v>
      </c>
      <c r="D983" s="17">
        <v>-0.8805270369184236</v>
      </c>
    </row>
    <row r="984" spans="1:4" x14ac:dyDescent="0.25">
      <c r="A984" s="17">
        <v>960</v>
      </c>
      <c r="B984" s="17">
        <v>1.3712479118742606</v>
      </c>
      <c r="C984" s="17">
        <v>1.9935520881257391</v>
      </c>
      <c r="D984" s="17">
        <v>1.9738094692542578</v>
      </c>
    </row>
    <row r="985" spans="1:4" x14ac:dyDescent="0.25">
      <c r="A985" s="17">
        <v>961</v>
      </c>
      <c r="B985" s="17">
        <v>1.4965900547081297</v>
      </c>
      <c r="C985" s="17">
        <v>0.6853099452918705</v>
      </c>
      <c r="D985" s="17">
        <v>0.67852315846080591</v>
      </c>
    </row>
    <row r="986" spans="1:4" x14ac:dyDescent="0.25">
      <c r="A986" s="17">
        <v>962</v>
      </c>
      <c r="B986" s="17">
        <v>0.2270563828313969</v>
      </c>
      <c r="C986" s="17">
        <v>-0.58745638283139689</v>
      </c>
      <c r="D986" s="17">
        <v>-0.58163866302415412</v>
      </c>
    </row>
    <row r="987" spans="1:4" x14ac:dyDescent="0.25">
      <c r="A987" s="17">
        <v>963</v>
      </c>
      <c r="B987" s="17">
        <v>0.448071916604948</v>
      </c>
      <c r="C987" s="17">
        <v>-0.448071916604948</v>
      </c>
      <c r="D987" s="17">
        <v>-0.44363455420582332</v>
      </c>
    </row>
    <row r="988" spans="1:4" x14ac:dyDescent="0.25">
      <c r="A988" s="17">
        <v>964</v>
      </c>
      <c r="B988" s="17">
        <v>-1.9597132506990189E-3</v>
      </c>
      <c r="C988" s="17">
        <v>0.36235971325069904</v>
      </c>
      <c r="D988" s="17">
        <v>0.35877117911823314</v>
      </c>
    </row>
    <row r="989" spans="1:4" x14ac:dyDescent="0.25">
      <c r="A989" s="17">
        <v>965</v>
      </c>
      <c r="B989" s="17">
        <v>0.14716187866690056</v>
      </c>
      <c r="C989" s="17">
        <v>-0.14716187866690056</v>
      </c>
      <c r="D989" s="17">
        <v>-0.14570449969986121</v>
      </c>
    </row>
    <row r="990" spans="1:4" x14ac:dyDescent="0.25">
      <c r="A990" s="17">
        <v>966</v>
      </c>
      <c r="B990" s="17">
        <v>0.59385994089398719</v>
      </c>
      <c r="C990" s="17">
        <v>0.1229400591060128</v>
      </c>
      <c r="D990" s="17">
        <v>0.12172255455951794</v>
      </c>
    </row>
    <row r="991" spans="1:4" x14ac:dyDescent="0.25">
      <c r="A991" s="17">
        <v>967</v>
      </c>
      <c r="B991" s="17">
        <v>0.33673075781103234</v>
      </c>
      <c r="C991" s="17">
        <v>0.72896924218896775</v>
      </c>
      <c r="D991" s="17">
        <v>0.72175008699192444</v>
      </c>
    </row>
    <row r="992" spans="1:4" x14ac:dyDescent="0.25">
      <c r="A992" s="17">
        <v>968</v>
      </c>
      <c r="B992" s="17">
        <v>-0.77079152731766742</v>
      </c>
      <c r="C992" s="17">
        <v>-0.29490847268233267</v>
      </c>
      <c r="D992" s="17">
        <v>-0.29198792417355912</v>
      </c>
    </row>
    <row r="993" spans="1:4" x14ac:dyDescent="0.25">
      <c r="A993" s="17">
        <v>969</v>
      </c>
      <c r="B993" s="17">
        <v>-0.94291473587233332</v>
      </c>
      <c r="C993" s="17">
        <v>-0.85898526412766674</v>
      </c>
      <c r="D993" s="17">
        <v>-0.85047852944694158</v>
      </c>
    </row>
    <row r="994" spans="1:4" x14ac:dyDescent="0.25">
      <c r="A994" s="17">
        <v>970</v>
      </c>
      <c r="B994" s="17">
        <v>1.78661043839288</v>
      </c>
      <c r="C994" s="17">
        <v>-1.42361043839288</v>
      </c>
      <c r="D994" s="17">
        <v>-1.4095120867751516</v>
      </c>
    </row>
    <row r="995" spans="1:4" x14ac:dyDescent="0.25">
      <c r="A995" s="17">
        <v>971</v>
      </c>
      <c r="B995" s="17">
        <v>0.67431003966324354</v>
      </c>
      <c r="C995" s="17">
        <v>4.7689960336756432E-2</v>
      </c>
      <c r="D995" s="17">
        <v>4.7217675355324201E-2</v>
      </c>
    </row>
    <row r="996" spans="1:4" x14ac:dyDescent="0.25">
      <c r="A996" s="17">
        <v>972</v>
      </c>
      <c r="B996" s="17">
        <v>-0.1513035430102026</v>
      </c>
      <c r="C996" s="17">
        <v>-0.93369645698979742</v>
      </c>
      <c r="D996" s="17">
        <v>-0.92444983965694771</v>
      </c>
    </row>
    <row r="997" spans="1:4" x14ac:dyDescent="0.25">
      <c r="A997" s="17">
        <v>973</v>
      </c>
      <c r="B997" s="17">
        <v>-0.16063753237017159</v>
      </c>
      <c r="C997" s="17">
        <v>0.52363753237017163</v>
      </c>
      <c r="D997" s="17">
        <v>0.51845182576638449</v>
      </c>
    </row>
    <row r="998" spans="1:4" x14ac:dyDescent="0.25">
      <c r="A998" s="17">
        <v>974</v>
      </c>
      <c r="B998" s="17">
        <v>-0.63622651404478126</v>
      </c>
      <c r="C998" s="17">
        <v>0.63622651404478126</v>
      </c>
      <c r="D998" s="17">
        <v>0.62992581206787601</v>
      </c>
    </row>
    <row r="999" spans="1:4" x14ac:dyDescent="0.25">
      <c r="A999" s="17">
        <v>975</v>
      </c>
      <c r="B999" s="17">
        <v>-1.1115932578774868</v>
      </c>
      <c r="C999" s="17">
        <v>-0.34830674212251322</v>
      </c>
      <c r="D999" s="17">
        <v>-0.34485737789418391</v>
      </c>
    </row>
    <row r="1000" spans="1:4" x14ac:dyDescent="0.25">
      <c r="A1000" s="17">
        <v>976</v>
      </c>
      <c r="B1000" s="17">
        <v>-0.16285991078921186</v>
      </c>
      <c r="C1000" s="17">
        <v>-0.94624008921078806</v>
      </c>
      <c r="D1000" s="17">
        <v>-0.93686924931476678</v>
      </c>
    </row>
    <row r="1001" spans="1:4" x14ac:dyDescent="0.25">
      <c r="A1001" s="17">
        <v>977</v>
      </c>
      <c r="B1001" s="17">
        <v>0.24794673997037509</v>
      </c>
      <c r="C1001" s="17">
        <v>0.1231532600296249</v>
      </c>
      <c r="D1001" s="17">
        <v>0.1219336441038473</v>
      </c>
    </row>
    <row r="1002" spans="1:4" x14ac:dyDescent="0.25">
      <c r="A1002" s="17">
        <v>978</v>
      </c>
      <c r="B1002" s="17">
        <v>-0.44221287806256904</v>
      </c>
      <c r="C1002" s="17">
        <v>1.1802128780625689</v>
      </c>
      <c r="D1002" s="17">
        <v>1.1685249501786732</v>
      </c>
    </row>
    <row r="1003" spans="1:4" x14ac:dyDescent="0.25">
      <c r="A1003" s="17">
        <v>979</v>
      </c>
      <c r="B1003" s="17">
        <v>-0.35787361705999221</v>
      </c>
      <c r="C1003" s="17">
        <v>-1.8727263829400078</v>
      </c>
      <c r="D1003" s="17">
        <v>-1.8541803296669717</v>
      </c>
    </row>
    <row r="1004" spans="1:4" x14ac:dyDescent="0.25">
      <c r="A1004" s="17">
        <v>980</v>
      </c>
      <c r="B1004" s="17">
        <v>-1.4596177182991874</v>
      </c>
      <c r="C1004" s="17">
        <v>-0.43798228170081255</v>
      </c>
      <c r="D1004" s="17">
        <v>-0.43364483934774595</v>
      </c>
    </row>
    <row r="1005" spans="1:4" x14ac:dyDescent="0.25">
      <c r="A1005" s="17">
        <v>981</v>
      </c>
      <c r="B1005" s="17">
        <v>0.70320095911076663</v>
      </c>
      <c r="C1005" s="17">
        <v>6.0199040889233335E-2</v>
      </c>
      <c r="D1005" s="17">
        <v>5.960287551799278E-2</v>
      </c>
    </row>
    <row r="1006" spans="1:4" x14ac:dyDescent="0.25">
      <c r="A1006" s="17">
        <v>982</v>
      </c>
      <c r="B1006" s="17">
        <v>1.57504001290025</v>
      </c>
      <c r="C1006" s="17">
        <v>3.2496599870997498</v>
      </c>
      <c r="D1006" s="17">
        <v>3.2174778339624663</v>
      </c>
    </row>
    <row r="1007" spans="1:4" x14ac:dyDescent="0.25">
      <c r="A1007" s="17">
        <v>983</v>
      </c>
      <c r="B1007" s="17">
        <v>1.2450168176727754</v>
      </c>
      <c r="C1007" s="17">
        <v>-0.88331681767277537</v>
      </c>
      <c r="D1007" s="17">
        <v>-0.87456912184984914</v>
      </c>
    </row>
    <row r="1008" spans="1:4" x14ac:dyDescent="0.25">
      <c r="A1008" s="17">
        <v>984</v>
      </c>
      <c r="B1008" s="17">
        <v>0.1053811643889442</v>
      </c>
      <c r="C1008" s="17">
        <v>-0.8299811643889442</v>
      </c>
      <c r="D1008" s="17">
        <v>-0.82176166418293517</v>
      </c>
    </row>
    <row r="1009" spans="1:4" x14ac:dyDescent="0.25">
      <c r="A1009" s="17">
        <v>985</v>
      </c>
      <c r="B1009" s="17">
        <v>1.147565523997861</v>
      </c>
      <c r="C1009" s="17">
        <v>-0.78456552399786106</v>
      </c>
      <c r="D1009" s="17">
        <v>-0.7767957856437675</v>
      </c>
    </row>
    <row r="1010" spans="1:4" x14ac:dyDescent="0.25">
      <c r="A1010" s="17">
        <v>986</v>
      </c>
      <c r="B1010" s="17">
        <v>-0.26064456122698204</v>
      </c>
      <c r="C1010" s="17">
        <v>-0.10235543877301795</v>
      </c>
      <c r="D1010" s="17">
        <v>-0.10134178860096812</v>
      </c>
    </row>
    <row r="1011" spans="1:4" x14ac:dyDescent="0.25">
      <c r="A1011" s="17">
        <v>987</v>
      </c>
      <c r="B1011" s="17">
        <v>0.74198146252301878</v>
      </c>
      <c r="C1011" s="17">
        <v>0.34301853747698119</v>
      </c>
      <c r="D1011" s="17">
        <v>0.33962154359274921</v>
      </c>
    </row>
    <row r="1012" spans="1:4" x14ac:dyDescent="0.25">
      <c r="A1012" s="17">
        <v>988</v>
      </c>
      <c r="B1012" s="17">
        <v>0.1257159269231623</v>
      </c>
      <c r="C1012" s="17">
        <v>-0.4861159269231623</v>
      </c>
      <c r="D1012" s="17">
        <v>-0.48130180567207231</v>
      </c>
    </row>
    <row r="1013" spans="1:4" x14ac:dyDescent="0.25">
      <c r="A1013" s="17">
        <v>989</v>
      </c>
      <c r="B1013" s="17">
        <v>0.88632494083968183</v>
      </c>
      <c r="C1013" s="17">
        <v>0.90267505916031809</v>
      </c>
      <c r="D1013" s="17">
        <v>0.89373565408334876</v>
      </c>
    </row>
    <row r="1014" spans="1:4" x14ac:dyDescent="0.25">
      <c r="A1014" s="17">
        <v>990</v>
      </c>
      <c r="B1014" s="17">
        <v>-0.14152507796642561</v>
      </c>
      <c r="C1014" s="17">
        <v>-0.57017492203357434</v>
      </c>
      <c r="D1014" s="17">
        <v>-0.56452834462893342</v>
      </c>
    </row>
    <row r="1015" spans="1:4" x14ac:dyDescent="0.25">
      <c r="A1015" s="17">
        <v>991</v>
      </c>
      <c r="B1015" s="17">
        <v>0.53685593444560531</v>
      </c>
      <c r="C1015" s="17">
        <v>0.17484406555439469</v>
      </c>
      <c r="D1015" s="17">
        <v>0.17311254332894532</v>
      </c>
    </row>
    <row r="1016" spans="1:4" x14ac:dyDescent="0.25">
      <c r="A1016" s="17">
        <v>992</v>
      </c>
      <c r="B1016" s="17">
        <v>-0.32420458401153274</v>
      </c>
      <c r="C1016" s="17">
        <v>-0.74529541598846716</v>
      </c>
      <c r="D1016" s="17">
        <v>-0.73791457882240341</v>
      </c>
    </row>
    <row r="1017" spans="1:4" x14ac:dyDescent="0.25">
      <c r="A1017" s="17">
        <v>993</v>
      </c>
      <c r="B1017" s="17">
        <v>-2.6662580809170819</v>
      </c>
      <c r="C1017" s="17">
        <v>-1.7300419190829182</v>
      </c>
      <c r="D1017" s="17">
        <v>-1.7129089038767531</v>
      </c>
    </row>
    <row r="1018" spans="1:4" x14ac:dyDescent="0.25">
      <c r="A1018" s="17">
        <v>994</v>
      </c>
      <c r="B1018" s="17">
        <v>0.46151730604014141</v>
      </c>
      <c r="C1018" s="17">
        <v>-8.7717306040141385E-2</v>
      </c>
      <c r="D1018" s="17">
        <v>-8.6848620766303494E-2</v>
      </c>
    </row>
    <row r="1019" spans="1:4" x14ac:dyDescent="0.25">
      <c r="A1019" s="17">
        <v>995</v>
      </c>
      <c r="B1019" s="17">
        <v>1.9885135177626849</v>
      </c>
      <c r="C1019" s="17">
        <v>0.95288648223731487</v>
      </c>
      <c r="D1019" s="17">
        <v>0.94344982153572032</v>
      </c>
    </row>
    <row r="1020" spans="1:4" x14ac:dyDescent="0.25">
      <c r="A1020" s="17">
        <v>996</v>
      </c>
      <c r="B1020" s="17">
        <v>-0.19808460873099953</v>
      </c>
      <c r="C1020" s="17">
        <v>-2.7433153912690003</v>
      </c>
      <c r="D1020" s="17">
        <v>-2.7161476886859131</v>
      </c>
    </row>
    <row r="1021" spans="1:4" x14ac:dyDescent="0.25">
      <c r="A1021" s="17">
        <v>997</v>
      </c>
      <c r="B1021" s="17">
        <v>-0.37820837959421033</v>
      </c>
      <c r="C1021" s="17">
        <v>-1.1255916204057896</v>
      </c>
      <c r="D1021" s="17">
        <v>-1.1144446197836504</v>
      </c>
    </row>
    <row r="1022" spans="1:4" x14ac:dyDescent="0.25">
      <c r="A1022" s="17">
        <v>998</v>
      </c>
      <c r="B1022" s="17">
        <v>0.7180908945183363</v>
      </c>
      <c r="C1022" s="17">
        <v>-0.33999089451833631</v>
      </c>
      <c r="D1022" s="17">
        <v>-0.3366238840999829</v>
      </c>
    </row>
    <row r="1023" spans="1:4" x14ac:dyDescent="0.25">
      <c r="A1023" s="17">
        <v>999</v>
      </c>
      <c r="B1023" s="17">
        <v>-0.55022046922792434</v>
      </c>
      <c r="C1023" s="17">
        <v>-1.3545795307720758</v>
      </c>
      <c r="D1023" s="17">
        <v>-1.3411648085952974</v>
      </c>
    </row>
    <row r="1024" spans="1:4" x14ac:dyDescent="0.25">
      <c r="A1024" s="17">
        <v>1000</v>
      </c>
      <c r="B1024" s="17">
        <v>-0.11118961254652644</v>
      </c>
      <c r="C1024" s="17">
        <v>1.2583896125465264</v>
      </c>
      <c r="D1024" s="17">
        <v>1.2459274819303685</v>
      </c>
    </row>
    <row r="1025" spans="1:4" x14ac:dyDescent="0.25">
      <c r="A1025" s="17">
        <v>1001</v>
      </c>
      <c r="B1025" s="17">
        <v>-0.25308847460224526</v>
      </c>
      <c r="C1025" s="17">
        <v>4.3504884746022459</v>
      </c>
      <c r="D1025" s="17">
        <v>4.3074045560177083</v>
      </c>
    </row>
    <row r="1026" spans="1:4" x14ac:dyDescent="0.25">
      <c r="A1026" s="17">
        <v>1002</v>
      </c>
      <c r="B1026" s="17">
        <v>0.50640935010475407</v>
      </c>
      <c r="C1026" s="17">
        <v>0.94289064989524596</v>
      </c>
      <c r="D1026" s="17">
        <v>0.93355298029070277</v>
      </c>
    </row>
    <row r="1027" spans="1:4" x14ac:dyDescent="0.25">
      <c r="A1027" s="17">
        <v>1003</v>
      </c>
      <c r="B1027" s="17">
        <v>1.0085557538868946</v>
      </c>
      <c r="C1027" s="17">
        <v>-1.7305557538868945</v>
      </c>
      <c r="D1027" s="17">
        <v>-1.7134176500528686</v>
      </c>
    </row>
    <row r="1028" spans="1:4" x14ac:dyDescent="0.25">
      <c r="A1028" s="17">
        <v>1004</v>
      </c>
      <c r="B1028" s="17">
        <v>0.88621382191872988</v>
      </c>
      <c r="C1028" s="17">
        <v>1.26438617808127</v>
      </c>
      <c r="D1028" s="17">
        <v>1.2518646620552221</v>
      </c>
    </row>
    <row r="1029" spans="1:4" x14ac:dyDescent="0.25">
      <c r="A1029" s="17">
        <v>1005</v>
      </c>
      <c r="B1029" s="17">
        <v>0.6644204556985146</v>
      </c>
      <c r="C1029" s="17">
        <v>-1.3761204556985147</v>
      </c>
      <c r="D1029" s="17">
        <v>-1.3624924086362242</v>
      </c>
    </row>
    <row r="1030" spans="1:4" x14ac:dyDescent="0.25">
      <c r="A1030" s="17">
        <v>1006</v>
      </c>
      <c r="B1030" s="17">
        <v>1.2686851478355539</v>
      </c>
      <c r="C1030" s="17">
        <v>2.240414852164446</v>
      </c>
      <c r="D1030" s="17">
        <v>2.2182274928254313</v>
      </c>
    </row>
    <row r="1031" spans="1:4" x14ac:dyDescent="0.25">
      <c r="A1031" s="17">
        <v>1007</v>
      </c>
      <c r="B1031" s="17">
        <v>0.15116215982117298</v>
      </c>
      <c r="C1031" s="17">
        <v>-0.15116215982117298</v>
      </c>
      <c r="D1031" s="17">
        <v>-0.14966516512165393</v>
      </c>
    </row>
    <row r="1032" spans="1:4" x14ac:dyDescent="0.25">
      <c r="A1032" s="17">
        <v>1008</v>
      </c>
      <c r="B1032" s="17">
        <v>0.58597049750639441</v>
      </c>
      <c r="C1032" s="17">
        <v>0.78392950249360549</v>
      </c>
      <c r="D1032" s="17">
        <v>0.77616606281122824</v>
      </c>
    </row>
    <row r="1033" spans="1:4" x14ac:dyDescent="0.25">
      <c r="A1033" s="17">
        <v>1009</v>
      </c>
      <c r="B1033" s="17">
        <v>-5.2296584441960295E-2</v>
      </c>
      <c r="C1033" s="17">
        <v>-0.28840341555803972</v>
      </c>
      <c r="D1033" s="17">
        <v>-0.28554728817189806</v>
      </c>
    </row>
    <row r="1034" spans="1:4" x14ac:dyDescent="0.25">
      <c r="A1034" s="17">
        <v>1010</v>
      </c>
      <c r="B1034" s="17">
        <v>-0.91369045966195428</v>
      </c>
      <c r="C1034" s="17">
        <v>-1.1553095403380458</v>
      </c>
      <c r="D1034" s="17">
        <v>-1.1438682361106129</v>
      </c>
    </row>
    <row r="1035" spans="1:4" x14ac:dyDescent="0.25">
      <c r="A1035" s="17">
        <v>1011</v>
      </c>
      <c r="B1035" s="17">
        <v>-0.6964529692007716</v>
      </c>
      <c r="C1035" s="17">
        <v>-1.0610470307992284</v>
      </c>
      <c r="D1035" s="17">
        <v>-1.0505392305473269</v>
      </c>
    </row>
    <row r="1036" spans="1:4" x14ac:dyDescent="0.25">
      <c r="A1036" s="17">
        <v>1012</v>
      </c>
      <c r="B1036" s="17">
        <v>0.3695108394918758</v>
      </c>
      <c r="C1036" s="17">
        <v>0.68868916050812423</v>
      </c>
      <c r="D1036" s="17">
        <v>0.68186890850777881</v>
      </c>
    </row>
    <row r="1037" spans="1:4" x14ac:dyDescent="0.25">
      <c r="A1037" s="17">
        <v>1013</v>
      </c>
      <c r="B1037" s="17">
        <v>0.80076337170663281</v>
      </c>
      <c r="C1037" s="17">
        <v>0.59303662829336712</v>
      </c>
      <c r="D1037" s="17">
        <v>0.58716364599259774</v>
      </c>
    </row>
    <row r="1038" spans="1:4" x14ac:dyDescent="0.25">
      <c r="A1038" s="17">
        <v>1014</v>
      </c>
      <c r="B1038" s="17">
        <v>0.8363214264112766</v>
      </c>
      <c r="C1038" s="17">
        <v>0.19637857358872335</v>
      </c>
      <c r="D1038" s="17">
        <v>0.19443379002576544</v>
      </c>
    </row>
    <row r="1039" spans="1:4" x14ac:dyDescent="0.25">
      <c r="A1039" s="17">
        <v>1015</v>
      </c>
      <c r="B1039" s="17">
        <v>5.0377298517698454E-2</v>
      </c>
      <c r="C1039" s="17">
        <v>-0.39347729851769847</v>
      </c>
      <c r="D1039" s="17">
        <v>-0.38958059956235869</v>
      </c>
    </row>
    <row r="1040" spans="1:4" x14ac:dyDescent="0.25">
      <c r="A1040" s="17">
        <v>1016</v>
      </c>
      <c r="B1040" s="17">
        <v>-0.58233383738305566</v>
      </c>
      <c r="C1040" s="17">
        <v>-1.1507661626169443</v>
      </c>
      <c r="D1040" s="17">
        <v>-1.1393698525360259</v>
      </c>
    </row>
    <row r="1041" spans="1:4" x14ac:dyDescent="0.25">
      <c r="A1041" s="17">
        <v>1017</v>
      </c>
      <c r="B1041" s="17">
        <v>-0.33598318963244594</v>
      </c>
      <c r="C1041" s="17">
        <v>-0.36581681036755404</v>
      </c>
      <c r="D1041" s="17">
        <v>-0.36219403978288495</v>
      </c>
    </row>
    <row r="1042" spans="1:4" x14ac:dyDescent="0.25">
      <c r="A1042" s="17">
        <v>1018</v>
      </c>
      <c r="B1042" s="17">
        <v>-0.25608868546794955</v>
      </c>
      <c r="C1042" s="17">
        <v>0.60758868546794953</v>
      </c>
      <c r="D1042" s="17">
        <v>0.60157159069562494</v>
      </c>
    </row>
    <row r="1043" spans="1:4" x14ac:dyDescent="0.25">
      <c r="A1043" s="17">
        <v>1019</v>
      </c>
      <c r="B1043" s="17">
        <v>0.87988004342446513</v>
      </c>
      <c r="C1043" s="17">
        <v>2.907119956575535</v>
      </c>
      <c r="D1043" s="17">
        <v>2.8783300585547074</v>
      </c>
    </row>
    <row r="1044" spans="1:4" x14ac:dyDescent="0.25">
      <c r="A1044" s="17">
        <v>1020</v>
      </c>
      <c r="B1044" s="17">
        <v>0.47185136568867847</v>
      </c>
      <c r="C1044" s="17">
        <v>-0.13455136568867848</v>
      </c>
      <c r="D1044" s="17">
        <v>-0.1332188716208027</v>
      </c>
    </row>
    <row r="1045" spans="1:4" x14ac:dyDescent="0.25">
      <c r="A1045" s="17">
        <v>1021</v>
      </c>
      <c r="B1045" s="17">
        <v>0.46007276006776521</v>
      </c>
      <c r="C1045" s="17">
        <v>-0.46007276006776521</v>
      </c>
      <c r="D1045" s="17">
        <v>-0.45551655047120138</v>
      </c>
    </row>
    <row r="1046" spans="1:4" x14ac:dyDescent="0.25">
      <c r="A1046" s="17">
        <v>1022</v>
      </c>
      <c r="B1046" s="17">
        <v>1.2306824768699658</v>
      </c>
      <c r="C1046" s="17">
        <v>0.43881752313003419</v>
      </c>
      <c r="D1046" s="17">
        <v>0.43447180918311207</v>
      </c>
    </row>
    <row r="1047" spans="1:4" x14ac:dyDescent="0.25">
      <c r="A1047" s="17">
        <v>1023</v>
      </c>
      <c r="B1047" s="17">
        <v>0.87910221097780106</v>
      </c>
      <c r="C1047" s="17">
        <v>1.4122977890221988</v>
      </c>
      <c r="D1047" s="17">
        <v>1.3983114692526888</v>
      </c>
    </row>
    <row r="1048" spans="1:4" x14ac:dyDescent="0.25">
      <c r="A1048" s="17">
        <v>1024</v>
      </c>
      <c r="B1048" s="17">
        <v>-0.81846154440608032</v>
      </c>
      <c r="C1048" s="17">
        <v>-1.8046384555939197</v>
      </c>
      <c r="D1048" s="17">
        <v>-1.7867666932046531</v>
      </c>
    </row>
    <row r="1049" spans="1:4" x14ac:dyDescent="0.25">
      <c r="A1049" s="17">
        <v>1025</v>
      </c>
      <c r="B1049" s="17">
        <v>-0.1675269054691963</v>
      </c>
      <c r="C1049" s="17">
        <v>-0.83417309453080368</v>
      </c>
      <c r="D1049" s="17">
        <v>-0.8259120806469632</v>
      </c>
    </row>
    <row r="1050" spans="1:4" x14ac:dyDescent="0.25">
      <c r="A1050" s="17">
        <v>1026</v>
      </c>
      <c r="B1050" s="17">
        <v>0.12327131066221807</v>
      </c>
      <c r="C1050" s="17">
        <v>0.87842868933778195</v>
      </c>
      <c r="D1050" s="17">
        <v>0.86972940180841751</v>
      </c>
    </row>
    <row r="1051" spans="1:4" x14ac:dyDescent="0.25">
      <c r="A1051" s="17">
        <v>1027</v>
      </c>
      <c r="B1051" s="17">
        <v>0.256725134725584</v>
      </c>
      <c r="C1051" s="17">
        <v>-0.256725134725584</v>
      </c>
      <c r="D1051" s="17">
        <v>-0.25418272486340576</v>
      </c>
    </row>
    <row r="1052" spans="1:4" x14ac:dyDescent="0.25">
      <c r="A1052" s="17">
        <v>1028</v>
      </c>
      <c r="B1052" s="17">
        <v>-0.23586504185468349</v>
      </c>
      <c r="C1052" s="17">
        <v>-9.6934958145316497E-2</v>
      </c>
      <c r="D1052" s="17">
        <v>-9.5974988277769555E-2</v>
      </c>
    </row>
    <row r="1053" spans="1:4" x14ac:dyDescent="0.25">
      <c r="A1053" s="17">
        <v>1029</v>
      </c>
      <c r="B1053" s="17">
        <v>0.65764220152044195</v>
      </c>
      <c r="C1053" s="17">
        <v>-1.326542201520442</v>
      </c>
      <c r="D1053" s="17">
        <v>-1.3134051396610871</v>
      </c>
    </row>
    <row r="1054" spans="1:4" x14ac:dyDescent="0.25">
      <c r="A1054" s="17">
        <v>1030</v>
      </c>
      <c r="B1054" s="17">
        <v>-0.88557737266109537</v>
      </c>
      <c r="C1054" s="17">
        <v>-1.4914226273389044</v>
      </c>
      <c r="D1054" s="17">
        <v>-1.4766527155401421</v>
      </c>
    </row>
    <row r="1055" spans="1:4" x14ac:dyDescent="0.25">
      <c r="A1055" s="17">
        <v>1031</v>
      </c>
      <c r="B1055" s="17">
        <v>-0.23553168509182748</v>
      </c>
      <c r="C1055" s="17">
        <v>-0.80076831490817257</v>
      </c>
      <c r="D1055" s="17">
        <v>-0.79283811647505631</v>
      </c>
    </row>
    <row r="1056" spans="1:4" x14ac:dyDescent="0.25">
      <c r="A1056" s="17">
        <v>1032</v>
      </c>
      <c r="B1056" s="17">
        <v>-8.3409882308523545E-2</v>
      </c>
      <c r="C1056" s="17">
        <v>1.4627098823085236</v>
      </c>
      <c r="D1056" s="17">
        <v>1.4482243196297393</v>
      </c>
    </row>
    <row r="1057" spans="1:4" x14ac:dyDescent="0.25">
      <c r="A1057" s="17">
        <v>1033</v>
      </c>
      <c r="B1057" s="17">
        <v>0.91877166575766922</v>
      </c>
      <c r="C1057" s="17">
        <v>0.44182833424233081</v>
      </c>
      <c r="D1057" s="17">
        <v>0.43745280351929428</v>
      </c>
    </row>
    <row r="1058" spans="1:4" x14ac:dyDescent="0.25">
      <c r="A1058" s="17">
        <v>1034</v>
      </c>
      <c r="B1058" s="17">
        <v>-0.12074583974839943</v>
      </c>
      <c r="C1058" s="17">
        <v>0.79414583974839947</v>
      </c>
      <c r="D1058" s="17">
        <v>0.78628122525655264</v>
      </c>
    </row>
    <row r="1059" spans="1:4" x14ac:dyDescent="0.25">
      <c r="A1059" s="17">
        <v>1035</v>
      </c>
      <c r="B1059" s="17">
        <v>-0.70111996388075604</v>
      </c>
      <c r="C1059" s="17">
        <v>-1.3328800361192439</v>
      </c>
      <c r="D1059" s="17">
        <v>-1.3196802091815647</v>
      </c>
    </row>
    <row r="1060" spans="1:4" x14ac:dyDescent="0.25">
      <c r="A1060" s="17">
        <v>1036</v>
      </c>
      <c r="B1060" s="17">
        <v>0.38173392079659707</v>
      </c>
      <c r="C1060" s="17">
        <v>1.6522660792034027</v>
      </c>
      <c r="D1060" s="17">
        <v>1.6359032965752058</v>
      </c>
    </row>
    <row r="1061" spans="1:4" x14ac:dyDescent="0.25">
      <c r="A1061" s="17">
        <v>1037</v>
      </c>
      <c r="B1061" s="17">
        <v>1.3922493879341908</v>
      </c>
      <c r="C1061" s="17">
        <v>1.5831506120658092</v>
      </c>
      <c r="D1061" s="17">
        <v>1.5674722962915004</v>
      </c>
    </row>
    <row r="1062" spans="1:4" x14ac:dyDescent="0.25">
      <c r="A1062" s="17">
        <v>1038</v>
      </c>
      <c r="B1062" s="17">
        <v>1.0270014947649284</v>
      </c>
      <c r="C1062" s="17">
        <v>-0.70180149476492848</v>
      </c>
      <c r="D1062" s="17">
        <v>-0.6948513882103482</v>
      </c>
    </row>
    <row r="1063" spans="1:4" x14ac:dyDescent="0.25">
      <c r="A1063" s="17">
        <v>1039</v>
      </c>
      <c r="B1063" s="17">
        <v>0.22005589081142019</v>
      </c>
      <c r="C1063" s="17">
        <v>-0.22005589081142019</v>
      </c>
      <c r="D1063" s="17">
        <v>-0.21787662516363934</v>
      </c>
    </row>
    <row r="1064" spans="1:4" x14ac:dyDescent="0.25">
      <c r="A1064" s="17">
        <v>1040</v>
      </c>
      <c r="B1064" s="17">
        <v>0.16794111688492674</v>
      </c>
      <c r="C1064" s="17">
        <v>-0.49314111688492673</v>
      </c>
      <c r="D1064" s="17">
        <v>-0.48825742351242546</v>
      </c>
    </row>
    <row r="1065" spans="1:4" x14ac:dyDescent="0.25">
      <c r="A1065" s="17">
        <v>1041</v>
      </c>
      <c r="B1065" s="17">
        <v>-0.22908678767661078</v>
      </c>
      <c r="C1065" s="17">
        <v>-1.0824132123233894</v>
      </c>
      <c r="D1065" s="17">
        <v>-1.0716938177113091</v>
      </c>
    </row>
    <row r="1066" spans="1:4" x14ac:dyDescent="0.25">
      <c r="A1066" s="17">
        <v>1042</v>
      </c>
      <c r="B1066" s="17">
        <v>-0.65900589283994371</v>
      </c>
      <c r="C1066" s="17">
        <v>0.3284058928399437</v>
      </c>
      <c r="D1066" s="17">
        <v>0.32515361143926902</v>
      </c>
    </row>
    <row r="1067" spans="1:4" x14ac:dyDescent="0.25">
      <c r="A1067" s="17">
        <v>1043</v>
      </c>
      <c r="B1067" s="17">
        <v>-0.48899394378336591</v>
      </c>
      <c r="C1067" s="17">
        <v>-3.221406056216634</v>
      </c>
      <c r="D1067" s="17">
        <v>-3.1895037084540729</v>
      </c>
    </row>
    <row r="1068" spans="1:4" x14ac:dyDescent="0.25">
      <c r="A1068" s="17">
        <v>1044</v>
      </c>
      <c r="B1068" s="17">
        <v>-1.2688265310245834</v>
      </c>
      <c r="C1068" s="17">
        <v>-0.81457346897541671</v>
      </c>
      <c r="D1068" s="17">
        <v>-0.80650655482925981</v>
      </c>
    </row>
    <row r="1069" spans="1:4" x14ac:dyDescent="0.25">
      <c r="A1069" s="17">
        <v>1045</v>
      </c>
      <c r="B1069" s="17">
        <v>0.2842826271216829</v>
      </c>
      <c r="C1069" s="17">
        <v>-0.2842826271216829</v>
      </c>
      <c r="D1069" s="17">
        <v>-0.28146730888019994</v>
      </c>
    </row>
    <row r="1070" spans="1:4" x14ac:dyDescent="0.25">
      <c r="A1070" s="17">
        <v>1046</v>
      </c>
      <c r="B1070" s="17">
        <v>0.8232093937389392</v>
      </c>
      <c r="C1070" s="17">
        <v>1.2601906062610611</v>
      </c>
      <c r="D1070" s="17">
        <v>1.2477106399772486</v>
      </c>
    </row>
    <row r="1071" spans="1:4" x14ac:dyDescent="0.25">
      <c r="A1071" s="17">
        <v>1047</v>
      </c>
      <c r="B1071" s="17">
        <v>-0.84468560975075513</v>
      </c>
      <c r="C1071" s="17">
        <v>-0.19161439024924487</v>
      </c>
      <c r="D1071" s="17">
        <v>-0.18971678752317878</v>
      </c>
    </row>
    <row r="1072" spans="1:4" x14ac:dyDescent="0.25">
      <c r="A1072" s="17">
        <v>1048</v>
      </c>
      <c r="B1072" s="17">
        <v>1.1500101402588054</v>
      </c>
      <c r="C1072" s="17">
        <v>0.91188985974119463</v>
      </c>
      <c r="D1072" s="17">
        <v>0.9028591983098373</v>
      </c>
    </row>
    <row r="1073" spans="1:4" x14ac:dyDescent="0.25">
      <c r="A1073" s="17">
        <v>1049</v>
      </c>
      <c r="B1073" s="17">
        <v>0.55252370229983894</v>
      </c>
      <c r="C1073" s="17">
        <v>-1.2351237022998389</v>
      </c>
      <c r="D1073" s="17">
        <v>-1.2228919795077025</v>
      </c>
    </row>
    <row r="1074" spans="1:4" x14ac:dyDescent="0.25">
      <c r="A1074" s="17">
        <v>1050</v>
      </c>
      <c r="B1074" s="17">
        <v>-0.73656689966444777</v>
      </c>
      <c r="C1074" s="17">
        <v>-1.3396331003355524</v>
      </c>
      <c r="D1074" s="17">
        <v>-1.3263663962022227</v>
      </c>
    </row>
    <row r="1075" spans="1:4" x14ac:dyDescent="0.25">
      <c r="A1075" s="17">
        <v>1051</v>
      </c>
      <c r="B1075" s="17">
        <v>2.6597849433967966E-2</v>
      </c>
      <c r="C1075" s="17">
        <v>-2.6597849433967966E-2</v>
      </c>
      <c r="D1075" s="17">
        <v>-2.6334444626386757E-2</v>
      </c>
    </row>
    <row r="1076" spans="1:4" x14ac:dyDescent="0.25">
      <c r="A1076" s="17">
        <v>1052</v>
      </c>
      <c r="B1076" s="17">
        <v>0.64753037971380889</v>
      </c>
      <c r="C1076" s="17">
        <v>2.1112696202861909</v>
      </c>
      <c r="D1076" s="17">
        <v>2.0903612167904813</v>
      </c>
    </row>
    <row r="1077" spans="1:4" x14ac:dyDescent="0.25">
      <c r="A1077" s="17">
        <v>1053</v>
      </c>
      <c r="B1077" s="17">
        <v>0.6348628227252795</v>
      </c>
      <c r="C1077" s="17">
        <v>-0.6348628227252795</v>
      </c>
      <c r="D1077" s="17">
        <v>-0.62857562570675474</v>
      </c>
    </row>
    <row r="1078" spans="1:4" x14ac:dyDescent="0.25">
      <c r="A1078" s="17">
        <v>1054</v>
      </c>
      <c r="B1078" s="17">
        <v>-0.20741859809096846</v>
      </c>
      <c r="C1078" s="17">
        <v>-1.8544814019090317</v>
      </c>
      <c r="D1078" s="17">
        <v>-1.8361160330078548</v>
      </c>
    </row>
    <row r="1079" spans="1:4" x14ac:dyDescent="0.25">
      <c r="A1079" s="17">
        <v>1055</v>
      </c>
      <c r="B1079" s="17">
        <v>-1.1113710200355829</v>
      </c>
      <c r="C1079" s="17">
        <v>0.41447102003558289</v>
      </c>
      <c r="D1079" s="17">
        <v>0.41036641527979256</v>
      </c>
    </row>
    <row r="1080" spans="1:4" x14ac:dyDescent="0.25">
      <c r="A1080" s="17">
        <v>1056</v>
      </c>
      <c r="B1080" s="17">
        <v>1.4245849939312263</v>
      </c>
      <c r="C1080" s="17">
        <v>1.3342150060687736</v>
      </c>
      <c r="D1080" s="17">
        <v>1.321001958607249</v>
      </c>
    </row>
    <row r="1081" spans="1:4" x14ac:dyDescent="0.25">
      <c r="A1081" s="17">
        <v>1057</v>
      </c>
      <c r="B1081" s="17">
        <v>-0.92102430844478711</v>
      </c>
      <c r="C1081" s="17">
        <v>-2.1880756915552131</v>
      </c>
      <c r="D1081" s="17">
        <v>-2.1664066593299549</v>
      </c>
    </row>
    <row r="1082" spans="1:4" x14ac:dyDescent="0.25">
      <c r="A1082" s="17">
        <v>1058</v>
      </c>
      <c r="B1082" s="17">
        <v>-0.13785815357500919</v>
      </c>
      <c r="C1082" s="17">
        <v>0.48815815357500919</v>
      </c>
      <c r="D1082" s="17">
        <v>0.48332380766930561</v>
      </c>
    </row>
    <row r="1083" spans="1:4" x14ac:dyDescent="0.25">
      <c r="A1083" s="17">
        <v>1059</v>
      </c>
      <c r="B1083" s="17">
        <v>-0.14741438077688218</v>
      </c>
      <c r="C1083" s="17">
        <v>-0.20288561922311782</v>
      </c>
      <c r="D1083" s="17">
        <v>-0.20087639484484118</v>
      </c>
    </row>
    <row r="1084" spans="1:4" x14ac:dyDescent="0.25">
      <c r="A1084" s="17">
        <v>1060</v>
      </c>
      <c r="B1084" s="17">
        <v>0.98944329948314858</v>
      </c>
      <c r="C1084" s="17">
        <v>-0.29014329948314854</v>
      </c>
      <c r="D1084" s="17">
        <v>-0.28726994161408215</v>
      </c>
    </row>
    <row r="1085" spans="1:4" x14ac:dyDescent="0.25">
      <c r="A1085" s="17">
        <v>1061</v>
      </c>
      <c r="B1085" s="17">
        <v>2.1846384132429857</v>
      </c>
      <c r="C1085" s="17">
        <v>0.22516158675701448</v>
      </c>
      <c r="D1085" s="17">
        <v>0.22293175819205283</v>
      </c>
    </row>
    <row r="1086" spans="1:4" x14ac:dyDescent="0.25">
      <c r="A1086" s="17">
        <v>1062</v>
      </c>
      <c r="B1086" s="17">
        <v>1.3778039282104293</v>
      </c>
      <c r="C1086" s="17">
        <v>2.2953960717895709</v>
      </c>
      <c r="D1086" s="17">
        <v>2.2726642204001033</v>
      </c>
    </row>
    <row r="1087" spans="1:4" x14ac:dyDescent="0.25">
      <c r="A1087" s="17">
        <v>1063</v>
      </c>
      <c r="B1087" s="17">
        <v>0.74098139223445059</v>
      </c>
      <c r="C1087" s="17">
        <v>-1.3988813922344505</v>
      </c>
      <c r="D1087" s="17">
        <v>-1.3850279382224928</v>
      </c>
    </row>
    <row r="1088" spans="1:4" x14ac:dyDescent="0.25">
      <c r="A1088" s="17">
        <v>1064</v>
      </c>
      <c r="B1088" s="17">
        <v>-0.10941170981129426</v>
      </c>
      <c r="C1088" s="17">
        <v>0.10941170981129426</v>
      </c>
      <c r="D1088" s="17">
        <v>0.1083281797145651</v>
      </c>
    </row>
    <row r="1089" spans="1:4" x14ac:dyDescent="0.25">
      <c r="A1089" s="17">
        <v>1065</v>
      </c>
      <c r="B1089" s="17">
        <v>-1.0832579330347241</v>
      </c>
      <c r="C1089" s="17">
        <v>-0.91684206696527615</v>
      </c>
      <c r="D1089" s="17">
        <v>-0.90776236265192944</v>
      </c>
    </row>
    <row r="1090" spans="1:4" x14ac:dyDescent="0.25">
      <c r="A1090" s="17">
        <v>1066</v>
      </c>
      <c r="B1090" s="17">
        <v>-0.30931464860396313</v>
      </c>
      <c r="C1090" s="17">
        <v>-0.70588535139603703</v>
      </c>
      <c r="D1090" s="17">
        <v>-0.69889480144121952</v>
      </c>
    </row>
    <row r="1091" spans="1:4" x14ac:dyDescent="0.25">
      <c r="A1091" s="17">
        <v>1067</v>
      </c>
      <c r="B1091" s="17">
        <v>0.35473202300525825</v>
      </c>
      <c r="C1091" s="17">
        <v>-1.5132023005258233E-2</v>
      </c>
      <c r="D1091" s="17">
        <v>-1.4982166994609336E-2</v>
      </c>
    </row>
    <row r="1092" spans="1:4" x14ac:dyDescent="0.25">
      <c r="A1092" s="17">
        <v>1068</v>
      </c>
      <c r="B1092" s="17">
        <v>-0.20919650082620073</v>
      </c>
      <c r="C1092" s="17">
        <v>-0.13040349917379929</v>
      </c>
      <c r="D1092" s="17">
        <v>-0.1291120824112123</v>
      </c>
    </row>
    <row r="1093" spans="1:4" x14ac:dyDescent="0.25">
      <c r="A1093" s="17">
        <v>1069</v>
      </c>
      <c r="B1093" s="17">
        <v>5.0377298517698454E-2</v>
      </c>
      <c r="C1093" s="17">
        <v>0.28922270148230156</v>
      </c>
      <c r="D1093" s="17">
        <v>0.28635846051345198</v>
      </c>
    </row>
    <row r="1094" spans="1:4" x14ac:dyDescent="0.25">
      <c r="A1094" s="17">
        <v>1070</v>
      </c>
      <c r="B1094" s="17">
        <v>-1.226490222141867</v>
      </c>
      <c r="C1094" s="17">
        <v>0.54619022214186697</v>
      </c>
      <c r="D1094" s="17">
        <v>0.54078117090548083</v>
      </c>
    </row>
    <row r="1095" spans="1:4" x14ac:dyDescent="0.25">
      <c r="A1095" s="17">
        <v>1071</v>
      </c>
      <c r="B1095" s="17">
        <v>-6.6519806323817751E-2</v>
      </c>
      <c r="C1095" s="17">
        <v>6.6519806323817751E-2</v>
      </c>
      <c r="D1095" s="17">
        <v>6.5861044914232225E-2</v>
      </c>
    </row>
    <row r="1096" spans="1:4" x14ac:dyDescent="0.25">
      <c r="A1096" s="17">
        <v>1072</v>
      </c>
      <c r="B1096" s="17">
        <v>-0.25242176107653325</v>
      </c>
      <c r="C1096" s="17">
        <v>1.6084217610765332</v>
      </c>
      <c r="D1096" s="17">
        <v>1.5924931791234098</v>
      </c>
    </row>
    <row r="1097" spans="1:4" x14ac:dyDescent="0.25">
      <c r="A1097" s="17">
        <v>1073</v>
      </c>
      <c r="B1097" s="17">
        <v>0.26772590789983314</v>
      </c>
      <c r="C1097" s="17">
        <v>-0.94342590789983305</v>
      </c>
      <c r="D1097" s="17">
        <v>-0.93408293750839533</v>
      </c>
    </row>
    <row r="1098" spans="1:4" x14ac:dyDescent="0.25">
      <c r="A1098" s="17">
        <v>1074</v>
      </c>
      <c r="B1098" s="17">
        <v>0.5690804215216887</v>
      </c>
      <c r="C1098" s="17">
        <v>-0.23068042152168872</v>
      </c>
      <c r="D1098" s="17">
        <v>-0.22839593862789229</v>
      </c>
    </row>
    <row r="1099" spans="1:4" x14ac:dyDescent="0.25">
      <c r="A1099" s="17">
        <v>1075</v>
      </c>
      <c r="B1099" s="17">
        <v>-1.2298237897704272</v>
      </c>
      <c r="C1099" s="17">
        <v>-0.13077621022957286</v>
      </c>
      <c r="D1099" s="17">
        <v>-0.12948110242105479</v>
      </c>
    </row>
    <row r="1100" spans="1:4" x14ac:dyDescent="0.25">
      <c r="A1100" s="17">
        <v>1076</v>
      </c>
      <c r="B1100" s="17">
        <v>-0.29075778880497721</v>
      </c>
      <c r="C1100" s="17">
        <v>0.63265778880497714</v>
      </c>
      <c r="D1100" s="17">
        <v>0.62639242876003653</v>
      </c>
    </row>
    <row r="1101" spans="1:4" x14ac:dyDescent="0.25">
      <c r="A1101" s="17">
        <v>1077</v>
      </c>
      <c r="B1101" s="17">
        <v>0.38062273158707699</v>
      </c>
      <c r="C1101" s="17">
        <v>-0.38062273158707699</v>
      </c>
      <c r="D1101" s="17">
        <v>-0.37685333445504082</v>
      </c>
    </row>
    <row r="1102" spans="1:4" x14ac:dyDescent="0.25">
      <c r="A1102" s="17">
        <v>1078</v>
      </c>
      <c r="B1102" s="17">
        <v>1.3451349654505378</v>
      </c>
      <c r="C1102" s="17">
        <v>-1.3451349654505378</v>
      </c>
      <c r="D1102" s="17">
        <v>-1.3318137750428365</v>
      </c>
    </row>
    <row r="1103" spans="1:4" x14ac:dyDescent="0.25">
      <c r="A1103" s="17">
        <v>1079</v>
      </c>
      <c r="B1103" s="17">
        <v>-0.28809093470212893</v>
      </c>
      <c r="C1103" s="17">
        <v>0.28809093470212893</v>
      </c>
      <c r="D1103" s="17">
        <v>0.28523790188797243</v>
      </c>
    </row>
    <row r="1104" spans="1:4" x14ac:dyDescent="0.25">
      <c r="A1104" s="17">
        <v>1080</v>
      </c>
      <c r="B1104" s="17">
        <v>-1.1592632749659</v>
      </c>
      <c r="C1104" s="17">
        <v>0.47436327496590003</v>
      </c>
      <c r="D1104" s="17">
        <v>0.4696655430129395</v>
      </c>
    </row>
    <row r="1105" spans="1:4" x14ac:dyDescent="0.25">
      <c r="A1105" s="17">
        <v>1081</v>
      </c>
      <c r="B1105" s="17">
        <v>0.76887224139340549</v>
      </c>
      <c r="C1105" s="17">
        <v>-0.76887224139340549</v>
      </c>
      <c r="D1105" s="17">
        <v>-0.76125791733681014</v>
      </c>
    </row>
    <row r="1106" spans="1:4" x14ac:dyDescent="0.25">
      <c r="A1106" s="17">
        <v>1082</v>
      </c>
      <c r="B1106" s="17">
        <v>0.14571733269452442</v>
      </c>
      <c r="C1106" s="17">
        <v>1.2194826673054755</v>
      </c>
      <c r="D1106" s="17">
        <v>1.2074058413903701</v>
      </c>
    </row>
    <row r="1107" spans="1:4" x14ac:dyDescent="0.25">
      <c r="A1107" s="17">
        <v>1083</v>
      </c>
      <c r="B1107" s="17">
        <v>0.35117621753479389</v>
      </c>
      <c r="C1107" s="17">
        <v>-1.0314762175347938</v>
      </c>
      <c r="D1107" s="17">
        <v>-1.0212612640559848</v>
      </c>
    </row>
    <row r="1108" spans="1:4" x14ac:dyDescent="0.25">
      <c r="A1108" s="17">
        <v>1084</v>
      </c>
      <c r="B1108" s="17">
        <v>0.34917607695765768</v>
      </c>
      <c r="C1108" s="17">
        <v>-1.3783760769576576</v>
      </c>
      <c r="D1108" s="17">
        <v>-1.3647256919433752</v>
      </c>
    </row>
    <row r="1109" spans="1:4" x14ac:dyDescent="0.25">
      <c r="A1109" s="17">
        <v>1085</v>
      </c>
      <c r="B1109" s="17">
        <v>0.29328325971879582</v>
      </c>
      <c r="C1109" s="17">
        <v>1.0766167402812041</v>
      </c>
      <c r="D1109" s="17">
        <v>1.0659547495057276</v>
      </c>
    </row>
    <row r="1110" spans="1:4" x14ac:dyDescent="0.25">
      <c r="A1110" s="17">
        <v>1086</v>
      </c>
      <c r="B1110" s="17">
        <v>-6.2519525169545356E-2</v>
      </c>
      <c r="C1110" s="17">
        <v>-0.62008047483045459</v>
      </c>
      <c r="D1110" s="17">
        <v>-0.61393967090707458</v>
      </c>
    </row>
    <row r="1111" spans="1:4" x14ac:dyDescent="0.25">
      <c r="A1111" s="17">
        <v>1087</v>
      </c>
      <c r="B1111" s="17">
        <v>-0.79457097640139784</v>
      </c>
      <c r="C1111" s="17">
        <v>0.10727097640139782</v>
      </c>
      <c r="D1111" s="17">
        <v>0.10620864649505685</v>
      </c>
    </row>
    <row r="1112" spans="1:4" x14ac:dyDescent="0.25">
      <c r="A1112" s="17">
        <v>1088</v>
      </c>
      <c r="B1112" s="17">
        <v>-5.9741552145745072E-2</v>
      </c>
      <c r="C1112" s="17">
        <v>-0.63225844785425489</v>
      </c>
      <c r="D1112" s="17">
        <v>-0.62599704257740729</v>
      </c>
    </row>
    <row r="1113" spans="1:4" x14ac:dyDescent="0.25">
      <c r="A1113" s="17">
        <v>1089</v>
      </c>
      <c r="B1113" s="17">
        <v>-0.59711265386967327</v>
      </c>
      <c r="C1113" s="17">
        <v>-9.9787346130326693E-2</v>
      </c>
      <c r="D1113" s="17">
        <v>-9.8799128388446761E-2</v>
      </c>
    </row>
    <row r="1114" spans="1:4" x14ac:dyDescent="0.25">
      <c r="A1114" s="17">
        <v>1090</v>
      </c>
      <c r="B1114" s="17">
        <v>-2.3716818214732984</v>
      </c>
      <c r="C1114" s="17">
        <v>0.96318182147329834</v>
      </c>
      <c r="D1114" s="17">
        <v>0.95364320358688814</v>
      </c>
    </row>
    <row r="1115" spans="1:4" x14ac:dyDescent="0.25">
      <c r="A1115" s="17">
        <v>1091</v>
      </c>
      <c r="B1115" s="17">
        <v>-2.8850492121085827E-2</v>
      </c>
      <c r="C1115" s="17">
        <v>-0.68284950787891419</v>
      </c>
      <c r="D1115" s="17">
        <v>-0.67608708734276124</v>
      </c>
    </row>
    <row r="1116" spans="1:4" x14ac:dyDescent="0.25">
      <c r="A1116" s="17">
        <v>1092</v>
      </c>
      <c r="B1116" s="17">
        <v>0.40840246182507983</v>
      </c>
      <c r="C1116" s="17">
        <v>-1.4856024618250798</v>
      </c>
      <c r="D1116" s="17">
        <v>-1.4708901885049872</v>
      </c>
    </row>
    <row r="1117" spans="1:4" x14ac:dyDescent="0.25">
      <c r="A1117" s="17">
        <v>1093</v>
      </c>
      <c r="B1117" s="17">
        <v>-2.0418808640877284</v>
      </c>
      <c r="C1117" s="17">
        <v>2.4022808640877282</v>
      </c>
      <c r="D1117" s="17">
        <v>2.3784905072646336</v>
      </c>
    </row>
    <row r="1118" spans="1:4" x14ac:dyDescent="0.25">
      <c r="A1118" s="17">
        <v>1094</v>
      </c>
      <c r="B1118" s="17">
        <v>1.3539133602057467</v>
      </c>
      <c r="C1118" s="17">
        <v>-0.99481336020574673</v>
      </c>
      <c r="D1118" s="17">
        <v>-0.98496148769346903</v>
      </c>
    </row>
    <row r="1119" spans="1:4" x14ac:dyDescent="0.25">
      <c r="A1119" s="17">
        <v>1095</v>
      </c>
      <c r="B1119" s="17">
        <v>0.11993774303365771</v>
      </c>
      <c r="C1119" s="17">
        <v>2.7070622569663421</v>
      </c>
      <c r="D1119" s="17">
        <v>2.6802535777655367</v>
      </c>
    </row>
    <row r="1120" spans="1:4" x14ac:dyDescent="0.25">
      <c r="A1120" s="17">
        <v>1096</v>
      </c>
      <c r="B1120" s="17">
        <v>6.5600590688124044E-2</v>
      </c>
      <c r="C1120" s="17">
        <v>0.62879940931187595</v>
      </c>
      <c r="D1120" s="17">
        <v>0.62257225971362873</v>
      </c>
    </row>
    <row r="1121" spans="1:4" x14ac:dyDescent="0.25">
      <c r="A1121" s="17">
        <v>1097</v>
      </c>
      <c r="B1121" s="17">
        <v>-0.43599021848925634</v>
      </c>
      <c r="C1121" s="17">
        <v>-0.60750978151074375</v>
      </c>
      <c r="D1121" s="17">
        <v>-0.60149346814301041</v>
      </c>
    </row>
    <row r="1122" spans="1:4" x14ac:dyDescent="0.25">
      <c r="A1122" s="17">
        <v>1098</v>
      </c>
      <c r="B1122" s="17">
        <v>-0.48954953838812609</v>
      </c>
      <c r="C1122" s="17">
        <v>-0.21225046161187389</v>
      </c>
      <c r="D1122" s="17">
        <v>-0.21014849497962057</v>
      </c>
    </row>
    <row r="1123" spans="1:4" x14ac:dyDescent="0.25">
      <c r="A1123" s="17">
        <v>1099</v>
      </c>
      <c r="B1123" s="17">
        <v>-0.20486286290907224</v>
      </c>
      <c r="C1123" s="17">
        <v>0.55636286290907222</v>
      </c>
      <c r="D1123" s="17">
        <v>0.55085306959989067</v>
      </c>
    </row>
    <row r="1124" spans="1:4" x14ac:dyDescent="0.25">
      <c r="A1124" s="17">
        <v>1100</v>
      </c>
      <c r="B1124" s="17">
        <v>0.41684749981743274</v>
      </c>
      <c r="C1124" s="17">
        <v>-0.76834749981743267</v>
      </c>
      <c r="D1124" s="17">
        <v>-0.76073837240104658</v>
      </c>
    </row>
    <row r="1125" spans="1:4" x14ac:dyDescent="0.25">
      <c r="A1125" s="17">
        <v>1101</v>
      </c>
      <c r="B1125" s="17">
        <v>1.5499271367650953</v>
      </c>
      <c r="C1125" s="17">
        <v>-1.5499271367650953</v>
      </c>
      <c r="D1125" s="17">
        <v>-1.5345778409418354</v>
      </c>
    </row>
    <row r="1126" spans="1:4" x14ac:dyDescent="0.25">
      <c r="A1126" s="17">
        <v>1102</v>
      </c>
      <c r="B1126" s="17">
        <v>0.6579755582832979</v>
      </c>
      <c r="C1126" s="17">
        <v>1.0872244417167023</v>
      </c>
      <c r="D1126" s="17">
        <v>1.0764574003595075</v>
      </c>
    </row>
    <row r="1127" spans="1:4" x14ac:dyDescent="0.25">
      <c r="A1127" s="17">
        <v>1103</v>
      </c>
      <c r="B1127" s="17">
        <v>0.14527285701071635</v>
      </c>
      <c r="C1127" s="17">
        <v>0.20012714298928364</v>
      </c>
      <c r="D1127" s="17">
        <v>0.19814523645500767</v>
      </c>
    </row>
    <row r="1128" spans="1:4" x14ac:dyDescent="0.25">
      <c r="A1128" s="17">
        <v>1104</v>
      </c>
      <c r="B1128" s="17">
        <v>1.0028886889183422</v>
      </c>
      <c r="C1128" s="17">
        <v>2.631131108165774E-2</v>
      </c>
      <c r="D1128" s="17">
        <v>2.6050743931299244E-2</v>
      </c>
    </row>
    <row r="1129" spans="1:4" x14ac:dyDescent="0.25">
      <c r="A1129" s="17">
        <v>1105</v>
      </c>
      <c r="B1129" s="17">
        <v>-8.9299185118980148E-2</v>
      </c>
      <c r="C1129" s="17">
        <v>-0.25260081488101982</v>
      </c>
      <c r="D1129" s="17">
        <v>-0.25009924913587284</v>
      </c>
    </row>
    <row r="1130" spans="1:4" x14ac:dyDescent="0.25">
      <c r="A1130" s="17">
        <v>1106</v>
      </c>
      <c r="B1130" s="17">
        <v>-2.619477015196285</v>
      </c>
      <c r="C1130" s="17">
        <v>0.54317701519628514</v>
      </c>
      <c r="D1130" s="17">
        <v>0.53779780446251835</v>
      </c>
    </row>
    <row r="1131" spans="1:4" x14ac:dyDescent="0.25">
      <c r="A1131" s="17">
        <v>1107</v>
      </c>
      <c r="B1131" s="17">
        <v>1.1131186585027375</v>
      </c>
      <c r="C1131" s="17">
        <v>0.32058134149726247</v>
      </c>
      <c r="D1131" s="17">
        <v>0.31740654848323141</v>
      </c>
    </row>
    <row r="1132" spans="1:4" x14ac:dyDescent="0.25">
      <c r="A1132" s="17">
        <v>1108</v>
      </c>
      <c r="B1132" s="17">
        <v>0.69275578054127762</v>
      </c>
      <c r="C1132" s="17">
        <v>-0.33755578054127761</v>
      </c>
      <c r="D1132" s="17">
        <v>-0.33421288563384766</v>
      </c>
    </row>
    <row r="1133" spans="1:4" x14ac:dyDescent="0.25">
      <c r="A1133" s="17">
        <v>1109</v>
      </c>
      <c r="B1133" s="17">
        <v>0.1198266241127057</v>
      </c>
      <c r="C1133" s="17">
        <v>0.23417337588729428</v>
      </c>
      <c r="D1133" s="17">
        <v>0.23185430143846081</v>
      </c>
    </row>
    <row r="1134" spans="1:4" x14ac:dyDescent="0.25">
      <c r="A1134" s="17">
        <v>1110</v>
      </c>
      <c r="B1134" s="17">
        <v>-0.17697201375011734</v>
      </c>
      <c r="C1134" s="17">
        <v>0.88117201375011733</v>
      </c>
      <c r="D1134" s="17">
        <v>0.87244555842883198</v>
      </c>
    </row>
    <row r="1135" spans="1:4" x14ac:dyDescent="0.25">
      <c r="A1135" s="17">
        <v>1111</v>
      </c>
      <c r="B1135" s="17">
        <v>-1.1488180963964107</v>
      </c>
      <c r="C1135" s="17">
        <v>-0.26468190360358923</v>
      </c>
      <c r="D1135" s="17">
        <v>-0.26206069597317477</v>
      </c>
    </row>
    <row r="1136" spans="1:4" x14ac:dyDescent="0.25">
      <c r="A1136" s="17">
        <v>1112</v>
      </c>
      <c r="B1136" s="17">
        <v>2.5961625083334439E-3</v>
      </c>
      <c r="C1136" s="17">
        <v>-2.5961625083334439E-3</v>
      </c>
      <c r="D1136" s="17">
        <v>-2.570452095630536E-3</v>
      </c>
    </row>
    <row r="1137" spans="1:4" x14ac:dyDescent="0.25">
      <c r="A1137" s="17">
        <v>1113</v>
      </c>
      <c r="B1137" s="17">
        <v>-3.2695227027655527</v>
      </c>
      <c r="C1137" s="17">
        <v>1.4741227027655526</v>
      </c>
      <c r="D1137" s="17">
        <v>1.4595241162205379</v>
      </c>
    </row>
    <row r="1138" spans="1:4" x14ac:dyDescent="0.25">
      <c r="A1138" s="17">
        <v>1114</v>
      </c>
      <c r="B1138" s="17">
        <v>-0.69767527733124368</v>
      </c>
      <c r="C1138" s="17">
        <v>-0.3952247226687563</v>
      </c>
      <c r="D1138" s="17">
        <v>-0.39131071855784688</v>
      </c>
    </row>
    <row r="1139" spans="1:4" x14ac:dyDescent="0.25">
      <c r="A1139" s="17">
        <v>1115</v>
      </c>
      <c r="B1139" s="17">
        <v>1.5555942017336479</v>
      </c>
      <c r="C1139" s="17">
        <v>-0.10099420173364804</v>
      </c>
      <c r="D1139" s="17">
        <v>-9.9994032214660702E-2</v>
      </c>
    </row>
    <row r="1140" spans="1:4" x14ac:dyDescent="0.25">
      <c r="A1140" s="17">
        <v>1116</v>
      </c>
      <c r="B1140" s="17">
        <v>0.16860783041063881</v>
      </c>
      <c r="C1140" s="17">
        <v>-0.16860783041063881</v>
      </c>
      <c r="D1140" s="17">
        <v>-0.16693806710002765</v>
      </c>
    </row>
    <row r="1141" spans="1:4" x14ac:dyDescent="0.25">
      <c r="A1141" s="17">
        <v>1117</v>
      </c>
      <c r="B1141" s="17">
        <v>0.22505624225426074</v>
      </c>
      <c r="C1141" s="17">
        <v>-0.22505624225426074</v>
      </c>
      <c r="D1141" s="17">
        <v>-0.22282745694088024</v>
      </c>
    </row>
    <row r="1142" spans="1:4" x14ac:dyDescent="0.25">
      <c r="A1142" s="17">
        <v>1118</v>
      </c>
      <c r="B1142" s="17">
        <v>-7.4964844316170662E-2</v>
      </c>
      <c r="C1142" s="17">
        <v>-1.3796351556838293</v>
      </c>
      <c r="D1142" s="17">
        <v>-1.3659723017144754</v>
      </c>
    </row>
    <row r="1143" spans="1:4" x14ac:dyDescent="0.25">
      <c r="A1143" s="17">
        <v>1119</v>
      </c>
      <c r="B1143" s="17">
        <v>0.11860431598223359</v>
      </c>
      <c r="C1143" s="17">
        <v>2.4131956840177664</v>
      </c>
      <c r="D1143" s="17">
        <v>2.3892972351457038</v>
      </c>
    </row>
    <row r="1144" spans="1:4" x14ac:dyDescent="0.25">
      <c r="A1144" s="17">
        <v>1120</v>
      </c>
      <c r="B1144" s="17">
        <v>-0.80312713331470276</v>
      </c>
      <c r="C1144" s="17">
        <v>8.6327133314702764E-2</v>
      </c>
      <c r="D1144" s="17">
        <v>8.5472215250885289E-2</v>
      </c>
    </row>
    <row r="1145" spans="1:4" x14ac:dyDescent="0.25">
      <c r="A1145" s="17">
        <v>1121</v>
      </c>
      <c r="B1145" s="17">
        <v>0.4549612897039727</v>
      </c>
      <c r="C1145" s="17">
        <v>0.61843871029602715</v>
      </c>
      <c r="D1145" s="17">
        <v>0.61231416515598824</v>
      </c>
    </row>
    <row r="1146" spans="1:4" x14ac:dyDescent="0.25">
      <c r="A1146" s="17">
        <v>1122</v>
      </c>
      <c r="B1146" s="17">
        <v>-1.0095860884435404</v>
      </c>
      <c r="C1146" s="17">
        <v>-6.3813911556459546E-2</v>
      </c>
      <c r="D1146" s="17">
        <v>-6.3181947264148497E-2</v>
      </c>
    </row>
    <row r="1147" spans="1:4" x14ac:dyDescent="0.25">
      <c r="A1147" s="17">
        <v>1123</v>
      </c>
      <c r="B1147" s="17">
        <v>-1.5287336871313386</v>
      </c>
      <c r="C1147" s="17">
        <v>-0.65316631286866156</v>
      </c>
      <c r="D1147" s="17">
        <v>-0.64669785204866848</v>
      </c>
    </row>
    <row r="1148" spans="1:4" x14ac:dyDescent="0.25">
      <c r="A1148" s="17">
        <v>1124</v>
      </c>
      <c r="B1148" s="17">
        <v>-0.22208629565663407</v>
      </c>
      <c r="C1148" s="17">
        <v>0.9546862956566341</v>
      </c>
      <c r="D1148" s="17">
        <v>0.94523181097612818</v>
      </c>
    </row>
    <row r="1149" spans="1:4" x14ac:dyDescent="0.25">
      <c r="A1149" s="17">
        <v>1125</v>
      </c>
      <c r="B1149" s="17">
        <v>-2.6368115668647989</v>
      </c>
      <c r="C1149" s="17">
        <v>0.42271156686479872</v>
      </c>
      <c r="D1149" s="17">
        <v>0.41852535402045588</v>
      </c>
    </row>
    <row r="1150" spans="1:4" x14ac:dyDescent="0.25">
      <c r="A1150" s="17">
        <v>1126</v>
      </c>
      <c r="B1150" s="17">
        <v>0.40695791585270374</v>
      </c>
      <c r="C1150" s="17">
        <v>-0.40695791585270374</v>
      </c>
      <c r="D1150" s="17">
        <v>-0.40292771514850945</v>
      </c>
    </row>
    <row r="1151" spans="1:4" x14ac:dyDescent="0.25">
      <c r="A1151" s="17">
        <v>1127</v>
      </c>
      <c r="B1151" s="17">
        <v>-0.174082921805365</v>
      </c>
      <c r="C1151" s="17">
        <v>1.287282921805365</v>
      </c>
      <c r="D1151" s="17">
        <v>1.2745346538988744</v>
      </c>
    </row>
    <row r="1152" spans="1:4" x14ac:dyDescent="0.25">
      <c r="A1152" s="17">
        <v>1128</v>
      </c>
      <c r="B1152" s="17">
        <v>1.2084586926795635</v>
      </c>
      <c r="C1152" s="17">
        <v>0.98144130732043666</v>
      </c>
      <c r="D1152" s="17">
        <v>0.97172186141753447</v>
      </c>
    </row>
    <row r="1153" spans="1:4" x14ac:dyDescent="0.25">
      <c r="A1153" s="17">
        <v>1129</v>
      </c>
      <c r="B1153" s="17">
        <v>0.2500579994684633</v>
      </c>
      <c r="C1153" s="17">
        <v>0.46934200053153674</v>
      </c>
      <c r="D1153" s="17">
        <v>0.46469399544952039</v>
      </c>
    </row>
    <row r="1154" spans="1:4" x14ac:dyDescent="0.25">
      <c r="A1154" s="17">
        <v>1130</v>
      </c>
      <c r="B1154" s="17">
        <v>-1.7497492209048895</v>
      </c>
      <c r="C1154" s="17">
        <v>-1.9002507790951104</v>
      </c>
      <c r="D1154" s="17">
        <v>-1.881432145202689</v>
      </c>
    </row>
    <row r="1155" spans="1:4" x14ac:dyDescent="0.25">
      <c r="A1155" s="17">
        <v>1131</v>
      </c>
      <c r="B1155" s="17">
        <v>-0.10452247728940574</v>
      </c>
      <c r="C1155" s="17">
        <v>1.5805224772894058</v>
      </c>
      <c r="D1155" s="17">
        <v>1.5648701885567493</v>
      </c>
    </row>
    <row r="1156" spans="1:4" x14ac:dyDescent="0.25">
      <c r="A1156" s="17">
        <v>1132</v>
      </c>
      <c r="B1156" s="17">
        <v>0.48162983073245552</v>
      </c>
      <c r="C1156" s="17">
        <v>-2.3301298307324556</v>
      </c>
      <c r="D1156" s="17">
        <v>-2.3070540026950401</v>
      </c>
    </row>
    <row r="1157" spans="1:4" x14ac:dyDescent="0.25">
      <c r="A1157" s="17">
        <v>1133</v>
      </c>
      <c r="B1157" s="17">
        <v>-1.1402619394831057</v>
      </c>
      <c r="C1157" s="17">
        <v>1.1402619394831057</v>
      </c>
      <c r="D1157" s="17">
        <v>1.1289696552137563</v>
      </c>
    </row>
    <row r="1158" spans="1:4" x14ac:dyDescent="0.25">
      <c r="A1158" s="17">
        <v>1134</v>
      </c>
      <c r="B1158" s="17">
        <v>-2.3405664994437261E-2</v>
      </c>
      <c r="C1158" s="17">
        <v>-0.72569433500556269</v>
      </c>
      <c r="D1158" s="17">
        <v>-0.71850761199062618</v>
      </c>
    </row>
    <row r="1159" spans="1:4" x14ac:dyDescent="0.25">
      <c r="A1159" s="17">
        <v>1135</v>
      </c>
      <c r="B1159" s="17">
        <v>0.39495707238988642</v>
      </c>
      <c r="C1159" s="17">
        <v>-3.4486570723898864</v>
      </c>
      <c r="D1159" s="17">
        <v>-3.4145042039475855</v>
      </c>
    </row>
    <row r="1160" spans="1:4" x14ac:dyDescent="0.25">
      <c r="A1160" s="17">
        <v>1136</v>
      </c>
      <c r="B1160" s="17">
        <v>-0.8860218483449035</v>
      </c>
      <c r="C1160" s="17">
        <v>2.0421218483449035</v>
      </c>
      <c r="D1160" s="17">
        <v>2.0218982316252103</v>
      </c>
    </row>
    <row r="1161" spans="1:4" x14ac:dyDescent="0.25">
      <c r="A1161" s="17">
        <v>1137</v>
      </c>
      <c r="B1161" s="17">
        <v>-1.4037249010603254</v>
      </c>
      <c r="C1161" s="17">
        <v>-0.14067509893967456</v>
      </c>
      <c r="D1161" s="17">
        <v>-0.13928196008987151</v>
      </c>
    </row>
    <row r="1162" spans="1:4" x14ac:dyDescent="0.25">
      <c r="A1162" s="17">
        <v>1138</v>
      </c>
      <c r="B1162" s="17">
        <v>0.45207219775922042</v>
      </c>
      <c r="C1162" s="17">
        <v>-0.8419721977592205</v>
      </c>
      <c r="D1162" s="17">
        <v>-0.83363394750744402</v>
      </c>
    </row>
    <row r="1163" spans="1:4" x14ac:dyDescent="0.25">
      <c r="A1163" s="17">
        <v>1139</v>
      </c>
      <c r="B1163" s="17">
        <v>-9.2935620335317937E-3</v>
      </c>
      <c r="C1163" s="17">
        <v>-1.5655064379664683</v>
      </c>
      <c r="D1163" s="17">
        <v>-1.5500028566305624</v>
      </c>
    </row>
    <row r="1164" spans="1:4" x14ac:dyDescent="0.25">
      <c r="A1164" s="17">
        <v>1140</v>
      </c>
      <c r="B1164" s="17">
        <v>-1.168375026483965</v>
      </c>
      <c r="C1164" s="17">
        <v>-0.43162497351603513</v>
      </c>
      <c r="D1164" s="17">
        <v>-0.42735048909283058</v>
      </c>
    </row>
    <row r="1165" spans="1:4" x14ac:dyDescent="0.25">
      <c r="A1165" s="17">
        <v>1141</v>
      </c>
      <c r="B1165" s="17">
        <v>-0.41854454789979056</v>
      </c>
      <c r="C1165" s="17">
        <v>2.0185445478997908</v>
      </c>
      <c r="D1165" s="17">
        <v>1.9985544227750647</v>
      </c>
    </row>
    <row r="1166" spans="1:4" x14ac:dyDescent="0.25">
      <c r="A1166" s="17">
        <v>1142</v>
      </c>
      <c r="B1166" s="17">
        <v>-2.0594376535981462</v>
      </c>
      <c r="C1166" s="17">
        <v>1.2626376535981463</v>
      </c>
      <c r="D1166" s="17">
        <v>1.2501334536245174</v>
      </c>
    </row>
    <row r="1167" spans="1:4" x14ac:dyDescent="0.25">
      <c r="A1167" s="17">
        <v>1143</v>
      </c>
      <c r="B1167" s="17">
        <v>0.18260881445059227</v>
      </c>
      <c r="C1167" s="17">
        <v>0.61419118554940766</v>
      </c>
      <c r="D1167" s="17">
        <v>0.608108704653749</v>
      </c>
    </row>
    <row r="1168" spans="1:4" x14ac:dyDescent="0.25">
      <c r="A1168" s="17">
        <v>1144</v>
      </c>
      <c r="B1168" s="17">
        <v>-3.3407499310957918</v>
      </c>
      <c r="C1168" s="17">
        <v>-0.70835006890420837</v>
      </c>
      <c r="D1168" s="17">
        <v>-0.70133511026768169</v>
      </c>
    </row>
    <row r="1169" spans="1:4" x14ac:dyDescent="0.25">
      <c r="A1169" s="17">
        <v>1145</v>
      </c>
      <c r="B1169" s="17">
        <v>-5.4357860667250195</v>
      </c>
      <c r="C1169" s="17">
        <v>0.34998606672501964</v>
      </c>
      <c r="D1169" s="17">
        <v>0.34652007174709204</v>
      </c>
    </row>
    <row r="1170" spans="1:4" x14ac:dyDescent="0.25">
      <c r="A1170" s="17">
        <v>1146</v>
      </c>
      <c r="B1170" s="17">
        <v>3.9808757704322533</v>
      </c>
      <c r="C1170" s="17">
        <v>3.1500242295677463</v>
      </c>
      <c r="D1170" s="17">
        <v>3.1188287929545218</v>
      </c>
    </row>
    <row r="1171" spans="1:4" x14ac:dyDescent="0.25">
      <c r="A1171" s="17">
        <v>1147</v>
      </c>
      <c r="B1171" s="17">
        <v>0.64908604460713704</v>
      </c>
      <c r="C1171" s="17">
        <v>-1.4620860446071369</v>
      </c>
      <c r="D1171" s="17">
        <v>-1.4476066599409811</v>
      </c>
    </row>
    <row r="1172" spans="1:4" x14ac:dyDescent="0.25">
      <c r="A1172" s="17">
        <v>1148</v>
      </c>
      <c r="B1172" s="17">
        <v>1.6304883544553037</v>
      </c>
      <c r="C1172" s="17">
        <v>-0.41338835445530364</v>
      </c>
      <c r="D1172" s="17">
        <v>-0.40929447159338506</v>
      </c>
    </row>
    <row r="1173" spans="1:4" x14ac:dyDescent="0.25">
      <c r="A1173" s="17">
        <v>1149</v>
      </c>
      <c r="B1173" s="17">
        <v>2.8024596137361697</v>
      </c>
      <c r="C1173" s="17">
        <v>-1.9992596137361698</v>
      </c>
      <c r="D1173" s="17">
        <v>-1.9794604718856816</v>
      </c>
    </row>
    <row r="1174" spans="1:4" x14ac:dyDescent="0.25">
      <c r="A1174" s="17">
        <v>1150</v>
      </c>
      <c r="B1174" s="17">
        <v>2.2096401704571882</v>
      </c>
      <c r="C1174" s="17">
        <v>0.94025982954281195</v>
      </c>
      <c r="D1174" s="17">
        <v>0.93094821357581703</v>
      </c>
    </row>
    <row r="1175" spans="1:4" x14ac:dyDescent="0.25">
      <c r="A1175" s="17">
        <v>1151</v>
      </c>
      <c r="B1175" s="17">
        <v>-2.087550740599005</v>
      </c>
      <c r="C1175" s="17">
        <v>-1.865549259400995</v>
      </c>
      <c r="D1175" s="17">
        <v>-1.8470742828835993</v>
      </c>
    </row>
    <row r="1176" spans="1:4" x14ac:dyDescent="0.25">
      <c r="A1176" s="17">
        <v>1152</v>
      </c>
      <c r="B1176" s="17">
        <v>0.31772942232823842</v>
      </c>
      <c r="C1176" s="17">
        <v>0.88467057767176149</v>
      </c>
      <c r="D1176" s="17">
        <v>0.87590947524267604</v>
      </c>
    </row>
    <row r="1177" spans="1:4" x14ac:dyDescent="0.25">
      <c r="A1177" s="17">
        <v>1153</v>
      </c>
      <c r="B1177" s="17">
        <v>0.90799313042532404</v>
      </c>
      <c r="C1177" s="17">
        <v>0.2801068695746759</v>
      </c>
      <c r="D1177" s="17">
        <v>0.27733290484998407</v>
      </c>
    </row>
    <row r="1178" spans="1:4" x14ac:dyDescent="0.25">
      <c r="A1178" s="17">
        <v>1154</v>
      </c>
      <c r="B1178" s="17">
        <v>-1.2441581305732368</v>
      </c>
      <c r="C1178" s="17">
        <v>-0.34314186942676317</v>
      </c>
      <c r="D1178" s="17">
        <v>-0.33974365415699848</v>
      </c>
    </row>
    <row r="1179" spans="1:4" x14ac:dyDescent="0.25">
      <c r="A1179" s="17">
        <v>1155</v>
      </c>
      <c r="B1179" s="17">
        <v>-0.12285709924648767</v>
      </c>
      <c r="C1179" s="17">
        <v>-1.8974429007535125</v>
      </c>
      <c r="D1179" s="17">
        <v>-1.8786520739458752</v>
      </c>
    </row>
    <row r="1180" spans="1:4" x14ac:dyDescent="0.25">
      <c r="A1180" s="17">
        <v>1156</v>
      </c>
      <c r="B1180" s="17">
        <v>0.27994898920455447</v>
      </c>
      <c r="C1180" s="17">
        <v>0.12735101079544553</v>
      </c>
      <c r="D1180" s="17">
        <v>0.12608982354881773</v>
      </c>
    </row>
    <row r="1181" spans="1:4" x14ac:dyDescent="0.25">
      <c r="A1181" s="17">
        <v>1157</v>
      </c>
      <c r="B1181" s="17">
        <v>3.9668747863923</v>
      </c>
      <c r="C1181" s="17">
        <v>0.79592521360770041</v>
      </c>
      <c r="D1181" s="17">
        <v>0.78804297755475006</v>
      </c>
    </row>
    <row r="1182" spans="1:4" x14ac:dyDescent="0.25">
      <c r="A1182" s="17">
        <v>1158</v>
      </c>
      <c r="B1182" s="17">
        <v>-0.17252725691203685</v>
      </c>
      <c r="C1182" s="17">
        <v>-2.9773727430879635</v>
      </c>
      <c r="D1182" s="17">
        <v>-2.9478871150698933</v>
      </c>
    </row>
    <row r="1183" spans="1:4" x14ac:dyDescent="0.25">
      <c r="A1183" s="17">
        <v>1159</v>
      </c>
      <c r="B1183" s="17">
        <v>0.57030272965216078</v>
      </c>
      <c r="C1183" s="17">
        <v>1.4099972703478392</v>
      </c>
      <c r="D1183" s="17">
        <v>1.3960337331600661</v>
      </c>
    </row>
    <row r="1184" spans="1:4" x14ac:dyDescent="0.25">
      <c r="A1184" s="17">
        <v>1160</v>
      </c>
      <c r="B1184" s="17">
        <v>9.1935774953750798E-2</v>
      </c>
      <c r="C1184" s="17">
        <v>-9.1935774953750798E-2</v>
      </c>
      <c r="D1184" s="17">
        <v>-9.1025313182334214E-2</v>
      </c>
    </row>
    <row r="1185" spans="1:4" x14ac:dyDescent="0.25">
      <c r="A1185" s="17">
        <v>1161</v>
      </c>
      <c r="B1185" s="17">
        <v>-0.56222131269074149</v>
      </c>
      <c r="C1185" s="17">
        <v>-0.62117868730925851</v>
      </c>
      <c r="D1185" s="17">
        <v>-0.61502700752738548</v>
      </c>
    </row>
    <row r="1186" spans="1:4" x14ac:dyDescent="0.25">
      <c r="A1186" s="17">
        <v>1162</v>
      </c>
      <c r="B1186" s="17">
        <v>1.0540033925562673</v>
      </c>
      <c r="C1186" s="17">
        <v>1.6858966074437327</v>
      </c>
      <c r="D1186" s="17">
        <v>1.6692007737227401</v>
      </c>
    </row>
    <row r="1187" spans="1:4" x14ac:dyDescent="0.25">
      <c r="A1187" s="17">
        <v>1163</v>
      </c>
      <c r="B1187" s="17">
        <v>1.5584832936784001</v>
      </c>
      <c r="C1187" s="17">
        <v>-0.40688329367840015</v>
      </c>
      <c r="D1187" s="17">
        <v>-0.40285383197528613</v>
      </c>
    </row>
    <row r="1188" spans="1:4" x14ac:dyDescent="0.25">
      <c r="A1188" s="17">
        <v>1164</v>
      </c>
      <c r="B1188" s="17">
        <v>0.2909497623788036</v>
      </c>
      <c r="C1188" s="17">
        <v>9.0050237621196405E-2</v>
      </c>
      <c r="D1188" s="17">
        <v>8.9158448772923546E-2</v>
      </c>
    </row>
    <row r="1189" spans="1:4" x14ac:dyDescent="0.25">
      <c r="A1189" s="17">
        <v>1165</v>
      </c>
      <c r="B1189" s="17">
        <v>-1.9833211927460179</v>
      </c>
      <c r="C1189" s="17">
        <v>0.45072119274601796</v>
      </c>
      <c r="D1189" s="17">
        <v>0.44625759393729553</v>
      </c>
    </row>
    <row r="1190" spans="1:4" x14ac:dyDescent="0.25">
      <c r="A1190" s="17">
        <v>1166</v>
      </c>
      <c r="B1190" s="17">
        <v>0.85710066462930279</v>
      </c>
      <c r="C1190" s="17">
        <v>-1.2439006646293027</v>
      </c>
      <c r="D1190" s="17">
        <v>-1.2315820214987652</v>
      </c>
    </row>
    <row r="1191" spans="1:4" x14ac:dyDescent="0.25">
      <c r="A1191" s="17">
        <v>1167</v>
      </c>
      <c r="B1191" s="17">
        <v>-2.2428949920899171</v>
      </c>
      <c r="C1191" s="17">
        <v>-1.3078050079100829</v>
      </c>
      <c r="D1191" s="17">
        <v>-1.2948535049204328</v>
      </c>
    </row>
    <row r="1192" spans="1:4" x14ac:dyDescent="0.25">
      <c r="A1192" s="17">
        <v>1168</v>
      </c>
      <c r="B1192" s="17">
        <v>-0.88557737266109537</v>
      </c>
      <c r="C1192" s="17">
        <v>2.8736773726610956</v>
      </c>
      <c r="D1192" s="17">
        <v>2.8452186644758548</v>
      </c>
    </row>
    <row r="1193" spans="1:4" x14ac:dyDescent="0.25">
      <c r="A1193" s="17">
        <v>1169</v>
      </c>
      <c r="B1193" s="17">
        <v>0.19872105798863393</v>
      </c>
      <c r="C1193" s="17">
        <v>-0.19872105798863393</v>
      </c>
      <c r="D1193" s="17">
        <v>-0.19675307624741156</v>
      </c>
    </row>
    <row r="1194" spans="1:4" x14ac:dyDescent="0.25">
      <c r="A1194" s="17">
        <v>1170</v>
      </c>
      <c r="B1194" s="17">
        <v>0.73831453813160242</v>
      </c>
      <c r="C1194" s="17">
        <v>1.5963854618683979</v>
      </c>
      <c r="D1194" s="17">
        <v>1.5805760782393639</v>
      </c>
    </row>
    <row r="1195" spans="1:4" x14ac:dyDescent="0.25">
      <c r="A1195" s="17">
        <v>1171</v>
      </c>
      <c r="B1195" s="17">
        <v>1.6193764623601026</v>
      </c>
      <c r="C1195" s="17">
        <v>1.0373235376398973</v>
      </c>
      <c r="D1195" s="17">
        <v>1.0270506767640646</v>
      </c>
    </row>
    <row r="1196" spans="1:4" x14ac:dyDescent="0.25">
      <c r="A1196" s="17">
        <v>1172</v>
      </c>
      <c r="B1196" s="17">
        <v>0.19394294438769744</v>
      </c>
      <c r="C1196" s="17">
        <v>-1.3239429443876973</v>
      </c>
      <c r="D1196" s="17">
        <v>-1.3108316235878443</v>
      </c>
    </row>
    <row r="1197" spans="1:4" x14ac:dyDescent="0.25">
      <c r="A1197" s="17">
        <v>1173</v>
      </c>
      <c r="B1197" s="17">
        <v>0.7037565537155267</v>
      </c>
      <c r="C1197" s="17">
        <v>-0.32565655371552671</v>
      </c>
      <c r="D1197" s="17">
        <v>-0.32243149967189227</v>
      </c>
    </row>
    <row r="1198" spans="1:4" x14ac:dyDescent="0.25">
      <c r="A1198" s="17">
        <v>1174</v>
      </c>
      <c r="B1198" s="17">
        <v>0.62619554689102264</v>
      </c>
      <c r="C1198" s="17">
        <v>-0.24959554689102265</v>
      </c>
      <c r="D1198" s="17">
        <v>-0.24712374302713602</v>
      </c>
    </row>
    <row r="1199" spans="1:4" x14ac:dyDescent="0.25">
      <c r="A1199" s="17">
        <v>1175</v>
      </c>
      <c r="B1199" s="17">
        <v>1.4030279232665359</v>
      </c>
      <c r="C1199" s="17">
        <v>8.9572076733464012E-2</v>
      </c>
      <c r="D1199" s="17">
        <v>8.8685023225803503E-2</v>
      </c>
    </row>
    <row r="1200" spans="1:4" x14ac:dyDescent="0.25">
      <c r="A1200" s="17">
        <v>1176</v>
      </c>
      <c r="B1200" s="17">
        <v>-0.57411103723260681</v>
      </c>
      <c r="C1200" s="17">
        <v>1.3121110372326068</v>
      </c>
      <c r="D1200" s="17">
        <v>1.2991168906138937</v>
      </c>
    </row>
    <row r="1201" spans="1:4" x14ac:dyDescent="0.25">
      <c r="A1201" s="17">
        <v>1177</v>
      </c>
      <c r="B1201" s="17">
        <v>1.7404960861977952</v>
      </c>
      <c r="C1201" s="17">
        <v>8.100391380220473E-2</v>
      </c>
      <c r="D1201" s="17">
        <v>8.0201712843011932E-2</v>
      </c>
    </row>
    <row r="1202" spans="1:4" x14ac:dyDescent="0.25">
      <c r="A1202" s="17">
        <v>1178</v>
      </c>
      <c r="B1202" s="17">
        <v>-2.9597835392671246E-3</v>
      </c>
      <c r="C1202" s="17">
        <v>-0.72164021646073295</v>
      </c>
      <c r="D1202" s="17">
        <v>-0.71449364234271628</v>
      </c>
    </row>
    <row r="1203" spans="1:4" x14ac:dyDescent="0.25">
      <c r="A1203" s="17">
        <v>1179</v>
      </c>
      <c r="B1203" s="17">
        <v>-0.51821821999374496</v>
      </c>
      <c r="C1203" s="17">
        <v>-0.21168178000625504</v>
      </c>
      <c r="D1203" s="17">
        <v>-0.20958544516273994</v>
      </c>
    </row>
    <row r="1204" spans="1:4" x14ac:dyDescent="0.25">
      <c r="A1204" s="17">
        <v>1180</v>
      </c>
      <c r="B1204" s="17">
        <v>1.0976731284904078</v>
      </c>
      <c r="C1204" s="17">
        <v>1.4341268715095923</v>
      </c>
      <c r="D1204" s="17">
        <v>1.4199243731619404</v>
      </c>
    </row>
    <row r="1205" spans="1:4" x14ac:dyDescent="0.25">
      <c r="A1205" s="17">
        <v>1181</v>
      </c>
      <c r="B1205" s="17">
        <v>0.11660417540509738</v>
      </c>
      <c r="C1205" s="17">
        <v>-1.9185041754050975</v>
      </c>
      <c r="D1205" s="17">
        <v>-1.8995047738023141</v>
      </c>
    </row>
    <row r="1206" spans="1:4" x14ac:dyDescent="0.25">
      <c r="A1206" s="17">
        <v>1182</v>
      </c>
      <c r="B1206" s="17">
        <v>0.41462512139839247</v>
      </c>
      <c r="C1206" s="17">
        <v>-5.1625121398392482E-2</v>
      </c>
      <c r="D1206" s="17">
        <v>-5.1113865584193695E-2</v>
      </c>
    </row>
    <row r="1207" spans="1:4" x14ac:dyDescent="0.25">
      <c r="A1207" s="17">
        <v>1183</v>
      </c>
      <c r="B1207" s="17">
        <v>0.35639880681953839</v>
      </c>
      <c r="C1207" s="17">
        <v>0.36560119318046158</v>
      </c>
      <c r="D1207" s="17">
        <v>0.36198055790390521</v>
      </c>
    </row>
    <row r="1208" spans="1:4" x14ac:dyDescent="0.25">
      <c r="A1208" s="17">
        <v>1184</v>
      </c>
      <c r="B1208" s="17">
        <v>-0.49899464666904703</v>
      </c>
      <c r="C1208" s="17">
        <v>0.13859464666904703</v>
      </c>
      <c r="D1208" s="17">
        <v>0.13722211103122123</v>
      </c>
    </row>
    <row r="1209" spans="1:4" x14ac:dyDescent="0.25">
      <c r="A1209" s="17">
        <v>1185</v>
      </c>
      <c r="B1209" s="17">
        <v>6.2378141980515701E-2</v>
      </c>
      <c r="C1209" s="17">
        <v>-0.78697814198051574</v>
      </c>
      <c r="D1209" s="17">
        <v>-0.7791845108986637</v>
      </c>
    </row>
    <row r="1210" spans="1:4" x14ac:dyDescent="0.25">
      <c r="A1210" s="17">
        <v>1186</v>
      </c>
      <c r="B1210" s="17">
        <v>0.91266012510530847</v>
      </c>
      <c r="C1210" s="17">
        <v>0.88923987489469158</v>
      </c>
      <c r="D1210" s="17">
        <v>0.88043352163212141</v>
      </c>
    </row>
    <row r="1211" spans="1:4" x14ac:dyDescent="0.25">
      <c r="A1211" s="17">
        <v>1187</v>
      </c>
      <c r="B1211" s="17">
        <v>0.98510966156602009</v>
      </c>
      <c r="C1211" s="17">
        <v>-0.98510966156602009</v>
      </c>
      <c r="D1211" s="17">
        <v>-0.9753538870814934</v>
      </c>
    </row>
    <row r="1212" spans="1:4" x14ac:dyDescent="0.25">
      <c r="A1212" s="17">
        <v>1188</v>
      </c>
      <c r="B1212" s="17">
        <v>-0.48877170594146191</v>
      </c>
      <c r="C1212" s="17">
        <v>-0.22802829405853808</v>
      </c>
      <c r="D1212" s="17">
        <v>-0.22577007581165781</v>
      </c>
    </row>
    <row r="1213" spans="1:4" x14ac:dyDescent="0.25">
      <c r="A1213" s="17">
        <v>1189</v>
      </c>
      <c r="B1213" s="17">
        <v>-0.37987516340849053</v>
      </c>
      <c r="C1213" s="17">
        <v>-0.34212483659150944</v>
      </c>
      <c r="D1213" s="17">
        <v>-0.3387366932389852</v>
      </c>
    </row>
    <row r="1214" spans="1:4" x14ac:dyDescent="0.25">
      <c r="A1214" s="17">
        <v>1190</v>
      </c>
      <c r="B1214" s="17">
        <v>-1.1513738315783071</v>
      </c>
      <c r="C1214" s="17">
        <v>5.8473831578307101E-2</v>
      </c>
      <c r="D1214" s="17">
        <v>5.7894751363808637E-2</v>
      </c>
    </row>
    <row r="1215" spans="1:4" x14ac:dyDescent="0.25">
      <c r="A1215" s="17">
        <v>1191</v>
      </c>
      <c r="B1215" s="17">
        <v>-0.14530312127879402</v>
      </c>
      <c r="C1215" s="17">
        <v>0.14530312127879402</v>
      </c>
      <c r="D1215" s="17">
        <v>0.14386415002676073</v>
      </c>
    </row>
    <row r="1216" spans="1:4" x14ac:dyDescent="0.25">
      <c r="A1216" s="17">
        <v>1192</v>
      </c>
      <c r="B1216" s="17">
        <v>0.85487828621026252</v>
      </c>
      <c r="C1216" s="17">
        <v>-0.12497828621026252</v>
      </c>
      <c r="D1216" s="17">
        <v>-0.12374059661762193</v>
      </c>
    </row>
    <row r="1217" spans="1:4" x14ac:dyDescent="0.25">
      <c r="A1217" s="17">
        <v>1193</v>
      </c>
      <c r="B1217" s="17">
        <v>1.3345786679600966</v>
      </c>
      <c r="C1217" s="17">
        <v>0.10952133203990333</v>
      </c>
      <c r="D1217" s="17">
        <v>0.10843671632825988</v>
      </c>
    </row>
    <row r="1218" spans="1:4" x14ac:dyDescent="0.25">
      <c r="A1218" s="17">
        <v>1194</v>
      </c>
      <c r="B1218" s="17">
        <v>1.891506699771579</v>
      </c>
      <c r="C1218" s="17">
        <v>1.629993300228421</v>
      </c>
      <c r="D1218" s="17">
        <v>1.6138510902098544</v>
      </c>
    </row>
    <row r="1219" spans="1:4" x14ac:dyDescent="0.25">
      <c r="A1219" s="17">
        <v>1195</v>
      </c>
      <c r="B1219" s="17">
        <v>-1.3627199950660238E-2</v>
      </c>
      <c r="C1219" s="17">
        <v>-1.3801728000493396</v>
      </c>
      <c r="D1219" s="17">
        <v>-1.3665046216603931</v>
      </c>
    </row>
    <row r="1220" spans="1:4" x14ac:dyDescent="0.25">
      <c r="A1220" s="17">
        <v>1196</v>
      </c>
      <c r="B1220" s="17">
        <v>-1.9116494887319706</v>
      </c>
      <c r="C1220" s="17">
        <v>0.14164948873197059</v>
      </c>
      <c r="D1220" s="17">
        <v>0.14024670026908939</v>
      </c>
    </row>
    <row r="1221" spans="1:4" x14ac:dyDescent="0.25">
      <c r="A1221" s="17">
        <v>1197</v>
      </c>
      <c r="B1221" s="17">
        <v>-0.58266719414591173</v>
      </c>
      <c r="C1221" s="17">
        <v>2.0011671941459119</v>
      </c>
      <c r="D1221" s="17">
        <v>1.9813491610744618</v>
      </c>
    </row>
    <row r="1222" spans="1:4" x14ac:dyDescent="0.25">
      <c r="A1222" s="17">
        <v>1198</v>
      </c>
      <c r="B1222" s="17">
        <v>-1.293606050396882</v>
      </c>
      <c r="C1222" s="17">
        <v>-0.48259394960311797</v>
      </c>
      <c r="D1222" s="17">
        <v>-0.47781470732826231</v>
      </c>
    </row>
    <row r="1223" spans="1:4" x14ac:dyDescent="0.25">
      <c r="A1223" s="17">
        <v>1199</v>
      </c>
      <c r="B1223" s="17">
        <v>-1.525733476265634</v>
      </c>
      <c r="C1223" s="17">
        <v>8.1633476265634108E-2</v>
      </c>
      <c r="D1223" s="17">
        <v>8.0825040600137274E-2</v>
      </c>
    </row>
    <row r="1224" spans="1:4" x14ac:dyDescent="0.25">
      <c r="A1224" s="17">
        <v>1200</v>
      </c>
      <c r="B1224" s="17">
        <v>0.24483541018371874</v>
      </c>
      <c r="C1224" s="17">
        <v>0.47976458981628128</v>
      </c>
      <c r="D1224" s="17">
        <v>0.47501336736205363</v>
      </c>
    </row>
    <row r="1225" spans="1:4" x14ac:dyDescent="0.25">
      <c r="A1225" s="17">
        <v>1201</v>
      </c>
      <c r="B1225" s="17">
        <v>-1.2352686168970759</v>
      </c>
      <c r="C1225" s="17">
        <v>-0.586231383102924</v>
      </c>
      <c r="D1225" s="17">
        <v>-0.58042579475836076</v>
      </c>
    </row>
    <row r="1226" spans="1:4" x14ac:dyDescent="0.25">
      <c r="A1226" s="17">
        <v>1202</v>
      </c>
      <c r="B1226" s="17">
        <v>-0.38354208779990695</v>
      </c>
      <c r="C1226" s="17">
        <v>-0.35445791220009304</v>
      </c>
      <c r="D1226" s="17">
        <v>-0.35094763147643931</v>
      </c>
    </row>
    <row r="1227" spans="1:4" x14ac:dyDescent="0.25">
      <c r="A1227" s="17">
        <v>1203</v>
      </c>
      <c r="B1227" s="17">
        <v>1.7212725128730972</v>
      </c>
      <c r="C1227" s="17">
        <v>0.83832748712690286</v>
      </c>
      <c r="D1227" s="17">
        <v>0.83002533130844436</v>
      </c>
    </row>
    <row r="1228" spans="1:4" x14ac:dyDescent="0.25">
      <c r="A1228" s="17">
        <v>1204</v>
      </c>
      <c r="B1228" s="17">
        <v>-0.97458362834365664</v>
      </c>
      <c r="C1228" s="17">
        <v>-0.11431637165634334</v>
      </c>
      <c r="D1228" s="17">
        <v>-0.1131842695307833</v>
      </c>
    </row>
    <row r="1229" spans="1:4" x14ac:dyDescent="0.25">
      <c r="A1229" s="17">
        <v>1205</v>
      </c>
      <c r="B1229" s="17">
        <v>1.8791724995459058</v>
      </c>
      <c r="C1229" s="17">
        <v>0.64352750045409413</v>
      </c>
      <c r="D1229" s="17">
        <v>0.637154495078184</v>
      </c>
    </row>
    <row r="1230" spans="1:4" x14ac:dyDescent="0.25">
      <c r="A1230" s="17">
        <v>1206</v>
      </c>
      <c r="B1230" s="17">
        <v>-8.1854217415195371E-2</v>
      </c>
      <c r="C1230" s="17">
        <v>0.4370542174151954</v>
      </c>
      <c r="D1230" s="17">
        <v>0.43272596590273354</v>
      </c>
    </row>
    <row r="1231" spans="1:4" x14ac:dyDescent="0.25">
      <c r="A1231" s="17">
        <v>1207</v>
      </c>
      <c r="B1231" s="17">
        <v>0.33817530378340854</v>
      </c>
      <c r="C1231" s="17">
        <v>-0.33817530378340854</v>
      </c>
      <c r="D1231" s="17">
        <v>-0.33482627359046274</v>
      </c>
    </row>
    <row r="1232" spans="1:4" x14ac:dyDescent="0.25">
      <c r="A1232" s="17">
        <v>1208</v>
      </c>
      <c r="B1232" s="17">
        <v>-1.054255894666249</v>
      </c>
      <c r="C1232" s="17">
        <v>-1.5244105333750868E-2</v>
      </c>
      <c r="D1232" s="17">
        <v>-1.5093139345235408E-2</v>
      </c>
    </row>
    <row r="1233" spans="1:4" x14ac:dyDescent="0.25">
      <c r="A1233" s="17">
        <v>1209</v>
      </c>
      <c r="B1233" s="17">
        <v>-0.11318975312366263</v>
      </c>
      <c r="C1233" s="17">
        <v>1.1826897531236624</v>
      </c>
      <c r="D1233" s="17">
        <v>1.1709772961589291</v>
      </c>
    </row>
    <row r="1234" spans="1:4" x14ac:dyDescent="0.25">
      <c r="A1234" s="17">
        <v>1210</v>
      </c>
      <c r="B1234" s="17">
        <v>1.373359171372349</v>
      </c>
      <c r="C1234" s="17">
        <v>-0.31515917137234895</v>
      </c>
      <c r="D1234" s="17">
        <v>-0.31203807539431211</v>
      </c>
    </row>
    <row r="1235" spans="1:4" x14ac:dyDescent="0.25">
      <c r="A1235" s="17">
        <v>1211</v>
      </c>
      <c r="B1235" s="17">
        <v>-1.0663678570500181</v>
      </c>
      <c r="C1235" s="17">
        <v>-1.420432142949982</v>
      </c>
      <c r="D1235" s="17">
        <v>-1.4063652667453939</v>
      </c>
    </row>
    <row r="1236" spans="1:4" x14ac:dyDescent="0.25">
      <c r="A1236" s="17">
        <v>1212</v>
      </c>
      <c r="B1236" s="17">
        <v>-0.96180495243417541</v>
      </c>
      <c r="C1236" s="17">
        <v>0.96180495243417541</v>
      </c>
      <c r="D1236" s="17">
        <v>0.95227997000822662</v>
      </c>
    </row>
    <row r="1237" spans="1:4" x14ac:dyDescent="0.25">
      <c r="A1237" s="17">
        <v>1213</v>
      </c>
      <c r="B1237" s="17">
        <v>1.9617338578132502</v>
      </c>
      <c r="C1237" s="17">
        <v>0.52506614218674996</v>
      </c>
      <c r="D1237" s="17">
        <v>0.51986628772131793</v>
      </c>
    </row>
    <row r="1238" spans="1:4" x14ac:dyDescent="0.25">
      <c r="A1238" s="17">
        <v>1214</v>
      </c>
      <c r="B1238" s="17">
        <v>-5.1821619583073547E-3</v>
      </c>
      <c r="C1238" s="17">
        <v>5.1821619583073547E-3</v>
      </c>
      <c r="D1238" s="17">
        <v>5.1308417800774797E-3</v>
      </c>
    </row>
    <row r="1239" spans="1:4" x14ac:dyDescent="0.25">
      <c r="A1239" s="17">
        <v>1215</v>
      </c>
      <c r="B1239" s="17">
        <v>5.4710936434826898E-2</v>
      </c>
      <c r="C1239" s="17">
        <v>-5.4710936434826898E-2</v>
      </c>
      <c r="D1239" s="17">
        <v>-5.4169121062874345E-2</v>
      </c>
    </row>
    <row r="1240" spans="1:4" x14ac:dyDescent="0.25">
      <c r="A1240" s="17">
        <v>1216</v>
      </c>
      <c r="B1240" s="17">
        <v>-0.68534107710557046</v>
      </c>
      <c r="C1240" s="17">
        <v>-0.72815892289442952</v>
      </c>
      <c r="D1240" s="17">
        <v>-0.72094779248143459</v>
      </c>
    </row>
    <row r="1241" spans="1:4" x14ac:dyDescent="0.25">
      <c r="A1241" s="17">
        <v>1217</v>
      </c>
      <c r="B1241" s="17">
        <v>0.80643043667518544</v>
      </c>
      <c r="C1241" s="17">
        <v>1.3063695633248145</v>
      </c>
      <c r="D1241" s="17">
        <v>1.2934322758831438</v>
      </c>
    </row>
    <row r="1242" spans="1:4" x14ac:dyDescent="0.25">
      <c r="A1242" s="17">
        <v>1218</v>
      </c>
      <c r="B1242" s="17">
        <v>-1.3885016088898998</v>
      </c>
      <c r="C1242" s="17">
        <v>0.68920160888989979</v>
      </c>
      <c r="D1242" s="17">
        <v>0.68237628199176115</v>
      </c>
    </row>
    <row r="1243" spans="1:4" x14ac:dyDescent="0.25">
      <c r="A1243" s="17">
        <v>1219</v>
      </c>
      <c r="B1243" s="17">
        <v>-1.4596177182991874</v>
      </c>
      <c r="C1243" s="17">
        <v>4.6117718299187427E-2</v>
      </c>
      <c r="D1243" s="17">
        <v>4.5661003603330544E-2</v>
      </c>
    </row>
    <row r="1244" spans="1:4" x14ac:dyDescent="0.25">
      <c r="A1244" s="17">
        <v>1220</v>
      </c>
      <c r="B1244" s="17">
        <v>-0.10952282873224627</v>
      </c>
      <c r="C1244" s="17">
        <v>0.4647228287322463</v>
      </c>
      <c r="D1244" s="17">
        <v>0.46012056840346638</v>
      </c>
    </row>
    <row r="1245" spans="1:4" x14ac:dyDescent="0.25">
      <c r="A1245" s="17">
        <v>1221</v>
      </c>
      <c r="B1245" s="17">
        <v>-1.2922726233454578</v>
      </c>
      <c r="C1245" s="17">
        <v>0.22277262334545789</v>
      </c>
      <c r="D1245" s="17">
        <v>0.22056645325143021</v>
      </c>
    </row>
    <row r="1246" spans="1:4" x14ac:dyDescent="0.25">
      <c r="A1246" s="17">
        <v>1222</v>
      </c>
      <c r="B1246" s="17">
        <v>-0.96947215797986419</v>
      </c>
      <c r="C1246" s="17">
        <v>0.61037215797986422</v>
      </c>
      <c r="D1246" s="17">
        <v>0.60432749781947215</v>
      </c>
    </row>
    <row r="1247" spans="1:4" x14ac:dyDescent="0.25">
      <c r="A1247" s="17">
        <v>1223</v>
      </c>
      <c r="B1247" s="17">
        <v>0.53007768026753255</v>
      </c>
      <c r="C1247" s="17">
        <v>-1.2520776802675324</v>
      </c>
      <c r="D1247" s="17">
        <v>-1.2396780582128859</v>
      </c>
    </row>
    <row r="1248" spans="1:4" x14ac:dyDescent="0.25">
      <c r="A1248" s="17">
        <v>1224</v>
      </c>
      <c r="B1248" s="17">
        <v>1.5938191105411399</v>
      </c>
      <c r="C1248" s="17">
        <v>2.3142808894588605</v>
      </c>
      <c r="D1248" s="17">
        <v>2.2913620172436402</v>
      </c>
    </row>
    <row r="1249" spans="1:4" x14ac:dyDescent="0.25">
      <c r="A1249" s="17">
        <v>1225</v>
      </c>
      <c r="B1249" s="17">
        <v>1.890284391641107</v>
      </c>
      <c r="C1249" s="17">
        <v>-0.85038439164110691</v>
      </c>
      <c r="D1249" s="17">
        <v>-0.84196283343932887</v>
      </c>
    </row>
    <row r="1250" spans="1:4" x14ac:dyDescent="0.25">
      <c r="A1250" s="17">
        <v>1226</v>
      </c>
      <c r="B1250" s="17">
        <v>-0.7636799163767386</v>
      </c>
      <c r="C1250" s="17">
        <v>-1.3270200836232613</v>
      </c>
      <c r="D1250" s="17">
        <v>-1.3138782891841672</v>
      </c>
    </row>
    <row r="1251" spans="1:4" x14ac:dyDescent="0.25">
      <c r="A1251" s="17">
        <v>1227</v>
      </c>
      <c r="B1251" s="17">
        <v>0.40618008340603962</v>
      </c>
      <c r="C1251" s="17">
        <v>-0.75888008340603963</v>
      </c>
      <c r="D1251" s="17">
        <v>-0.75136471405849015</v>
      </c>
    </row>
    <row r="1252" spans="1:4" x14ac:dyDescent="0.25">
      <c r="A1252" s="17">
        <v>1228</v>
      </c>
      <c r="B1252" s="17">
        <v>0.21394435015905955</v>
      </c>
      <c r="C1252" s="17">
        <v>0.13875564984094046</v>
      </c>
      <c r="D1252" s="17">
        <v>0.13738151975053992</v>
      </c>
    </row>
    <row r="1253" spans="1:4" x14ac:dyDescent="0.25">
      <c r="A1253" s="17">
        <v>1229</v>
      </c>
      <c r="B1253" s="17">
        <v>0.37951154237755685</v>
      </c>
      <c r="C1253" s="17">
        <v>-0.73221154237755681</v>
      </c>
      <c r="D1253" s="17">
        <v>-0.72496027791320539</v>
      </c>
    </row>
    <row r="1254" spans="1:4" x14ac:dyDescent="0.25">
      <c r="A1254" s="17">
        <v>1230</v>
      </c>
      <c r="B1254" s="17">
        <v>0.1879425226562888</v>
      </c>
      <c r="C1254" s="17">
        <v>0.16475747734371121</v>
      </c>
      <c r="D1254" s="17">
        <v>0.16312584499219251</v>
      </c>
    </row>
    <row r="1255" spans="1:4" x14ac:dyDescent="0.25">
      <c r="A1255" s="17">
        <v>1231</v>
      </c>
      <c r="B1255" s="17">
        <v>0.59063749218637895</v>
      </c>
      <c r="C1255" s="17">
        <v>0.11116250781362103</v>
      </c>
      <c r="D1255" s="17">
        <v>0.1100616391492734</v>
      </c>
    </row>
    <row r="1256" spans="1:4" x14ac:dyDescent="0.25">
      <c r="A1256" s="17">
        <v>1232</v>
      </c>
      <c r="B1256" s="17">
        <v>8.5965842397420916E-3</v>
      </c>
      <c r="C1256" s="17">
        <v>0.3404034157602579</v>
      </c>
      <c r="D1256" s="17">
        <v>0.33703232004626354</v>
      </c>
    </row>
    <row r="1257" spans="1:4" x14ac:dyDescent="0.25">
      <c r="A1257" s="17">
        <v>1233</v>
      </c>
      <c r="B1257" s="17">
        <v>-0.78957062495855734</v>
      </c>
      <c r="C1257" s="17">
        <v>-0.26122937504144261</v>
      </c>
      <c r="D1257" s="17">
        <v>-0.25864235861975121</v>
      </c>
    </row>
    <row r="1258" spans="1:4" x14ac:dyDescent="0.25">
      <c r="A1258" s="17">
        <v>1234</v>
      </c>
      <c r="B1258" s="17">
        <v>-0.11441206125413479</v>
      </c>
      <c r="C1258" s="17">
        <v>0.46591206125413476</v>
      </c>
      <c r="D1258" s="17">
        <v>0.46129802367380013</v>
      </c>
    </row>
    <row r="1259" spans="1:4" x14ac:dyDescent="0.25">
      <c r="A1259" s="17">
        <v>1235</v>
      </c>
      <c r="B1259" s="17">
        <v>0.84887786447885383</v>
      </c>
      <c r="C1259" s="17">
        <v>-0.49857786447885383</v>
      </c>
      <c r="D1259" s="17">
        <v>-0.49364032970622729</v>
      </c>
    </row>
    <row r="1260" spans="1:4" x14ac:dyDescent="0.25">
      <c r="A1260" s="17">
        <v>1236</v>
      </c>
      <c r="B1260" s="17">
        <v>-2.9510558753170875</v>
      </c>
      <c r="C1260" s="17">
        <v>0.47305587531708726</v>
      </c>
      <c r="D1260" s="17">
        <v>0.46837109085274914</v>
      </c>
    </row>
    <row r="1261" spans="1:4" x14ac:dyDescent="0.25">
      <c r="A1261" s="17">
        <v>1237</v>
      </c>
      <c r="B1261" s="17">
        <v>-0.46521449469963549</v>
      </c>
      <c r="C1261" s="17">
        <v>-0.61588550530036446</v>
      </c>
      <c r="D1261" s="17">
        <v>-0.60978624515459801</v>
      </c>
    </row>
    <row r="1262" spans="1:4" x14ac:dyDescent="0.25">
      <c r="A1262" s="17">
        <v>1238</v>
      </c>
      <c r="B1262" s="17">
        <v>-1.0997035333356215</v>
      </c>
      <c r="C1262" s="17">
        <v>-0.72849646666437851</v>
      </c>
      <c r="D1262" s="17">
        <v>-0.72128199347541988</v>
      </c>
    </row>
    <row r="1263" spans="1:4" x14ac:dyDescent="0.25">
      <c r="A1263" s="17">
        <v>1239</v>
      </c>
      <c r="B1263" s="17">
        <v>-1.868313109560686</v>
      </c>
      <c r="C1263" s="17">
        <v>6.0131095606859031E-3</v>
      </c>
      <c r="D1263" s="17">
        <v>5.9535603113855277E-3</v>
      </c>
    </row>
    <row r="1264" spans="1:4" x14ac:dyDescent="0.25">
      <c r="A1264" s="17">
        <v>1240</v>
      </c>
      <c r="B1264" s="17">
        <v>0.66375374217280259</v>
      </c>
      <c r="C1264" s="17">
        <v>8.5346257827197403E-2</v>
      </c>
      <c r="D1264" s="17">
        <v>8.4501053605835083E-2</v>
      </c>
    </row>
    <row r="1265" spans="1:4" x14ac:dyDescent="0.25">
      <c r="A1265" s="17">
        <v>1241</v>
      </c>
      <c r="B1265" s="17">
        <v>-1.4235040689897835</v>
      </c>
      <c r="C1265" s="17">
        <v>0.67440406898978356</v>
      </c>
      <c r="D1265" s="17">
        <v>0.66772528563681921</v>
      </c>
    </row>
    <row r="1266" spans="1:4" x14ac:dyDescent="0.25">
      <c r="A1266" s="17">
        <v>1242</v>
      </c>
      <c r="B1266" s="17">
        <v>-0.21297454413856909</v>
      </c>
      <c r="C1266" s="17">
        <v>0.21297454413856909</v>
      </c>
      <c r="D1266" s="17">
        <v>0.21086540674542059</v>
      </c>
    </row>
    <row r="1267" spans="1:4" x14ac:dyDescent="0.25">
      <c r="A1267" s="17">
        <v>1243</v>
      </c>
      <c r="B1267" s="17">
        <v>0.87265731356258447</v>
      </c>
      <c r="C1267" s="17">
        <v>-0.49745731356258449</v>
      </c>
      <c r="D1267" s="17">
        <v>-0.49253087587129218</v>
      </c>
    </row>
    <row r="1268" spans="1:4" x14ac:dyDescent="0.25">
      <c r="A1268" s="17">
        <v>1244</v>
      </c>
      <c r="B1268" s="17">
        <v>-1.0944809440508771</v>
      </c>
      <c r="C1268" s="17">
        <v>-0.41501905594912292</v>
      </c>
      <c r="D1268" s="17">
        <v>-0.41090902386377681</v>
      </c>
    </row>
    <row r="1269" spans="1:4" x14ac:dyDescent="0.25">
      <c r="A1269" s="17">
        <v>1245</v>
      </c>
      <c r="B1269" s="17">
        <v>0.3465092228548094</v>
      </c>
      <c r="C1269" s="17">
        <v>3.7508907771451909</v>
      </c>
      <c r="D1269" s="17">
        <v>3.7137448166845575</v>
      </c>
    </row>
    <row r="1270" spans="1:4" x14ac:dyDescent="0.25">
      <c r="A1270" s="17">
        <v>1246</v>
      </c>
      <c r="B1270" s="17">
        <v>0.77398371175719805</v>
      </c>
      <c r="C1270" s="17">
        <v>-0.77398371175719805</v>
      </c>
      <c r="D1270" s="17">
        <v>-0.76631876759798978</v>
      </c>
    </row>
    <row r="1271" spans="1:4" x14ac:dyDescent="0.25">
      <c r="A1271" s="17">
        <v>1247</v>
      </c>
      <c r="B1271" s="17">
        <v>0.69220018593651744</v>
      </c>
      <c r="C1271" s="17">
        <v>3.5099814063482504E-2</v>
      </c>
      <c r="D1271" s="17">
        <v>3.4752212284907109E-2</v>
      </c>
    </row>
    <row r="1272" spans="1:4" x14ac:dyDescent="0.25">
      <c r="A1272" s="17">
        <v>1248</v>
      </c>
      <c r="B1272" s="17">
        <v>-2.1533331418025958</v>
      </c>
      <c r="C1272" s="17">
        <v>-0.41556685819740435</v>
      </c>
      <c r="D1272" s="17">
        <v>-0.41145140109654488</v>
      </c>
    </row>
    <row r="1273" spans="1:4" x14ac:dyDescent="0.25">
      <c r="A1273" s="17">
        <v>1249</v>
      </c>
      <c r="B1273" s="17">
        <v>-0.43565686172640039</v>
      </c>
      <c r="C1273" s="17">
        <v>0.80675686172640038</v>
      </c>
      <c r="D1273" s="17">
        <v>0.79876735729464454</v>
      </c>
    </row>
    <row r="1274" spans="1:4" x14ac:dyDescent="0.25">
      <c r="A1274" s="17">
        <v>1250</v>
      </c>
      <c r="B1274" s="17">
        <v>1.4006944259265437</v>
      </c>
      <c r="C1274" s="17">
        <v>1.1589055740734564</v>
      </c>
      <c r="D1274" s="17">
        <v>1.147428657471554</v>
      </c>
    </row>
    <row r="1275" spans="1:4" x14ac:dyDescent="0.25">
      <c r="A1275" s="17">
        <v>1251</v>
      </c>
      <c r="B1275" s="17">
        <v>2.0315165401711139</v>
      </c>
      <c r="C1275" s="17">
        <v>-1.3121165401711139</v>
      </c>
      <c r="D1275" s="17">
        <v>-1.2991223390554965</v>
      </c>
    </row>
    <row r="1276" spans="1:4" x14ac:dyDescent="0.25">
      <c r="A1276" s="17">
        <v>1252</v>
      </c>
      <c r="B1276" s="17">
        <v>-0.85324176666405993</v>
      </c>
      <c r="C1276" s="17">
        <v>-0.59085823333594001</v>
      </c>
      <c r="D1276" s="17">
        <v>-0.58500682419679118</v>
      </c>
    </row>
    <row r="1277" spans="1:4" x14ac:dyDescent="0.25">
      <c r="A1277" s="17">
        <v>1253</v>
      </c>
      <c r="B1277" s="17">
        <v>0.37217769359472402</v>
      </c>
      <c r="C1277" s="17">
        <v>1.0719223064052759</v>
      </c>
      <c r="D1277" s="17">
        <v>1.0613068057212205</v>
      </c>
    </row>
    <row r="1278" spans="1:4" x14ac:dyDescent="0.25">
      <c r="A1278" s="17">
        <v>1254</v>
      </c>
      <c r="B1278" s="17">
        <v>0.85187807534455817</v>
      </c>
      <c r="C1278" s="17">
        <v>-0.49407807534455817</v>
      </c>
      <c r="D1278" s="17">
        <v>-0.48918510305033863</v>
      </c>
    </row>
    <row r="1279" spans="1:4" x14ac:dyDescent="0.25">
      <c r="A1279" s="17">
        <v>1255</v>
      </c>
      <c r="B1279" s="17">
        <v>2.5122169922095159</v>
      </c>
      <c r="C1279" s="17">
        <v>-0.3920169922095158</v>
      </c>
      <c r="D1279" s="17">
        <v>-0.38813475501369049</v>
      </c>
    </row>
    <row r="1280" spans="1:4" x14ac:dyDescent="0.25">
      <c r="A1280" s="17">
        <v>1256</v>
      </c>
      <c r="B1280" s="17">
        <v>0.95721881240706519</v>
      </c>
      <c r="C1280" s="17">
        <v>-1.6590188124070653</v>
      </c>
      <c r="D1280" s="17">
        <v>-1.6425891558613144</v>
      </c>
    </row>
    <row r="1281" spans="1:4" x14ac:dyDescent="0.25">
      <c r="A1281" s="17">
        <v>1257</v>
      </c>
      <c r="B1281" s="17">
        <v>0.23250120995804546</v>
      </c>
      <c r="C1281" s="17">
        <v>1.1660987900419546</v>
      </c>
      <c r="D1281" s="17">
        <v>1.154550637317268</v>
      </c>
    </row>
    <row r="1282" spans="1:4" x14ac:dyDescent="0.25">
      <c r="A1282" s="17">
        <v>1258</v>
      </c>
      <c r="B1282" s="17">
        <v>-0.278645826421208</v>
      </c>
      <c r="C1282" s="17">
        <v>-0.76845417357879198</v>
      </c>
      <c r="D1282" s="17">
        <v>-0.76084398974686174</v>
      </c>
    </row>
    <row r="1283" spans="1:4" x14ac:dyDescent="0.25">
      <c r="A1283" s="17">
        <v>1259</v>
      </c>
      <c r="B1283" s="17">
        <v>-0.86424253983830912</v>
      </c>
      <c r="C1283" s="17">
        <v>3.290742539838309</v>
      </c>
      <c r="D1283" s="17">
        <v>3.258153536443229</v>
      </c>
    </row>
    <row r="1284" spans="1:4" x14ac:dyDescent="0.25">
      <c r="A1284" s="17">
        <v>1260</v>
      </c>
      <c r="B1284" s="17">
        <v>0.12060445655936979</v>
      </c>
      <c r="C1284" s="17">
        <v>-0.80790445655936982</v>
      </c>
      <c r="D1284" s="17">
        <v>-0.79990358722396226</v>
      </c>
    </row>
    <row r="1285" spans="1:4" x14ac:dyDescent="0.25">
      <c r="A1285" s="17">
        <v>1261</v>
      </c>
      <c r="B1285" s="17">
        <v>2.0595185082510206</v>
      </c>
      <c r="C1285" s="17">
        <v>-0.35011850825102053</v>
      </c>
      <c r="D1285" s="17">
        <v>-0.34665120167326757</v>
      </c>
    </row>
    <row r="1286" spans="1:4" x14ac:dyDescent="0.25">
      <c r="A1286" s="17">
        <v>1262</v>
      </c>
      <c r="B1286" s="17">
        <v>0.10171423999752782</v>
      </c>
      <c r="C1286" s="17">
        <v>0.23668576000247216</v>
      </c>
      <c r="D1286" s="17">
        <v>0.23434180481822167</v>
      </c>
    </row>
    <row r="1287" spans="1:4" x14ac:dyDescent="0.25">
      <c r="A1287" s="17">
        <v>1263</v>
      </c>
      <c r="B1287" s="17">
        <v>1.422473734433138</v>
      </c>
      <c r="C1287" s="17">
        <v>0.58432626556686218</v>
      </c>
      <c r="D1287" s="17">
        <v>0.57853954405283925</v>
      </c>
    </row>
    <row r="1288" spans="1:4" x14ac:dyDescent="0.25">
      <c r="A1288" s="17">
        <v>1264</v>
      </c>
      <c r="B1288" s="17">
        <v>0.2107219014514512</v>
      </c>
      <c r="C1288" s="17">
        <v>-0.2107219014514512</v>
      </c>
      <c r="D1288" s="17">
        <v>-0.2086350725127897</v>
      </c>
    </row>
    <row r="1289" spans="1:4" x14ac:dyDescent="0.25">
      <c r="A1289" s="17">
        <v>1265</v>
      </c>
      <c r="B1289" s="17">
        <v>9.4158153372791029E-2</v>
      </c>
      <c r="C1289" s="17">
        <v>-9.4158153372791029E-2</v>
      </c>
      <c r="D1289" s="17">
        <v>-9.3225682861107939E-2</v>
      </c>
    </row>
    <row r="1290" spans="1:4" x14ac:dyDescent="0.25">
      <c r="A1290" s="17">
        <v>1266</v>
      </c>
      <c r="B1290" s="17">
        <v>0.17849741437536784</v>
      </c>
      <c r="C1290" s="17">
        <v>-1.1767974143753679</v>
      </c>
      <c r="D1290" s="17">
        <v>-1.165143310637953</v>
      </c>
    </row>
    <row r="1291" spans="1:4" x14ac:dyDescent="0.25">
      <c r="A1291" s="17">
        <v>1267</v>
      </c>
      <c r="B1291" s="17">
        <v>-0.62022538942769168</v>
      </c>
      <c r="C1291" s="17">
        <v>-0.38817461057230829</v>
      </c>
      <c r="D1291" s="17">
        <v>-0.38433042539261741</v>
      </c>
    </row>
    <row r="1292" spans="1:4" x14ac:dyDescent="0.25">
      <c r="A1292" s="17">
        <v>1268</v>
      </c>
      <c r="B1292" s="17">
        <v>1.1802344867577526</v>
      </c>
      <c r="C1292" s="17">
        <v>0.49486551324224748</v>
      </c>
      <c r="D1292" s="17">
        <v>0.48996474276387636</v>
      </c>
    </row>
    <row r="1293" spans="1:4" x14ac:dyDescent="0.25">
      <c r="A1293" s="17">
        <v>1269</v>
      </c>
      <c r="B1293" s="17">
        <v>0.6723098990861075</v>
      </c>
      <c r="C1293" s="17">
        <v>-1.6740098990861076</v>
      </c>
      <c r="D1293" s="17">
        <v>-1.6574317822555533</v>
      </c>
    </row>
    <row r="1294" spans="1:4" x14ac:dyDescent="0.25">
      <c r="A1294" s="17">
        <v>1270</v>
      </c>
      <c r="B1294" s="17">
        <v>1.0525588465838913</v>
      </c>
      <c r="C1294" s="17">
        <v>0.94084115341610874</v>
      </c>
      <c r="D1294" s="17">
        <v>0.93152378046100204</v>
      </c>
    </row>
    <row r="1295" spans="1:4" x14ac:dyDescent="0.25">
      <c r="A1295" s="17">
        <v>1271</v>
      </c>
      <c r="B1295" s="17">
        <v>0.83387681015033233</v>
      </c>
      <c r="C1295" s="17">
        <v>-0.17817681015033238</v>
      </c>
      <c r="D1295" s="17">
        <v>-0.17641228296517039</v>
      </c>
    </row>
    <row r="1296" spans="1:4" x14ac:dyDescent="0.25">
      <c r="A1296" s="17">
        <v>1272</v>
      </c>
      <c r="B1296" s="17">
        <v>0.94977384470328041</v>
      </c>
      <c r="C1296" s="17">
        <v>-0.29827384470328044</v>
      </c>
      <c r="D1296" s="17">
        <v>-0.29531996811767058</v>
      </c>
    </row>
    <row r="1297" spans="1:4" x14ac:dyDescent="0.25">
      <c r="A1297" s="17">
        <v>1273</v>
      </c>
      <c r="B1297" s="17">
        <v>0.48129647396959946</v>
      </c>
      <c r="C1297" s="17">
        <v>-1.4600964739695994</v>
      </c>
      <c r="D1297" s="17">
        <v>-1.4456367924930662</v>
      </c>
    </row>
    <row r="1298" spans="1:4" x14ac:dyDescent="0.25">
      <c r="A1298" s="17">
        <v>1274</v>
      </c>
      <c r="B1298" s="17">
        <v>0.27772661078551419</v>
      </c>
      <c r="C1298" s="17">
        <v>-0.60612661078551422</v>
      </c>
      <c r="D1298" s="17">
        <v>-0.60012399528533356</v>
      </c>
    </row>
    <row r="1299" spans="1:4" x14ac:dyDescent="0.25">
      <c r="A1299" s="17">
        <v>1275</v>
      </c>
      <c r="B1299" s="17">
        <v>0.13338313246885114</v>
      </c>
      <c r="C1299" s="17">
        <v>-0.13338313246885114</v>
      </c>
      <c r="D1299" s="17">
        <v>-0.13206220769146415</v>
      </c>
    </row>
    <row r="1300" spans="1:4" x14ac:dyDescent="0.25">
      <c r="A1300" s="17">
        <v>1276</v>
      </c>
      <c r="B1300" s="17">
        <v>-0.31575954601917983</v>
      </c>
      <c r="C1300" s="17">
        <v>0.97145954601917972</v>
      </c>
      <c r="D1300" s="17">
        <v>0.96183895186447643</v>
      </c>
    </row>
    <row r="1301" spans="1:4" x14ac:dyDescent="0.25">
      <c r="A1301" s="17">
        <v>1277</v>
      </c>
      <c r="B1301" s="17">
        <v>0.4139584078726804</v>
      </c>
      <c r="C1301" s="17">
        <v>0.56164159212731968</v>
      </c>
      <c r="D1301" s="17">
        <v>0.5560795223114432</v>
      </c>
    </row>
    <row r="1302" spans="1:4" x14ac:dyDescent="0.25">
      <c r="A1302" s="17">
        <v>1278</v>
      </c>
      <c r="B1302" s="17">
        <v>0.65375303928712147</v>
      </c>
      <c r="C1302" s="17">
        <v>-0.33065303928712148</v>
      </c>
      <c r="D1302" s="17">
        <v>-0.3273785038625267</v>
      </c>
    </row>
    <row r="1303" spans="1:4" x14ac:dyDescent="0.25">
      <c r="A1303" s="17">
        <v>1279</v>
      </c>
      <c r="B1303" s="17">
        <v>0.60397176270062025</v>
      </c>
      <c r="C1303" s="17">
        <v>3.9128237299379753E-2</v>
      </c>
      <c r="D1303" s="17">
        <v>3.8740741090619639E-2</v>
      </c>
    </row>
    <row r="1304" spans="1:4" x14ac:dyDescent="0.25">
      <c r="A1304" s="17">
        <v>1280</v>
      </c>
      <c r="B1304" s="17">
        <v>-1.6780775168908419</v>
      </c>
      <c r="C1304" s="17">
        <v>0.711877516890842</v>
      </c>
      <c r="D1304" s="17">
        <v>0.70482762510077301</v>
      </c>
    </row>
    <row r="1305" spans="1:4" x14ac:dyDescent="0.25">
      <c r="A1305" s="17">
        <v>1281</v>
      </c>
      <c r="B1305" s="17">
        <v>1.2015693195805388</v>
      </c>
      <c r="C1305" s="17">
        <v>-0.23536931958053886</v>
      </c>
      <c r="D1305" s="17">
        <v>-0.23303840141783</v>
      </c>
    </row>
    <row r="1306" spans="1:4" x14ac:dyDescent="0.25">
      <c r="A1306" s="17">
        <v>1282</v>
      </c>
      <c r="B1306" s="17">
        <v>0.5235216639313639</v>
      </c>
      <c r="C1306" s="17">
        <v>1.0663783360686363</v>
      </c>
      <c r="D1306" s="17">
        <v>1.0558177386369429</v>
      </c>
    </row>
    <row r="1307" spans="1:4" x14ac:dyDescent="0.25">
      <c r="A1307" s="17">
        <v>1283</v>
      </c>
      <c r="B1307" s="17">
        <v>1.0371133165715616</v>
      </c>
      <c r="C1307" s="17">
        <v>-0.40821331657156157</v>
      </c>
      <c r="D1307" s="17">
        <v>-0.40417068333647382</v>
      </c>
    </row>
    <row r="1308" spans="1:4" x14ac:dyDescent="0.25">
      <c r="A1308" s="17">
        <v>1284</v>
      </c>
      <c r="B1308" s="17">
        <v>9.7380602080399364E-2</v>
      </c>
      <c r="C1308" s="17">
        <v>0.21561939791960064</v>
      </c>
      <c r="D1308" s="17">
        <v>0.21348406791253413</v>
      </c>
    </row>
    <row r="1309" spans="1:4" x14ac:dyDescent="0.25">
      <c r="A1309" s="17">
        <v>1285</v>
      </c>
      <c r="B1309" s="17">
        <v>-0.26897848029838295</v>
      </c>
      <c r="C1309" s="17">
        <v>-0.67292151970161695</v>
      </c>
      <c r="D1309" s="17">
        <v>-0.66625741838567021</v>
      </c>
    </row>
    <row r="1310" spans="1:4" x14ac:dyDescent="0.25">
      <c r="A1310" s="17">
        <v>1286</v>
      </c>
      <c r="B1310" s="17">
        <v>-0.1757497056196452</v>
      </c>
      <c r="C1310" s="17">
        <v>0.80464970561964522</v>
      </c>
      <c r="D1310" s="17">
        <v>0.79668106885428547</v>
      </c>
    </row>
    <row r="1311" spans="1:4" x14ac:dyDescent="0.25">
      <c r="A1311" s="17">
        <v>1287</v>
      </c>
      <c r="B1311" s="17">
        <v>-0.21597475500427343</v>
      </c>
      <c r="C1311" s="17">
        <v>-0.41292524499572658</v>
      </c>
      <c r="D1311" s="17">
        <v>-0.40883594841655962</v>
      </c>
    </row>
    <row r="1312" spans="1:4" x14ac:dyDescent="0.25">
      <c r="A1312" s="17">
        <v>1288</v>
      </c>
      <c r="B1312" s="17">
        <v>-0.41698888300646242</v>
      </c>
      <c r="C1312" s="17">
        <v>0.10098888300646242</v>
      </c>
      <c r="D1312" s="17">
        <v>9.9988766160091128E-2</v>
      </c>
    </row>
    <row r="1313" spans="1:4" x14ac:dyDescent="0.25">
      <c r="A1313" s="17">
        <v>1289</v>
      </c>
      <c r="B1313" s="17">
        <v>-0.11318975312366263</v>
      </c>
      <c r="C1313" s="17">
        <v>0.74408975312366266</v>
      </c>
      <c r="D1313" s="17">
        <v>0.73672085592273406</v>
      </c>
    </row>
    <row r="1314" spans="1:4" x14ac:dyDescent="0.25">
      <c r="A1314" s="17">
        <v>1290</v>
      </c>
      <c r="B1314" s="17">
        <v>-0.86635379933639733</v>
      </c>
      <c r="C1314" s="17">
        <v>0.86635379933639733</v>
      </c>
      <c r="D1314" s="17">
        <v>0.8577740923048951</v>
      </c>
    </row>
    <row r="1315" spans="1:4" x14ac:dyDescent="0.25">
      <c r="A1315" s="17">
        <v>1291</v>
      </c>
      <c r="B1315" s="17">
        <v>1.605042121557293</v>
      </c>
      <c r="C1315" s="17">
        <v>-4.4942121557292936E-2</v>
      </c>
      <c r="D1315" s="17">
        <v>-4.4497049074629286E-2</v>
      </c>
    </row>
    <row r="1316" spans="1:4" x14ac:dyDescent="0.25">
      <c r="A1316" s="17">
        <v>1292</v>
      </c>
      <c r="B1316" s="17">
        <v>0.1712746845134871</v>
      </c>
      <c r="C1316" s="17">
        <v>0.13782531548651289</v>
      </c>
      <c r="D1316" s="17">
        <v>0.13646039871774659</v>
      </c>
    </row>
    <row r="1317" spans="1:4" x14ac:dyDescent="0.25">
      <c r="A1317" s="17">
        <v>1293</v>
      </c>
      <c r="B1317" s="17">
        <v>-1.0423661701243838</v>
      </c>
      <c r="C1317" s="17">
        <v>-1.1418338298756163</v>
      </c>
      <c r="D1317" s="17">
        <v>-1.1305259788031159</v>
      </c>
    </row>
    <row r="1318" spans="1:4" x14ac:dyDescent="0.25">
      <c r="A1318" s="17">
        <v>1294</v>
      </c>
      <c r="B1318" s="17">
        <v>-1.7947523838904542</v>
      </c>
      <c r="C1318" s="17">
        <v>-1.4106476161095458</v>
      </c>
      <c r="D1318" s="17">
        <v>-1.3966776383935393</v>
      </c>
    </row>
    <row r="1319" spans="1:4" x14ac:dyDescent="0.25">
      <c r="A1319" s="17">
        <v>1295</v>
      </c>
      <c r="B1319" s="17">
        <v>-0.22897566875565878</v>
      </c>
      <c r="C1319" s="17">
        <v>0.87837566875565876</v>
      </c>
      <c r="D1319" s="17">
        <v>0.86967690630168681</v>
      </c>
    </row>
    <row r="1320" spans="1:4" x14ac:dyDescent="0.25">
      <c r="A1320" s="17">
        <v>1296</v>
      </c>
      <c r="B1320" s="17">
        <v>0.74098139223445059</v>
      </c>
      <c r="C1320" s="17">
        <v>1.1821186077655494</v>
      </c>
      <c r="D1320" s="17">
        <v>1.1704118069886793</v>
      </c>
    </row>
    <row r="1321" spans="1:4" x14ac:dyDescent="0.25">
      <c r="A1321" s="17">
        <v>1297</v>
      </c>
      <c r="B1321" s="17">
        <v>0.34628698501290539</v>
      </c>
      <c r="C1321" s="17">
        <v>0.28661301498709463</v>
      </c>
      <c r="D1321" s="17">
        <v>0.28377461836219564</v>
      </c>
    </row>
    <row r="1322" spans="1:4" x14ac:dyDescent="0.25">
      <c r="A1322" s="17">
        <v>1298</v>
      </c>
      <c r="B1322" s="17">
        <v>-0.33609430855339795</v>
      </c>
      <c r="C1322" s="17">
        <v>0.33609430855339795</v>
      </c>
      <c r="D1322" s="17">
        <v>0.33276588694948483</v>
      </c>
    </row>
    <row r="1323" spans="1:4" x14ac:dyDescent="0.25">
      <c r="A1323" s="17">
        <v>1299</v>
      </c>
      <c r="B1323" s="17">
        <v>1.6359331815819522</v>
      </c>
      <c r="C1323" s="17">
        <v>0.23916681841804777</v>
      </c>
      <c r="D1323" s="17">
        <v>0.23679829272420871</v>
      </c>
    </row>
    <row r="1324" spans="1:4" x14ac:dyDescent="0.25">
      <c r="A1324" s="17">
        <v>1300</v>
      </c>
      <c r="B1324" s="17">
        <v>0.2728373782636257</v>
      </c>
      <c r="C1324" s="17">
        <v>-0.2728373782636257</v>
      </c>
      <c r="D1324" s="17">
        <v>-0.27013540503451527</v>
      </c>
    </row>
    <row r="1325" spans="1:4" x14ac:dyDescent="0.25">
      <c r="A1325" s="17">
        <v>1301</v>
      </c>
      <c r="B1325" s="17">
        <v>0.49040822548766444</v>
      </c>
      <c r="C1325" s="17">
        <v>-1.7365082254876645</v>
      </c>
      <c r="D1325" s="17">
        <v>-1.7193111729164285</v>
      </c>
    </row>
    <row r="1326" spans="1:4" x14ac:dyDescent="0.25">
      <c r="A1326" s="17">
        <v>1302</v>
      </c>
      <c r="B1326" s="17">
        <v>-0.36765208210376921</v>
      </c>
      <c r="C1326" s="17">
        <v>-0.57724791789623076</v>
      </c>
      <c r="D1326" s="17">
        <v>-0.57153129493701027</v>
      </c>
    </row>
    <row r="1327" spans="1:4" x14ac:dyDescent="0.25">
      <c r="A1327" s="17">
        <v>1303</v>
      </c>
      <c r="B1327" s="17">
        <v>-0.34253920596861465</v>
      </c>
      <c r="C1327" s="17">
        <v>2.5539205968614642E-2</v>
      </c>
      <c r="D1327" s="17">
        <v>2.5286285158206995E-2</v>
      </c>
    </row>
    <row r="1328" spans="1:4" x14ac:dyDescent="0.25">
      <c r="A1328" s="17">
        <v>1304</v>
      </c>
      <c r="B1328" s="17">
        <v>-1.4730631077343808</v>
      </c>
      <c r="C1328" s="17">
        <v>-0.77423689226561931</v>
      </c>
      <c r="D1328" s="17">
        <v>-0.76656944079982337</v>
      </c>
    </row>
    <row r="1329" spans="1:4" x14ac:dyDescent="0.25">
      <c r="A1329" s="17">
        <v>1305</v>
      </c>
      <c r="B1329" s="17">
        <v>0.77698392262290239</v>
      </c>
      <c r="C1329" s="17">
        <v>1.1523160773770975</v>
      </c>
      <c r="D1329" s="17">
        <v>1.1409044181229242</v>
      </c>
    </row>
    <row r="1330" spans="1:4" x14ac:dyDescent="0.25">
      <c r="A1330" s="17">
        <v>1306</v>
      </c>
      <c r="B1330" s="17">
        <v>-0.35520676295714393</v>
      </c>
      <c r="C1330" s="17">
        <v>3.6206762957143923E-2</v>
      </c>
      <c r="D1330" s="17">
        <v>3.5848198801288325E-2</v>
      </c>
    </row>
    <row r="1331" spans="1:4" x14ac:dyDescent="0.25">
      <c r="A1331" s="17">
        <v>1307</v>
      </c>
      <c r="B1331" s="17">
        <v>0.391179029077518</v>
      </c>
      <c r="C1331" s="17">
        <v>0.24572097092248202</v>
      </c>
      <c r="D1331" s="17">
        <v>0.24328753790282423</v>
      </c>
    </row>
    <row r="1332" spans="1:4" x14ac:dyDescent="0.25">
      <c r="A1332" s="17">
        <v>1308</v>
      </c>
      <c r="B1332" s="17">
        <v>0.3482871255900416</v>
      </c>
      <c r="C1332" s="17">
        <v>-3.1287125590041598E-2</v>
      </c>
      <c r="D1332" s="17">
        <v>-3.0977281769161508E-2</v>
      </c>
    </row>
    <row r="1333" spans="1:4" x14ac:dyDescent="0.25">
      <c r="A1333" s="17">
        <v>1309</v>
      </c>
      <c r="B1333" s="17">
        <v>-0.16774914331110036</v>
      </c>
      <c r="C1333" s="17">
        <v>-0.78615085668889961</v>
      </c>
      <c r="D1333" s="17">
        <v>-0.77836541840938644</v>
      </c>
    </row>
    <row r="1334" spans="1:4" x14ac:dyDescent="0.25">
      <c r="A1334" s="17">
        <v>1310</v>
      </c>
      <c r="B1334" s="17">
        <v>-1.0910362575013646</v>
      </c>
      <c r="C1334" s="17">
        <v>-1.1707637424986355</v>
      </c>
      <c r="D1334" s="17">
        <v>-1.1591693916440107</v>
      </c>
    </row>
    <row r="1335" spans="1:4" x14ac:dyDescent="0.25">
      <c r="A1335" s="17">
        <v>1311</v>
      </c>
      <c r="B1335" s="17">
        <v>-1.1933767836981675</v>
      </c>
      <c r="C1335" s="17">
        <v>-0.78692321630183248</v>
      </c>
      <c r="D1335" s="17">
        <v>-0.77913012916199575</v>
      </c>
    </row>
    <row r="1336" spans="1:4" x14ac:dyDescent="0.25">
      <c r="A1336" s="17">
        <v>1312</v>
      </c>
      <c r="B1336" s="17">
        <v>-1.0444774296224717</v>
      </c>
      <c r="C1336" s="17">
        <v>-0.63622257037752838</v>
      </c>
      <c r="D1336" s="17">
        <v>-0.62992190745569476</v>
      </c>
    </row>
    <row r="1337" spans="1:4" x14ac:dyDescent="0.25">
      <c r="A1337" s="17">
        <v>1313</v>
      </c>
      <c r="B1337" s="17">
        <v>-1.3929463657279804</v>
      </c>
      <c r="C1337" s="17">
        <v>1.0533463657279802</v>
      </c>
      <c r="D1337" s="17">
        <v>1.042914826987611</v>
      </c>
    </row>
    <row r="1338" spans="1:4" x14ac:dyDescent="0.25">
      <c r="A1338" s="17">
        <v>1314</v>
      </c>
      <c r="B1338" s="17">
        <v>-0.16563788381301214</v>
      </c>
      <c r="C1338" s="17">
        <v>0.50523788381301216</v>
      </c>
      <c r="D1338" s="17">
        <v>0.50023439329025787</v>
      </c>
    </row>
    <row r="1339" spans="1:4" x14ac:dyDescent="0.25">
      <c r="A1339" s="17">
        <v>1315</v>
      </c>
      <c r="B1339" s="17">
        <v>-0.22097510644711393</v>
      </c>
      <c r="C1339" s="17">
        <v>0.55937510644711397</v>
      </c>
      <c r="D1339" s="17">
        <v>0.55383548217616629</v>
      </c>
    </row>
    <row r="1340" spans="1:4" x14ac:dyDescent="0.25">
      <c r="A1340" s="17">
        <v>1316</v>
      </c>
      <c r="B1340" s="17">
        <v>-0.12707961824266412</v>
      </c>
      <c r="C1340" s="17">
        <v>-0.21132038175733586</v>
      </c>
      <c r="D1340" s="17">
        <v>-0.20922762592634406</v>
      </c>
    </row>
    <row r="1341" spans="1:4" x14ac:dyDescent="0.25">
      <c r="A1341" s="17">
        <v>1317</v>
      </c>
      <c r="B1341" s="17">
        <v>0.40595784556413561</v>
      </c>
      <c r="C1341" s="17">
        <v>-0.74555784556413562</v>
      </c>
      <c r="D1341" s="17">
        <v>-0.73817440949577884</v>
      </c>
    </row>
    <row r="1342" spans="1:4" x14ac:dyDescent="0.25">
      <c r="A1342" s="17">
        <v>1318</v>
      </c>
      <c r="B1342" s="17">
        <v>-0.21052992787762481</v>
      </c>
      <c r="C1342" s="17">
        <v>0.21052992787762481</v>
      </c>
      <c r="D1342" s="17">
        <v>0.20844500009876948</v>
      </c>
    </row>
    <row r="1343" spans="1:4" x14ac:dyDescent="0.25">
      <c r="A1343" s="17">
        <v>1319</v>
      </c>
      <c r="B1343" s="17">
        <v>-0.30409205931921862</v>
      </c>
      <c r="C1343" s="17">
        <v>-0.37850794068078136</v>
      </c>
      <c r="D1343" s="17">
        <v>-0.37475948682437094</v>
      </c>
    </row>
    <row r="1344" spans="1:4" x14ac:dyDescent="0.25">
      <c r="A1344" s="17">
        <v>1320</v>
      </c>
      <c r="B1344" s="17">
        <v>-0.6752292552989374</v>
      </c>
      <c r="C1344" s="17">
        <v>-0.70407074470106257</v>
      </c>
      <c r="D1344" s="17">
        <v>-0.69709816522647172</v>
      </c>
    </row>
    <row r="1345" spans="1:4" x14ac:dyDescent="0.25">
      <c r="A1345" s="17">
        <v>1321</v>
      </c>
      <c r="B1345" s="17">
        <v>0.26405898350841678</v>
      </c>
      <c r="C1345" s="17">
        <v>8.2541016491583241E-2</v>
      </c>
      <c r="D1345" s="17">
        <v>8.1723593240109513E-2</v>
      </c>
    </row>
    <row r="1346" spans="1:4" x14ac:dyDescent="0.25">
      <c r="A1346" s="17">
        <v>1322</v>
      </c>
      <c r="B1346" s="17">
        <v>1.0715601820666851</v>
      </c>
      <c r="C1346" s="17">
        <v>0.64373981793331492</v>
      </c>
      <c r="D1346" s="17">
        <v>0.63736470992708127</v>
      </c>
    </row>
    <row r="1347" spans="1:4" x14ac:dyDescent="0.25">
      <c r="A1347" s="17">
        <v>1323</v>
      </c>
      <c r="B1347" s="17">
        <v>0.33406390370818406</v>
      </c>
      <c r="C1347" s="17">
        <v>-0.33406390370818406</v>
      </c>
      <c r="D1347" s="17">
        <v>-0.33075558968473129</v>
      </c>
    </row>
    <row r="1348" spans="1:4" x14ac:dyDescent="0.25">
      <c r="A1348" s="17">
        <v>1324</v>
      </c>
      <c r="B1348" s="17">
        <v>-0.79857125755567027</v>
      </c>
      <c r="C1348" s="17">
        <v>0.79857125755567027</v>
      </c>
      <c r="D1348" s="17">
        <v>0.79066281710229658</v>
      </c>
    </row>
    <row r="1349" spans="1:4" x14ac:dyDescent="0.25">
      <c r="A1349" s="17">
        <v>1325</v>
      </c>
      <c r="B1349" s="17">
        <v>0.55541279424459122</v>
      </c>
      <c r="C1349" s="17">
        <v>0.45978720575540888</v>
      </c>
      <c r="D1349" s="17">
        <v>0.45523382407088681</v>
      </c>
    </row>
    <row r="1350" spans="1:4" x14ac:dyDescent="0.25">
      <c r="A1350" s="17">
        <v>1326</v>
      </c>
      <c r="B1350" s="17">
        <v>2.9480254001833051</v>
      </c>
      <c r="C1350" s="17">
        <v>0.68877459981669498</v>
      </c>
      <c r="D1350" s="17">
        <v>0.68195350169062463</v>
      </c>
    </row>
    <row r="1351" spans="1:4" x14ac:dyDescent="0.25">
      <c r="A1351" s="17">
        <v>1327</v>
      </c>
      <c r="B1351" s="17">
        <v>-0.51221779826233638</v>
      </c>
      <c r="C1351" s="17">
        <v>-1.4550822017376637</v>
      </c>
      <c r="D1351" s="17">
        <v>-1.4406721777876044</v>
      </c>
    </row>
    <row r="1352" spans="1:4" x14ac:dyDescent="0.25">
      <c r="A1352" s="17">
        <v>1328</v>
      </c>
      <c r="B1352" s="17">
        <v>1.3439126573200659</v>
      </c>
      <c r="C1352" s="17">
        <v>0.94748734267993395</v>
      </c>
      <c r="D1352" s="17">
        <v>0.93810415093716426</v>
      </c>
    </row>
    <row r="1353" spans="1:4" x14ac:dyDescent="0.25">
      <c r="A1353" s="17">
        <v>1329</v>
      </c>
      <c r="B1353" s="17">
        <v>4.4710233549145856E-2</v>
      </c>
      <c r="C1353" s="17">
        <v>0.27838976645085411</v>
      </c>
      <c r="D1353" s="17">
        <v>0.27563280660541201</v>
      </c>
    </row>
    <row r="1354" spans="1:4" x14ac:dyDescent="0.25">
      <c r="A1354" s="17">
        <v>1330</v>
      </c>
      <c r="B1354" s="17">
        <v>0.98833211027362844</v>
      </c>
      <c r="C1354" s="17">
        <v>-2.5232110273628483E-2</v>
      </c>
      <c r="D1354" s="17">
        <v>-2.4982230704680888E-2</v>
      </c>
    </row>
    <row r="1355" spans="1:4" x14ac:dyDescent="0.25">
      <c r="A1355" s="17">
        <v>1331</v>
      </c>
      <c r="B1355" s="17">
        <v>1.0168896729582955</v>
      </c>
      <c r="C1355" s="17">
        <v>-0.69788967295829551</v>
      </c>
      <c r="D1355" s="17">
        <v>-0.69097830610230726</v>
      </c>
    </row>
    <row r="1356" spans="1:4" x14ac:dyDescent="0.25">
      <c r="A1356" s="17">
        <v>1332</v>
      </c>
      <c r="B1356" s="17">
        <v>6.8600801553828361E-2</v>
      </c>
      <c r="C1356" s="17">
        <v>-0.38760080155382837</v>
      </c>
      <c r="D1356" s="17">
        <v>-0.38376229894086061</v>
      </c>
    </row>
    <row r="1357" spans="1:4" x14ac:dyDescent="0.25">
      <c r="A1357" s="17">
        <v>1333</v>
      </c>
      <c r="B1357" s="17">
        <v>0.87087941082735221</v>
      </c>
      <c r="C1357" s="17">
        <v>0.71392058917264778</v>
      </c>
      <c r="D1357" s="17">
        <v>0.7068504643534913</v>
      </c>
    </row>
    <row r="1358" spans="1:4" x14ac:dyDescent="0.25">
      <c r="A1358" s="17">
        <v>1334</v>
      </c>
      <c r="B1358" s="17">
        <v>-0.46076973786155495</v>
      </c>
      <c r="C1358" s="17">
        <v>0.46076973786155495</v>
      </c>
      <c r="D1358" s="17">
        <v>0.45620662592869066</v>
      </c>
    </row>
    <row r="1359" spans="1:4" x14ac:dyDescent="0.25">
      <c r="A1359" s="17">
        <v>1335</v>
      </c>
      <c r="B1359" s="17">
        <v>0.47851850094579917</v>
      </c>
      <c r="C1359" s="17">
        <v>0.46048149905420077</v>
      </c>
      <c r="D1359" s="17">
        <v>0.45592124161856856</v>
      </c>
    </row>
    <row r="1360" spans="1:4" x14ac:dyDescent="0.25">
      <c r="A1360" s="17">
        <v>1336</v>
      </c>
      <c r="B1360" s="17">
        <v>0.12671599721173044</v>
      </c>
      <c r="C1360" s="17">
        <v>-0.43871599721173044</v>
      </c>
      <c r="D1360" s="17">
        <v>-0.43437128870004255</v>
      </c>
    </row>
    <row r="1361" spans="1:4" x14ac:dyDescent="0.25">
      <c r="A1361" s="17">
        <v>1337</v>
      </c>
      <c r="B1361" s="17">
        <v>0.14393942995929221</v>
      </c>
      <c r="C1361" s="17">
        <v>0.47916057004070778</v>
      </c>
      <c r="D1361" s="17">
        <v>0.47441532933749181</v>
      </c>
    </row>
    <row r="1362" spans="1:4" x14ac:dyDescent="0.25">
      <c r="A1362" s="17">
        <v>1338</v>
      </c>
      <c r="B1362" s="17">
        <v>1.137231464349324</v>
      </c>
      <c r="C1362" s="17">
        <v>-0.51803146434932401</v>
      </c>
      <c r="D1362" s="17">
        <v>-0.51290127596598489</v>
      </c>
    </row>
    <row r="1363" spans="1:4" x14ac:dyDescent="0.25">
      <c r="A1363" s="17">
        <v>1339</v>
      </c>
      <c r="B1363" s="17">
        <v>0.52685523155992431</v>
      </c>
      <c r="C1363" s="17">
        <v>1.6106447684400758</v>
      </c>
      <c r="D1363" s="17">
        <v>1.5946941715180996</v>
      </c>
    </row>
    <row r="1364" spans="1:4" x14ac:dyDescent="0.25">
      <c r="A1364" s="17">
        <v>1340</v>
      </c>
      <c r="B1364" s="17">
        <v>-2.2370056892794605</v>
      </c>
      <c r="C1364" s="17">
        <v>9.9505689279460352E-2</v>
      </c>
      <c r="D1364" s="17">
        <v>9.8520260852137248E-2</v>
      </c>
    </row>
    <row r="1365" spans="1:4" x14ac:dyDescent="0.25">
      <c r="A1365" s="17">
        <v>1341</v>
      </c>
      <c r="B1365" s="17">
        <v>0.59041525434447484</v>
      </c>
      <c r="C1365" s="17">
        <v>-0.59041525434447484</v>
      </c>
      <c r="D1365" s="17">
        <v>-0.58456823213128017</v>
      </c>
    </row>
    <row r="1366" spans="1:4" x14ac:dyDescent="0.25">
      <c r="A1366" s="17">
        <v>1342</v>
      </c>
      <c r="B1366" s="17">
        <v>0.46351744661727762</v>
      </c>
      <c r="C1366" s="17">
        <v>0.15188255338272233</v>
      </c>
      <c r="D1366" s="17">
        <v>0.15037842445500435</v>
      </c>
    </row>
    <row r="1367" spans="1:4" x14ac:dyDescent="0.25">
      <c r="A1367" s="17">
        <v>1343</v>
      </c>
      <c r="B1367" s="17">
        <v>-1.3862792304708595</v>
      </c>
      <c r="C1367" s="17">
        <v>-0.15932076952914054</v>
      </c>
      <c r="D1367" s="17">
        <v>-0.1577429781838027</v>
      </c>
    </row>
    <row r="1368" spans="1:4" x14ac:dyDescent="0.25">
      <c r="A1368" s="17">
        <v>1344</v>
      </c>
      <c r="B1368" s="17">
        <v>1.0353354138363295</v>
      </c>
      <c r="C1368" s="17">
        <v>0.51026458616367054</v>
      </c>
      <c r="D1368" s="17">
        <v>0.50521131501603045</v>
      </c>
    </row>
    <row r="1369" spans="1:4" x14ac:dyDescent="0.25">
      <c r="A1369" s="17">
        <v>1345</v>
      </c>
      <c r="B1369" s="17">
        <v>0.81987582611037879</v>
      </c>
      <c r="C1369" s="17">
        <v>-0.81987582611037879</v>
      </c>
      <c r="D1369" s="17">
        <v>-0.8117564014646671</v>
      </c>
    </row>
    <row r="1370" spans="1:4" x14ac:dyDescent="0.25">
      <c r="A1370" s="17">
        <v>1346</v>
      </c>
      <c r="B1370" s="17">
        <v>0.82887645870749171</v>
      </c>
      <c r="C1370" s="17">
        <v>0.69322354129250829</v>
      </c>
      <c r="D1370" s="17">
        <v>0.68635838424444551</v>
      </c>
    </row>
    <row r="1371" spans="1:4" x14ac:dyDescent="0.25">
      <c r="A1371" s="17">
        <v>1347</v>
      </c>
      <c r="B1371" s="17">
        <v>0.47329591166105461</v>
      </c>
      <c r="C1371" s="17">
        <v>-0.17159591166105459</v>
      </c>
      <c r="D1371" s="17">
        <v>-0.16989655667353901</v>
      </c>
    </row>
    <row r="1372" spans="1:4" x14ac:dyDescent="0.25">
      <c r="A1372" s="17">
        <v>1348</v>
      </c>
      <c r="B1372" s="17">
        <v>-0.43332336438640817</v>
      </c>
      <c r="C1372" s="17">
        <v>-0.77877663561359178</v>
      </c>
      <c r="D1372" s="17">
        <v>-0.77106422599334012</v>
      </c>
    </row>
    <row r="1373" spans="1:4" x14ac:dyDescent="0.25">
      <c r="A1373" s="17">
        <v>1349</v>
      </c>
      <c r="B1373" s="17">
        <v>-2.5150252295013935</v>
      </c>
      <c r="C1373" s="17">
        <v>-0.58117477049860655</v>
      </c>
      <c r="D1373" s="17">
        <v>-0.57541925898726098</v>
      </c>
    </row>
    <row r="1374" spans="1:4" x14ac:dyDescent="0.25">
      <c r="A1374" s="17">
        <v>1350</v>
      </c>
      <c r="B1374" s="17">
        <v>-0.16552676489206009</v>
      </c>
      <c r="C1374" s="17">
        <v>1.72562676489206</v>
      </c>
      <c r="D1374" s="17">
        <v>1.7085374740043957</v>
      </c>
    </row>
    <row r="1375" spans="1:4" x14ac:dyDescent="0.25">
      <c r="A1375" s="17">
        <v>1351</v>
      </c>
      <c r="B1375" s="17">
        <v>0.68331067226035669</v>
      </c>
      <c r="C1375" s="17">
        <v>0.27668932773964328</v>
      </c>
      <c r="D1375" s="17">
        <v>0.27394920774182274</v>
      </c>
    </row>
    <row r="1376" spans="1:4" x14ac:dyDescent="0.25">
      <c r="A1376" s="17">
        <v>1352</v>
      </c>
      <c r="B1376" s="17">
        <v>1.1261195722541228</v>
      </c>
      <c r="C1376" s="17">
        <v>0.13968042774587719</v>
      </c>
      <c r="D1376" s="17">
        <v>0.13829713936067878</v>
      </c>
    </row>
    <row r="1377" spans="1:4" x14ac:dyDescent="0.25">
      <c r="A1377" s="17">
        <v>1353</v>
      </c>
      <c r="B1377" s="17">
        <v>1.1030068366961043</v>
      </c>
      <c r="C1377" s="17">
        <v>1.0743931633038957</v>
      </c>
      <c r="D1377" s="17">
        <v>1.0637531931382924</v>
      </c>
    </row>
    <row r="1378" spans="1:4" x14ac:dyDescent="0.25">
      <c r="A1378" s="17">
        <v>1354</v>
      </c>
      <c r="B1378" s="17">
        <v>0.98733203998506036</v>
      </c>
      <c r="C1378" s="17">
        <v>1.1436679600149393</v>
      </c>
      <c r="D1378" s="17">
        <v>1.132341945116915</v>
      </c>
    </row>
    <row r="1379" spans="1:4" x14ac:dyDescent="0.25">
      <c r="A1379" s="17">
        <v>1355</v>
      </c>
      <c r="B1379" s="17">
        <v>0.35595433113573038</v>
      </c>
      <c r="C1379" s="17">
        <v>-0.35595433113573038</v>
      </c>
      <c r="D1379" s="17">
        <v>-0.35242923102065249</v>
      </c>
    </row>
    <row r="1380" spans="1:4" x14ac:dyDescent="0.25">
      <c r="A1380" s="17">
        <v>1356</v>
      </c>
      <c r="B1380" s="17">
        <v>-0.49377205738430241</v>
      </c>
      <c r="C1380" s="17">
        <v>-0.71832794261569755</v>
      </c>
      <c r="D1380" s="17">
        <v>-0.71121417073069493</v>
      </c>
    </row>
    <row r="1381" spans="1:4" x14ac:dyDescent="0.25">
      <c r="A1381" s="17">
        <v>1357</v>
      </c>
      <c r="B1381" s="17">
        <v>-1.7311923611059037</v>
      </c>
      <c r="C1381" s="17">
        <v>0.19509236110590367</v>
      </c>
      <c r="D1381" s="17">
        <v>0.19316031521004126</v>
      </c>
    </row>
    <row r="1382" spans="1:4" x14ac:dyDescent="0.25">
      <c r="A1382" s="17">
        <v>1358</v>
      </c>
      <c r="B1382" s="17">
        <v>0.9133268386310206</v>
      </c>
      <c r="C1382" s="17">
        <v>0.92717316136897943</v>
      </c>
      <c r="D1382" s="17">
        <v>0.91799114577891583</v>
      </c>
    </row>
    <row r="1383" spans="1:4" x14ac:dyDescent="0.25">
      <c r="A1383" s="17">
        <v>1359</v>
      </c>
      <c r="B1383" s="17">
        <v>1.9285093004485989</v>
      </c>
      <c r="C1383" s="17">
        <v>1.3602906995514013</v>
      </c>
      <c r="D1383" s="17">
        <v>1.346819418316451</v>
      </c>
    </row>
    <row r="1384" spans="1:4" x14ac:dyDescent="0.25">
      <c r="A1384" s="17">
        <v>1360</v>
      </c>
      <c r="B1384" s="17">
        <v>0.76553867376484519</v>
      </c>
      <c r="C1384" s="17">
        <v>-0.17903867376484517</v>
      </c>
      <c r="D1384" s="17">
        <v>-0.17726561134001631</v>
      </c>
    </row>
    <row r="1385" spans="1:4" x14ac:dyDescent="0.25">
      <c r="A1385" s="17">
        <v>1361</v>
      </c>
      <c r="B1385" s="17">
        <v>0.27683765941789812</v>
      </c>
      <c r="C1385" s="17">
        <v>-1.7496376594178982</v>
      </c>
      <c r="D1385" s="17">
        <v>-1.7323105829503083</v>
      </c>
    </row>
    <row r="1386" spans="1:4" x14ac:dyDescent="0.25">
      <c r="A1386" s="17">
        <v>1362</v>
      </c>
      <c r="B1386" s="17">
        <v>0.18027531711060002</v>
      </c>
      <c r="C1386" s="17">
        <v>0.11602468288939999</v>
      </c>
      <c r="D1386" s="17">
        <v>0.11487566295276845</v>
      </c>
    </row>
    <row r="1387" spans="1:4" x14ac:dyDescent="0.25">
      <c r="A1387" s="17">
        <v>1363</v>
      </c>
      <c r="B1387" s="17">
        <v>1.1136742531074977</v>
      </c>
      <c r="C1387" s="17">
        <v>-0.81827425310749768</v>
      </c>
      <c r="D1387" s="17">
        <v>-0.81017068921886326</v>
      </c>
    </row>
    <row r="1388" spans="1:4" x14ac:dyDescent="0.25">
      <c r="A1388" s="17">
        <v>1364</v>
      </c>
      <c r="B1388" s="17">
        <v>0.79454071213332023</v>
      </c>
      <c r="C1388" s="17">
        <v>-0.79454071213332023</v>
      </c>
      <c r="D1388" s="17">
        <v>-0.78667218712664677</v>
      </c>
    </row>
    <row r="1389" spans="1:4" x14ac:dyDescent="0.25">
      <c r="A1389" s="17">
        <v>1365</v>
      </c>
      <c r="B1389" s="17">
        <v>0.40062413735843905</v>
      </c>
      <c r="C1389" s="17">
        <v>0.1875758626415609</v>
      </c>
      <c r="D1389" s="17">
        <v>0.18571825441166842</v>
      </c>
    </row>
    <row r="1390" spans="1:4" x14ac:dyDescent="0.25">
      <c r="A1390" s="17">
        <v>1366</v>
      </c>
      <c r="B1390" s="17">
        <v>-0.26264470180411831</v>
      </c>
      <c r="C1390" s="17">
        <v>-3.1055298195881709E-2</v>
      </c>
      <c r="D1390" s="17">
        <v>-3.0747750216637323E-2</v>
      </c>
    </row>
    <row r="1391" spans="1:4" x14ac:dyDescent="0.25">
      <c r="A1391" s="17">
        <v>1367</v>
      </c>
      <c r="B1391" s="17">
        <v>0.67364332613753164</v>
      </c>
      <c r="C1391" s="17">
        <v>0.49595667386246833</v>
      </c>
      <c r="D1391" s="17">
        <v>0.49104509736183127</v>
      </c>
    </row>
    <row r="1392" spans="1:4" x14ac:dyDescent="0.25">
      <c r="A1392" s="17">
        <v>1368</v>
      </c>
      <c r="B1392" s="17">
        <v>-0.46176980815012314</v>
      </c>
      <c r="C1392" s="17">
        <v>-0.12133019184987681</v>
      </c>
      <c r="D1392" s="17">
        <v>-0.12012863020041528</v>
      </c>
    </row>
    <row r="1393" spans="1:4" x14ac:dyDescent="0.25">
      <c r="A1393" s="17">
        <v>1369</v>
      </c>
      <c r="B1393" s="17">
        <v>-0.19275090052530297</v>
      </c>
      <c r="C1393" s="17">
        <v>0.48475090052530295</v>
      </c>
      <c r="D1393" s="17">
        <v>0.47995029745419082</v>
      </c>
    </row>
    <row r="1394" spans="1:4" x14ac:dyDescent="0.25">
      <c r="A1394" s="17">
        <v>1370</v>
      </c>
      <c r="B1394" s="17">
        <v>0.48085199828579145</v>
      </c>
      <c r="C1394" s="17">
        <v>0.38994800171420857</v>
      </c>
      <c r="D1394" s="17">
        <v>0.38608625422168263</v>
      </c>
    </row>
    <row r="1395" spans="1:4" x14ac:dyDescent="0.25">
      <c r="A1395" s="17">
        <v>1371</v>
      </c>
      <c r="B1395" s="17">
        <v>0.54652328056843036</v>
      </c>
      <c r="C1395" s="17">
        <v>0.60287671943156962</v>
      </c>
      <c r="D1395" s="17">
        <v>0.59690628837580695</v>
      </c>
    </row>
    <row r="1396" spans="1:4" x14ac:dyDescent="0.25">
      <c r="A1396" s="17">
        <v>1372</v>
      </c>
      <c r="B1396" s="17">
        <v>0.23461246945613373</v>
      </c>
      <c r="C1396" s="17">
        <v>0.61888753054386636</v>
      </c>
      <c r="D1396" s="17">
        <v>0.6127585406305267</v>
      </c>
    </row>
    <row r="1397" spans="1:4" x14ac:dyDescent="0.25">
      <c r="A1397" s="17">
        <v>1373</v>
      </c>
      <c r="B1397" s="17">
        <v>-1.0625898137376499</v>
      </c>
      <c r="C1397" s="17">
        <v>-1.2298101862623503</v>
      </c>
      <c r="D1397" s="17">
        <v>-1.2176310844790255</v>
      </c>
    </row>
    <row r="1398" spans="1:4" x14ac:dyDescent="0.25">
      <c r="A1398" s="17">
        <v>1374</v>
      </c>
      <c r="B1398" s="17">
        <v>1.2570176611355928</v>
      </c>
      <c r="C1398" s="17">
        <v>1.3181823388644074</v>
      </c>
      <c r="D1398" s="17">
        <v>1.3051280667065202</v>
      </c>
    </row>
    <row r="1399" spans="1:4" x14ac:dyDescent="0.25">
      <c r="A1399" s="17">
        <v>1375</v>
      </c>
      <c r="B1399" s="17">
        <v>-7.4075892948554559E-2</v>
      </c>
      <c r="C1399" s="17">
        <v>-0.49252410705144545</v>
      </c>
      <c r="D1399" s="17">
        <v>-0.48764652407357839</v>
      </c>
    </row>
    <row r="1400" spans="1:4" x14ac:dyDescent="0.25">
      <c r="A1400" s="17">
        <v>1376</v>
      </c>
      <c r="B1400" s="17">
        <v>-0.75234578643963346</v>
      </c>
      <c r="C1400" s="17">
        <v>-1.2563542135603667</v>
      </c>
      <c r="D1400" s="17">
        <v>-1.2439122399828308</v>
      </c>
    </row>
    <row r="1401" spans="1:4" x14ac:dyDescent="0.25">
      <c r="A1401" s="17">
        <v>1377</v>
      </c>
      <c r="B1401" s="17">
        <v>0.35584321221477833</v>
      </c>
      <c r="C1401" s="17">
        <v>0.79695678778522172</v>
      </c>
      <c r="D1401" s="17">
        <v>0.78906433580867152</v>
      </c>
    </row>
    <row r="1402" spans="1:4" x14ac:dyDescent="0.25">
      <c r="A1402" s="17">
        <v>1378</v>
      </c>
      <c r="B1402" s="17">
        <v>0.89921473567011512</v>
      </c>
      <c r="C1402" s="17">
        <v>0.52328526432988498</v>
      </c>
      <c r="D1402" s="17">
        <v>0.51810304632000082</v>
      </c>
    </row>
    <row r="1403" spans="1:4" x14ac:dyDescent="0.25">
      <c r="A1403" s="17">
        <v>1379</v>
      </c>
      <c r="B1403" s="17">
        <v>0.78053972809336669</v>
      </c>
      <c r="C1403" s="17">
        <v>-0.21713972809336668</v>
      </c>
      <c r="D1403" s="17">
        <v>-0.21498934189621705</v>
      </c>
    </row>
    <row r="1404" spans="1:4" x14ac:dyDescent="0.25">
      <c r="A1404" s="17">
        <v>1380</v>
      </c>
      <c r="B1404" s="17">
        <v>0.13082739728695486</v>
      </c>
      <c r="C1404" s="17">
        <v>0.14967260271304517</v>
      </c>
      <c r="D1404" s="17">
        <v>0.14819035945064593</v>
      </c>
    </row>
    <row r="1405" spans="1:4" x14ac:dyDescent="0.25">
      <c r="A1405" s="17">
        <v>1381</v>
      </c>
      <c r="B1405" s="17">
        <v>0.62119519544818214</v>
      </c>
      <c r="C1405" s="17">
        <v>-6.2495195448182161E-2</v>
      </c>
      <c r="D1405" s="17">
        <v>-6.1876290714074016E-2</v>
      </c>
    </row>
    <row r="1406" spans="1:4" x14ac:dyDescent="0.25">
      <c r="A1406" s="17">
        <v>1382</v>
      </c>
      <c r="B1406" s="17">
        <v>-0.75923515953865817</v>
      </c>
      <c r="C1406" s="17">
        <v>-0.92616484046134184</v>
      </c>
      <c r="D1406" s="17">
        <v>-0.91699281051223458</v>
      </c>
    </row>
    <row r="1407" spans="1:4" x14ac:dyDescent="0.25">
      <c r="A1407" s="17">
        <v>1383</v>
      </c>
      <c r="B1407" s="17">
        <v>0.29783913547782831</v>
      </c>
      <c r="C1407" s="17">
        <v>0.26716086452217164</v>
      </c>
      <c r="D1407" s="17">
        <v>0.26451510715417853</v>
      </c>
    </row>
    <row r="1408" spans="1:4" x14ac:dyDescent="0.25">
      <c r="A1408" s="17">
        <v>1384</v>
      </c>
      <c r="B1408" s="17">
        <v>4.9488347150082358E-2</v>
      </c>
      <c r="C1408" s="17">
        <v>0.7920116528499177</v>
      </c>
      <c r="D1408" s="17">
        <v>0.78416817371680481</v>
      </c>
    </row>
    <row r="1409" spans="1:4" x14ac:dyDescent="0.25">
      <c r="A1409" s="17">
        <v>1385</v>
      </c>
      <c r="B1409" s="17">
        <v>-0.39209824471321181</v>
      </c>
      <c r="C1409" s="17">
        <v>-1.5826017552867881</v>
      </c>
      <c r="D1409" s="17">
        <v>-1.5669288749712607</v>
      </c>
    </row>
    <row r="1410" spans="1:4" x14ac:dyDescent="0.25">
      <c r="A1410" s="17">
        <v>1386</v>
      </c>
      <c r="B1410" s="17">
        <v>0.16171845731161411</v>
      </c>
      <c r="C1410" s="17">
        <v>0.68938154268838581</v>
      </c>
      <c r="D1410" s="17">
        <v>0.68255443386319004</v>
      </c>
    </row>
    <row r="1411" spans="1:4" x14ac:dyDescent="0.25">
      <c r="A1411" s="17">
        <v>1387</v>
      </c>
      <c r="B1411" s="17">
        <v>0.13071627836600286</v>
      </c>
      <c r="C1411" s="17">
        <v>-0.69731627836600285</v>
      </c>
      <c r="D1411" s="17">
        <v>-0.69041058997257698</v>
      </c>
    </row>
    <row r="1412" spans="1:4" x14ac:dyDescent="0.25">
      <c r="A1412" s="17">
        <v>1388</v>
      </c>
      <c r="B1412" s="17">
        <v>-1.0076970667873562</v>
      </c>
      <c r="C1412" s="17">
        <v>0.15179706678735616</v>
      </c>
      <c r="D1412" s="17">
        <v>0.15029378445365546</v>
      </c>
    </row>
    <row r="1413" spans="1:4" x14ac:dyDescent="0.25">
      <c r="A1413" s="17">
        <v>1389</v>
      </c>
      <c r="B1413" s="17">
        <v>-0.574888869679271</v>
      </c>
      <c r="C1413" s="17">
        <v>-0.28841113032072896</v>
      </c>
      <c r="D1413" s="17">
        <v>-0.2855549265334637</v>
      </c>
    </row>
    <row r="1414" spans="1:4" x14ac:dyDescent="0.25">
      <c r="A1414" s="17">
        <v>1390</v>
      </c>
      <c r="B1414" s="17">
        <v>0.67831032081751608</v>
      </c>
      <c r="C1414" s="17">
        <v>-0.10191032081751605</v>
      </c>
      <c r="D1414" s="17">
        <v>-0.10090107875408835</v>
      </c>
    </row>
    <row r="1415" spans="1:4" x14ac:dyDescent="0.25">
      <c r="A1415" s="17">
        <v>1391</v>
      </c>
      <c r="B1415" s="17">
        <v>-9.4632893324676712E-2</v>
      </c>
      <c r="C1415" s="17">
        <v>-0.19316710667532327</v>
      </c>
      <c r="D1415" s="17">
        <v>-0.1912541270304407</v>
      </c>
    </row>
    <row r="1416" spans="1:4" x14ac:dyDescent="0.25">
      <c r="A1416" s="17">
        <v>1392</v>
      </c>
      <c r="B1416" s="17">
        <v>1.2744633317250587</v>
      </c>
      <c r="C1416" s="17">
        <v>0.72273666827494143</v>
      </c>
      <c r="D1416" s="17">
        <v>0.71557923573471049</v>
      </c>
    </row>
    <row r="1417" spans="1:4" x14ac:dyDescent="0.25">
      <c r="A1417" s="17">
        <v>1393</v>
      </c>
      <c r="B1417" s="17">
        <v>0.27017052416077741</v>
      </c>
      <c r="C1417" s="17">
        <v>-0.27017052416077741</v>
      </c>
      <c r="D1417" s="17">
        <v>-0.2674949614199868</v>
      </c>
    </row>
    <row r="1418" spans="1:4" x14ac:dyDescent="0.25">
      <c r="A1418" s="17">
        <v>1394</v>
      </c>
      <c r="B1418" s="17">
        <v>-0.19030628426435875</v>
      </c>
      <c r="C1418" s="17">
        <v>-9.2593715735641235E-2</v>
      </c>
      <c r="D1418" s="17">
        <v>-9.1676738220706211E-2</v>
      </c>
    </row>
    <row r="1419" spans="1:4" x14ac:dyDescent="0.25">
      <c r="A1419" s="17">
        <v>1395</v>
      </c>
      <c r="B1419" s="17">
        <v>7.7045839546181244E-2</v>
      </c>
      <c r="C1419" s="17">
        <v>-1.2166458395461812</v>
      </c>
      <c r="D1419" s="17">
        <v>-1.2045971074088051</v>
      </c>
    </row>
    <row r="1420" spans="1:4" x14ac:dyDescent="0.25">
      <c r="A1420" s="17">
        <v>1396</v>
      </c>
      <c r="B1420" s="17">
        <v>-0.43765700230353655</v>
      </c>
      <c r="C1420" s="17">
        <v>1.2935570023035365</v>
      </c>
      <c r="D1420" s="17">
        <v>1.2807466006906925</v>
      </c>
    </row>
    <row r="1421" spans="1:4" x14ac:dyDescent="0.25">
      <c r="A1421" s="17">
        <v>1397</v>
      </c>
      <c r="B1421" s="17">
        <v>-0.7603463487481783</v>
      </c>
      <c r="C1421" s="17">
        <v>-0.67025365125182179</v>
      </c>
      <c r="D1421" s="17">
        <v>-0.66361597046951315</v>
      </c>
    </row>
    <row r="1422" spans="1:4" x14ac:dyDescent="0.25">
      <c r="A1422" s="17">
        <v>1398</v>
      </c>
      <c r="B1422" s="17">
        <v>-9.574408253419682E-2</v>
      </c>
      <c r="C1422" s="17">
        <v>0.67044408253419685</v>
      </c>
      <c r="D1422" s="17">
        <v>0.66380451586575984</v>
      </c>
    </row>
    <row r="1423" spans="1:4" x14ac:dyDescent="0.25">
      <c r="A1423" s="17">
        <v>1399</v>
      </c>
      <c r="B1423" s="17">
        <v>1.3333563598296247</v>
      </c>
      <c r="C1423" s="17">
        <v>-0.1937563598296248</v>
      </c>
      <c r="D1423" s="17">
        <v>-0.19183754467108122</v>
      </c>
    </row>
    <row r="1424" spans="1:4" x14ac:dyDescent="0.25">
      <c r="A1424" s="17">
        <v>1400</v>
      </c>
      <c r="B1424" s="17">
        <v>1.1877905733824894</v>
      </c>
      <c r="C1424" s="17">
        <v>0.21870942661751069</v>
      </c>
      <c r="D1424" s="17">
        <v>0.21654349532380204</v>
      </c>
    </row>
    <row r="1425" spans="1:4" x14ac:dyDescent="0.25">
      <c r="A1425" s="17">
        <v>1401</v>
      </c>
      <c r="B1425" s="17">
        <v>1.0028886889183422</v>
      </c>
      <c r="C1425" s="17">
        <v>1.7521113110816577</v>
      </c>
      <c r="D1425" s="17">
        <v>1.7347597374552981</v>
      </c>
    </row>
    <row r="1426" spans="1:4" x14ac:dyDescent="0.25">
      <c r="A1426" s="17">
        <v>1402</v>
      </c>
      <c r="B1426" s="17">
        <v>0.11804872137747352</v>
      </c>
      <c r="C1426" s="17">
        <v>-0.66304872137747362</v>
      </c>
      <c r="D1426" s="17">
        <v>-0.65648239272353537</v>
      </c>
    </row>
    <row r="1427" spans="1:4" x14ac:dyDescent="0.25">
      <c r="A1427" s="17">
        <v>1403</v>
      </c>
      <c r="B1427" s="17">
        <v>-1.1097042362213028</v>
      </c>
      <c r="C1427" s="17">
        <v>-0.82139576377869727</v>
      </c>
      <c r="D1427" s="17">
        <v>-0.81326128682997689</v>
      </c>
    </row>
    <row r="1428" spans="1:4" x14ac:dyDescent="0.25">
      <c r="A1428" s="17">
        <v>1404</v>
      </c>
      <c r="B1428" s="17">
        <v>-1.2840498231950088</v>
      </c>
      <c r="C1428" s="17">
        <v>0.44484982319500888</v>
      </c>
      <c r="D1428" s="17">
        <v>0.4404443699506736</v>
      </c>
    </row>
    <row r="1429" spans="1:4" x14ac:dyDescent="0.25">
      <c r="A1429" s="17">
        <v>1405</v>
      </c>
      <c r="B1429" s="17">
        <v>-1.2441581305732368</v>
      </c>
      <c r="C1429" s="17">
        <v>-0.45564186942676321</v>
      </c>
      <c r="D1429" s="17">
        <v>-0.45112953999049593</v>
      </c>
    </row>
    <row r="1430" spans="1:4" x14ac:dyDescent="0.25">
      <c r="A1430" s="17">
        <v>1406</v>
      </c>
      <c r="B1430" s="17">
        <v>-5.1821619583073547E-3</v>
      </c>
      <c r="C1430" s="17">
        <v>5.1821619583073547E-3</v>
      </c>
      <c r="D1430" s="17">
        <v>5.1308417800774797E-3</v>
      </c>
    </row>
    <row r="1431" spans="1:4" x14ac:dyDescent="0.25">
      <c r="A1431" s="17">
        <v>1407</v>
      </c>
      <c r="B1431" s="17">
        <v>-0.40765489364649343</v>
      </c>
      <c r="C1431" s="17">
        <v>-0.45314510635350658</v>
      </c>
      <c r="D1431" s="17">
        <v>-0.44865750295377543</v>
      </c>
    </row>
    <row r="1432" spans="1:4" x14ac:dyDescent="0.25">
      <c r="A1432" s="17">
        <v>1408</v>
      </c>
      <c r="B1432" s="17">
        <v>3.1568178526521349</v>
      </c>
      <c r="C1432" s="17">
        <v>1.9004821473478648</v>
      </c>
      <c r="D1432" s="17">
        <v>1.881661222160794</v>
      </c>
    </row>
    <row r="1433" spans="1:4" x14ac:dyDescent="0.25">
      <c r="A1433" s="17">
        <v>1409</v>
      </c>
      <c r="B1433" s="17">
        <v>0.17783070084965577</v>
      </c>
      <c r="C1433" s="17">
        <v>9.5769299150344239E-2</v>
      </c>
      <c r="D1433" s="17">
        <v>9.4820873080127169E-2</v>
      </c>
    </row>
    <row r="1434" spans="1:4" x14ac:dyDescent="0.25">
      <c r="A1434" s="17">
        <v>1410</v>
      </c>
      <c r="B1434" s="17">
        <v>0.88099123263398527</v>
      </c>
      <c r="C1434" s="17">
        <v>-0.33599123263398523</v>
      </c>
      <c r="D1434" s="17">
        <v>-0.33266383181533471</v>
      </c>
    </row>
    <row r="1435" spans="1:4" x14ac:dyDescent="0.25">
      <c r="A1435" s="17">
        <v>1411</v>
      </c>
      <c r="B1435" s="17">
        <v>0.15360677608211726</v>
      </c>
      <c r="C1435" s="17">
        <v>0.6582932239178827</v>
      </c>
      <c r="D1435" s="17">
        <v>0.6517739900825088</v>
      </c>
    </row>
    <row r="1436" spans="1:4" x14ac:dyDescent="0.25">
      <c r="A1436" s="17">
        <v>1412</v>
      </c>
      <c r="B1436" s="17">
        <v>0.66464269354041861</v>
      </c>
      <c r="C1436" s="17">
        <v>0.40775730645958141</v>
      </c>
      <c r="D1436" s="17">
        <v>0.40371918920072319</v>
      </c>
    </row>
    <row r="1437" spans="1:4" x14ac:dyDescent="0.25">
      <c r="A1437" s="17">
        <v>1413</v>
      </c>
      <c r="B1437" s="17">
        <v>-1.0113639911787724</v>
      </c>
      <c r="C1437" s="17">
        <v>-1.4179360088212276</v>
      </c>
      <c r="D1437" s="17">
        <v>-1.403893852424589</v>
      </c>
    </row>
    <row r="1438" spans="1:4" x14ac:dyDescent="0.25">
      <c r="A1438" s="17">
        <v>1414</v>
      </c>
      <c r="B1438" s="17">
        <v>0.99155455898123679</v>
      </c>
      <c r="C1438" s="17">
        <v>0.36534544101876321</v>
      </c>
      <c r="D1438" s="17">
        <v>0.36172733851648647</v>
      </c>
    </row>
    <row r="1439" spans="1:4" x14ac:dyDescent="0.25">
      <c r="A1439" s="17">
        <v>1415</v>
      </c>
      <c r="B1439" s="17">
        <v>-1.1819315348401103</v>
      </c>
      <c r="C1439" s="17">
        <v>-0.4485684651598898</v>
      </c>
      <c r="D1439" s="17">
        <v>-0.44412618532272585</v>
      </c>
    </row>
    <row r="1440" spans="1:4" x14ac:dyDescent="0.25">
      <c r="A1440" s="17">
        <v>1416</v>
      </c>
      <c r="B1440" s="17">
        <v>0.8856582273139697</v>
      </c>
      <c r="C1440" s="17">
        <v>1.0140417726860302</v>
      </c>
      <c r="D1440" s="17">
        <v>1.0039994766471425</v>
      </c>
    </row>
    <row r="1441" spans="1:4" x14ac:dyDescent="0.25">
      <c r="A1441" s="17">
        <v>1417</v>
      </c>
      <c r="B1441" s="17">
        <v>0.7149795647316799</v>
      </c>
      <c r="C1441" s="17">
        <v>-0.17877956473167989</v>
      </c>
      <c r="D1441" s="17">
        <v>-0.17700906832502453</v>
      </c>
    </row>
    <row r="1442" spans="1:4" x14ac:dyDescent="0.25">
      <c r="A1442" s="17">
        <v>1418</v>
      </c>
      <c r="B1442" s="17">
        <v>-0.11318975312366263</v>
      </c>
      <c r="C1442" s="17">
        <v>-0.42301024687633737</v>
      </c>
      <c r="D1442" s="17">
        <v>-0.41882107613304248</v>
      </c>
    </row>
    <row r="1443" spans="1:4" x14ac:dyDescent="0.25">
      <c r="A1443" s="17">
        <v>1419</v>
      </c>
      <c r="B1443" s="17">
        <v>0.21638896642000383</v>
      </c>
      <c r="C1443" s="17">
        <v>0.5868110335799962</v>
      </c>
      <c r="D1443" s="17">
        <v>0.58099970481936081</v>
      </c>
    </row>
    <row r="1444" spans="1:4" x14ac:dyDescent="0.25">
      <c r="A1444" s="17">
        <v>1420</v>
      </c>
      <c r="B1444" s="17">
        <v>-0.14941452135401845</v>
      </c>
      <c r="C1444" s="17">
        <v>0.41571452135401843</v>
      </c>
      <c r="D1444" s="17">
        <v>0.41159760190991757</v>
      </c>
    </row>
    <row r="1445" spans="1:4" x14ac:dyDescent="0.25">
      <c r="A1445" s="17">
        <v>1421</v>
      </c>
      <c r="B1445" s="17">
        <v>-0.48066002471196501</v>
      </c>
      <c r="C1445" s="17">
        <v>0.21436002471196502</v>
      </c>
      <c r="D1445" s="17">
        <v>0.21223716657628999</v>
      </c>
    </row>
    <row r="1446" spans="1:4" x14ac:dyDescent="0.25">
      <c r="A1446" s="17">
        <v>1422</v>
      </c>
      <c r="B1446" s="17">
        <v>0.46662877640393391</v>
      </c>
      <c r="C1446" s="17">
        <v>0.59437122359606609</v>
      </c>
      <c r="D1446" s="17">
        <v>0.58848502448166751</v>
      </c>
    </row>
    <row r="1447" spans="1:4" x14ac:dyDescent="0.25">
      <c r="A1447" s="17">
        <v>1423</v>
      </c>
      <c r="B1447" s="17">
        <v>-0.32998276790103731</v>
      </c>
      <c r="C1447" s="17">
        <v>-0.1991172320989627</v>
      </c>
      <c r="D1447" s="17">
        <v>-0.1971453269516184</v>
      </c>
    </row>
    <row r="1448" spans="1:4" x14ac:dyDescent="0.25">
      <c r="A1448" s="17">
        <v>1424</v>
      </c>
      <c r="B1448" s="17">
        <v>-0.58055593464782351</v>
      </c>
      <c r="C1448" s="17">
        <v>0.31495593464782351</v>
      </c>
      <c r="D1448" s="17">
        <v>0.31183685137124401</v>
      </c>
    </row>
    <row r="1449" spans="1:4" x14ac:dyDescent="0.25">
      <c r="A1449" s="17">
        <v>1425</v>
      </c>
      <c r="B1449" s="17">
        <v>0.20616602569241871</v>
      </c>
      <c r="C1449" s="17">
        <v>-1.0072660256924189</v>
      </c>
      <c r="D1449" s="17">
        <v>-0.99729083148210185</v>
      </c>
    </row>
    <row r="1450" spans="1:4" x14ac:dyDescent="0.25">
      <c r="A1450" s="17">
        <v>1426</v>
      </c>
      <c r="B1450" s="17">
        <v>0.63219596862243121</v>
      </c>
      <c r="C1450" s="17">
        <v>-0.36449596862243122</v>
      </c>
      <c r="D1450" s="17">
        <v>-0.36088627864665057</v>
      </c>
    </row>
    <row r="1451" spans="1:4" x14ac:dyDescent="0.25">
      <c r="A1451" s="17">
        <v>1427</v>
      </c>
      <c r="B1451" s="17">
        <v>0.80976400430374573</v>
      </c>
      <c r="C1451" s="17">
        <v>0.51823599569625434</v>
      </c>
      <c r="D1451" s="17">
        <v>0.51310378179050531</v>
      </c>
    </row>
    <row r="1452" spans="1:4" x14ac:dyDescent="0.25">
      <c r="A1452" s="17">
        <v>1428</v>
      </c>
      <c r="B1452" s="17">
        <v>0.4695178683486862</v>
      </c>
      <c r="C1452" s="17">
        <v>5.6782131651313794E-2</v>
      </c>
      <c r="D1452" s="17">
        <v>5.6219804742185416E-2</v>
      </c>
    </row>
    <row r="1453" spans="1:4" x14ac:dyDescent="0.25">
      <c r="A1453" s="17">
        <v>1429</v>
      </c>
      <c r="B1453" s="17">
        <v>-5.5074557465760579E-2</v>
      </c>
      <c r="C1453" s="17">
        <v>-1.0003254425342394</v>
      </c>
      <c r="D1453" s="17">
        <v>-0.99041898256410299</v>
      </c>
    </row>
    <row r="1454" spans="1:4" x14ac:dyDescent="0.25">
      <c r="A1454" s="17">
        <v>1430</v>
      </c>
      <c r="B1454" s="17">
        <v>0.26228108077318463</v>
      </c>
      <c r="C1454" s="17">
        <v>1.0552189192268153</v>
      </c>
      <c r="D1454" s="17">
        <v>1.0447688361452854</v>
      </c>
    </row>
    <row r="1455" spans="1:4" x14ac:dyDescent="0.25">
      <c r="A1455" s="17">
        <v>1431</v>
      </c>
      <c r="B1455" s="17">
        <v>0.82243156129227513</v>
      </c>
      <c r="C1455" s="17">
        <v>0.21926843870772494</v>
      </c>
      <c r="D1455" s="17">
        <v>0.21709697138478115</v>
      </c>
    </row>
    <row r="1456" spans="1:4" x14ac:dyDescent="0.25">
      <c r="A1456" s="17">
        <v>1432</v>
      </c>
      <c r="B1456" s="17">
        <v>-0.20508510075097625</v>
      </c>
      <c r="C1456" s="17">
        <v>-0.57511489924902381</v>
      </c>
      <c r="D1456" s="17">
        <v>-0.56941940007906799</v>
      </c>
    </row>
    <row r="1457" spans="1:4" x14ac:dyDescent="0.25">
      <c r="A1457" s="17">
        <v>1433</v>
      </c>
      <c r="B1457" s="17">
        <v>-0.67445142285227333</v>
      </c>
      <c r="C1457" s="17">
        <v>-0.90454857714772663</v>
      </c>
      <c r="D1457" s="17">
        <v>-0.89559061817803753</v>
      </c>
    </row>
    <row r="1458" spans="1:4" x14ac:dyDescent="0.25">
      <c r="A1458" s="17">
        <v>1434</v>
      </c>
      <c r="B1458" s="17">
        <v>0.16027391133923793</v>
      </c>
      <c r="C1458" s="17">
        <v>0.36882608866076205</v>
      </c>
      <c r="D1458" s="17">
        <v>0.3651735164798493</v>
      </c>
    </row>
    <row r="1459" spans="1:4" x14ac:dyDescent="0.25">
      <c r="A1459" s="17">
        <v>1435</v>
      </c>
      <c r="B1459" s="17">
        <v>-0.12852416421504026</v>
      </c>
      <c r="C1459" s="17">
        <v>-0.40057583578495976</v>
      </c>
      <c r="D1459" s="17">
        <v>-0.39660883833245636</v>
      </c>
    </row>
    <row r="1460" spans="1:4" x14ac:dyDescent="0.25">
      <c r="A1460" s="17">
        <v>1436</v>
      </c>
      <c r="B1460" s="17">
        <v>-0.13630248868168104</v>
      </c>
      <c r="C1460" s="17">
        <v>0.66540248868168106</v>
      </c>
      <c r="D1460" s="17">
        <v>0.65881285011220259</v>
      </c>
    </row>
    <row r="1461" spans="1:4" x14ac:dyDescent="0.25">
      <c r="A1461" s="17">
        <v>1437</v>
      </c>
      <c r="B1461" s="17">
        <v>-1.5410678873570118</v>
      </c>
      <c r="C1461" s="17">
        <v>-0.32313211264298825</v>
      </c>
      <c r="D1461" s="17">
        <v>-0.31993205873767755</v>
      </c>
    </row>
    <row r="1462" spans="1:4" x14ac:dyDescent="0.25">
      <c r="A1462" s="17">
        <v>1438</v>
      </c>
      <c r="B1462" s="17">
        <v>-0.80379384684041477</v>
      </c>
      <c r="C1462" s="17">
        <v>-5.9061531595852035E-3</v>
      </c>
      <c r="D1462" s="17">
        <v>-5.8476631248774013E-3</v>
      </c>
    </row>
    <row r="1463" spans="1:4" x14ac:dyDescent="0.25">
      <c r="A1463" s="17">
        <v>1439</v>
      </c>
      <c r="B1463" s="17">
        <v>8.3046261277589864E-2</v>
      </c>
      <c r="C1463" s="17">
        <v>-8.3046261277589864E-2</v>
      </c>
      <c r="D1463" s="17">
        <v>-8.2223834467239312E-2</v>
      </c>
    </row>
    <row r="1464" spans="1:4" x14ac:dyDescent="0.25">
      <c r="A1464" s="17">
        <v>1440</v>
      </c>
      <c r="B1464" s="17">
        <v>1.5534829422355596</v>
      </c>
      <c r="C1464" s="17">
        <v>0.85631705776444056</v>
      </c>
      <c r="D1464" s="17">
        <v>0.8478367469637903</v>
      </c>
    </row>
    <row r="1465" spans="1:4" x14ac:dyDescent="0.25">
      <c r="A1465" s="17">
        <v>1441</v>
      </c>
      <c r="B1465" s="17">
        <v>0.40540225095937554</v>
      </c>
      <c r="C1465" s="17">
        <v>-0.67030225095937557</v>
      </c>
      <c r="D1465" s="17">
        <v>-0.66366408888264317</v>
      </c>
    </row>
    <row r="1466" spans="1:4" x14ac:dyDescent="0.25">
      <c r="A1466" s="17">
        <v>1442</v>
      </c>
      <c r="B1466" s="17">
        <v>-3.2838570435683625</v>
      </c>
      <c r="C1466" s="17">
        <v>-0.22524295643163761</v>
      </c>
      <c r="D1466" s="17">
        <v>-0.22301232204350066</v>
      </c>
    </row>
    <row r="1467" spans="1:4" x14ac:dyDescent="0.25">
      <c r="A1467" s="17">
        <v>1443</v>
      </c>
      <c r="B1467" s="17">
        <v>2.6390036810157609</v>
      </c>
      <c r="C1467" s="17">
        <v>-0.73420368101576083</v>
      </c>
      <c r="D1467" s="17">
        <v>-0.72693268793026755</v>
      </c>
    </row>
    <row r="1468" spans="1:4" x14ac:dyDescent="0.25">
      <c r="A1468" s="17">
        <v>1444</v>
      </c>
      <c r="B1468" s="17">
        <v>-2.3136777447363488</v>
      </c>
      <c r="C1468" s="17">
        <v>0.13377774473634885</v>
      </c>
      <c r="D1468" s="17">
        <v>0.1324529120201397</v>
      </c>
    </row>
    <row r="1469" spans="1:4" x14ac:dyDescent="0.25">
      <c r="A1469" s="17">
        <v>1445</v>
      </c>
      <c r="B1469" s="17">
        <v>-0.14330298070165781</v>
      </c>
      <c r="C1469" s="17">
        <v>-0.40919701929834218</v>
      </c>
      <c r="D1469" s="17">
        <v>-0.40514464422197854</v>
      </c>
    </row>
    <row r="1470" spans="1:4" x14ac:dyDescent="0.25">
      <c r="A1470" s="17">
        <v>1446</v>
      </c>
      <c r="B1470" s="17">
        <v>-4.4296022133415436E-2</v>
      </c>
      <c r="C1470" s="17">
        <v>-0.23310397786658454</v>
      </c>
      <c r="D1470" s="17">
        <v>-0.23079549391983553</v>
      </c>
    </row>
    <row r="1471" spans="1:4" x14ac:dyDescent="0.25">
      <c r="A1471" s="17">
        <v>1447</v>
      </c>
      <c r="B1471" s="17">
        <v>0.45962828438395725</v>
      </c>
      <c r="C1471" s="17">
        <v>-0.45962828438395725</v>
      </c>
      <c r="D1471" s="17">
        <v>-0.45507647653544669</v>
      </c>
    </row>
    <row r="1472" spans="1:4" x14ac:dyDescent="0.25">
      <c r="A1472" s="17">
        <v>1448</v>
      </c>
      <c r="B1472" s="17">
        <v>0.48118535504864746</v>
      </c>
      <c r="C1472" s="17">
        <v>0.34871464495135251</v>
      </c>
      <c r="D1472" s="17">
        <v>0.3452612411646217</v>
      </c>
    </row>
    <row r="1473" spans="1:4" x14ac:dyDescent="0.25">
      <c r="A1473" s="17">
        <v>1449</v>
      </c>
      <c r="B1473" s="17">
        <v>0.23927946413611817</v>
      </c>
      <c r="C1473" s="17">
        <v>-0.51517946413611815</v>
      </c>
      <c r="D1473" s="17">
        <v>-0.51007751978691596</v>
      </c>
    </row>
    <row r="1474" spans="1:4" x14ac:dyDescent="0.25">
      <c r="A1474" s="17">
        <v>1450</v>
      </c>
      <c r="B1474" s="17">
        <v>0.47018458187439827</v>
      </c>
      <c r="C1474" s="17">
        <v>-0.47018458187439827</v>
      </c>
      <c r="D1474" s="17">
        <v>-0.46552823250962178</v>
      </c>
    </row>
    <row r="1475" spans="1:4" x14ac:dyDescent="0.25">
      <c r="A1475" s="17">
        <v>1451</v>
      </c>
      <c r="B1475" s="17">
        <v>1.2006803682129228</v>
      </c>
      <c r="C1475" s="17">
        <v>0.44321963178707713</v>
      </c>
      <c r="D1475" s="17">
        <v>0.43883032271466793</v>
      </c>
    </row>
    <row r="1476" spans="1:4" x14ac:dyDescent="0.25">
      <c r="A1476" s="17">
        <v>1452</v>
      </c>
      <c r="B1476" s="17">
        <v>0.61641708184724564</v>
      </c>
      <c r="C1476" s="17">
        <v>0.19548291815275431</v>
      </c>
      <c r="D1476" s="17">
        <v>0.19354700447788104</v>
      </c>
    </row>
    <row r="1477" spans="1:4" x14ac:dyDescent="0.25">
      <c r="A1477" s="17">
        <v>1453</v>
      </c>
      <c r="B1477" s="17">
        <v>-0.24442119876798835</v>
      </c>
      <c r="C1477" s="17">
        <v>-1.1124788012320117</v>
      </c>
      <c r="D1477" s="17">
        <v>-1.1014616599663549</v>
      </c>
    </row>
    <row r="1478" spans="1:4" x14ac:dyDescent="0.25">
      <c r="A1478" s="17">
        <v>1454</v>
      </c>
      <c r="B1478" s="17">
        <v>0.15671810586877355</v>
      </c>
      <c r="C1478" s="17">
        <v>-0.7046181058687736</v>
      </c>
      <c r="D1478" s="17">
        <v>-0.69764010574679491</v>
      </c>
    </row>
    <row r="1479" spans="1:4" x14ac:dyDescent="0.25">
      <c r="A1479" s="17">
        <v>1455</v>
      </c>
      <c r="B1479" s="17">
        <v>0.83598806964842054</v>
      </c>
      <c r="C1479" s="17">
        <v>0.25691193035157944</v>
      </c>
      <c r="D1479" s="17">
        <v>0.25436767060803978</v>
      </c>
    </row>
    <row r="1480" spans="1:4" x14ac:dyDescent="0.25">
      <c r="A1480" s="17">
        <v>1456</v>
      </c>
      <c r="B1480" s="17">
        <v>-0.28809093470212893</v>
      </c>
      <c r="C1480" s="17">
        <v>-0.804809065297871</v>
      </c>
      <c r="D1480" s="17">
        <v>-0.7968388503558439</v>
      </c>
    </row>
    <row r="1481" spans="1:4" x14ac:dyDescent="0.25">
      <c r="A1481" s="17">
        <v>1457</v>
      </c>
      <c r="B1481" s="17">
        <v>0.65497534741759356</v>
      </c>
      <c r="C1481" s="17">
        <v>-0.1070753474175935</v>
      </c>
      <c r="D1481" s="17">
        <v>-0.10601495487145017</v>
      </c>
    </row>
    <row r="1482" spans="1:4" x14ac:dyDescent="0.25">
      <c r="A1482" s="17">
        <v>1458</v>
      </c>
      <c r="B1482" s="17">
        <v>0.34628698501290539</v>
      </c>
      <c r="C1482" s="17">
        <v>-0.34628698501290539</v>
      </c>
      <c r="D1482" s="17">
        <v>-0.34285762291798683</v>
      </c>
    </row>
    <row r="1483" spans="1:4" x14ac:dyDescent="0.25">
      <c r="A1483" s="17">
        <v>1459</v>
      </c>
      <c r="B1483" s="17">
        <v>-0.81946161469464851</v>
      </c>
      <c r="C1483" s="17">
        <v>-1.9508383853053517</v>
      </c>
      <c r="D1483" s="17">
        <v>-1.9315187703575678</v>
      </c>
    </row>
    <row r="1484" spans="1:4" x14ac:dyDescent="0.25">
      <c r="A1484" s="17">
        <v>1460</v>
      </c>
      <c r="B1484" s="17">
        <v>-0.27686792368597574</v>
      </c>
      <c r="C1484" s="17">
        <v>0.83706792368597571</v>
      </c>
      <c r="D1484" s="17">
        <v>0.82877824162283409</v>
      </c>
    </row>
    <row r="1485" spans="1:4" x14ac:dyDescent="0.25">
      <c r="A1485" s="17">
        <v>1461</v>
      </c>
      <c r="B1485" s="17">
        <v>1.1600108431444864</v>
      </c>
      <c r="C1485" s="17">
        <v>0.50208915685551347</v>
      </c>
      <c r="D1485" s="17">
        <v>0.49711684892217961</v>
      </c>
    </row>
    <row r="1486" spans="1:4" x14ac:dyDescent="0.25">
      <c r="A1486" s="17">
        <v>1462</v>
      </c>
      <c r="B1486" s="17">
        <v>0.22972323693424518</v>
      </c>
      <c r="C1486" s="17">
        <v>-0.50482323693424513</v>
      </c>
      <c r="D1486" s="17">
        <v>-0.49982385275781738</v>
      </c>
    </row>
    <row r="1487" spans="1:4" x14ac:dyDescent="0.25">
      <c r="A1487" s="17">
        <v>1463</v>
      </c>
      <c r="B1487" s="17">
        <v>1.4072504422627123</v>
      </c>
      <c r="C1487" s="17">
        <v>0.77264955773728761</v>
      </c>
      <c r="D1487" s="17">
        <v>0.76499782602158051</v>
      </c>
    </row>
    <row r="1488" spans="1:4" x14ac:dyDescent="0.25">
      <c r="A1488" s="17">
        <v>1464</v>
      </c>
      <c r="B1488" s="17">
        <v>0.27139283229124955</v>
      </c>
      <c r="C1488" s="17">
        <v>-2.1928322912495579E-3</v>
      </c>
      <c r="D1488" s="17">
        <v>-2.1711161532900433E-3</v>
      </c>
    </row>
    <row r="1489" spans="1:4" x14ac:dyDescent="0.25">
      <c r="A1489" s="17">
        <v>1465</v>
      </c>
      <c r="B1489" s="17">
        <v>-0.43454567251688025</v>
      </c>
      <c r="C1489" s="17">
        <v>-0.10455432748311977</v>
      </c>
      <c r="D1489" s="17">
        <v>-0.10351890119495895</v>
      </c>
    </row>
    <row r="1490" spans="1:4" x14ac:dyDescent="0.25">
      <c r="A1490" s="17">
        <v>1466</v>
      </c>
      <c r="B1490" s="17">
        <v>0.45429457617826063</v>
      </c>
      <c r="C1490" s="17">
        <v>8.480542382173939E-2</v>
      </c>
      <c r="D1490" s="17">
        <v>8.396557560773002E-2</v>
      </c>
    </row>
    <row r="1491" spans="1:4" x14ac:dyDescent="0.25">
      <c r="A1491" s="17">
        <v>1467</v>
      </c>
      <c r="B1491" s="17">
        <v>-8.9188066198028146E-2</v>
      </c>
      <c r="C1491" s="17">
        <v>0.89238806619802813</v>
      </c>
      <c r="D1491" s="17">
        <v>0.8835505356507477</v>
      </c>
    </row>
    <row r="1492" spans="1:4" x14ac:dyDescent="0.25">
      <c r="A1492" s="17">
        <v>1468</v>
      </c>
      <c r="B1492" s="17">
        <v>-2.4627973124909386E-2</v>
      </c>
      <c r="C1492" s="17">
        <v>-0.24237202687509063</v>
      </c>
      <c r="D1492" s="17">
        <v>-0.23997175924215303</v>
      </c>
    </row>
    <row r="1493" spans="1:4" x14ac:dyDescent="0.25">
      <c r="A1493" s="17">
        <v>1469</v>
      </c>
      <c r="B1493" s="17">
        <v>-0.32698255703533302</v>
      </c>
      <c r="C1493" s="17">
        <v>-0.74831744296466685</v>
      </c>
      <c r="D1493" s="17">
        <v>-0.7409066779491299</v>
      </c>
    </row>
    <row r="1494" spans="1:4" x14ac:dyDescent="0.25">
      <c r="A1494" s="17">
        <v>1470</v>
      </c>
      <c r="B1494" s="17">
        <v>-0.97469474726460881</v>
      </c>
      <c r="C1494" s="17">
        <v>-0.38590525273539122</v>
      </c>
      <c r="D1494" s="17">
        <v>-0.38208354154427787</v>
      </c>
    </row>
    <row r="1495" spans="1:4" x14ac:dyDescent="0.25">
      <c r="A1495" s="17">
        <v>1471</v>
      </c>
      <c r="B1495" s="17">
        <v>0.10938144554321662</v>
      </c>
      <c r="C1495" s="17">
        <v>-0.10938144554321662</v>
      </c>
      <c r="D1495" s="17">
        <v>-0.10829821516070794</v>
      </c>
    </row>
    <row r="1496" spans="1:4" x14ac:dyDescent="0.25">
      <c r="A1496" s="17">
        <v>1472</v>
      </c>
      <c r="B1496" s="17">
        <v>-0.38732013111227531</v>
      </c>
      <c r="C1496" s="17">
        <v>-0.9919798688877246</v>
      </c>
      <c r="D1496" s="17">
        <v>-0.98215605711160747</v>
      </c>
    </row>
    <row r="1497" spans="1:4" x14ac:dyDescent="0.25">
      <c r="A1497" s="17">
        <v>1473</v>
      </c>
      <c r="B1497" s="17">
        <v>-0.9649162822208317</v>
      </c>
      <c r="C1497" s="17">
        <v>0.40781628222083166</v>
      </c>
      <c r="D1497" s="17">
        <v>0.40377758091103044</v>
      </c>
    </row>
    <row r="1498" spans="1:4" x14ac:dyDescent="0.25">
      <c r="A1498" s="17">
        <v>1474</v>
      </c>
      <c r="B1498" s="17">
        <v>-0.41754447761122249</v>
      </c>
      <c r="C1498" s="17">
        <v>0.13784447761122248</v>
      </c>
      <c r="D1498" s="17">
        <v>0.13647937107539307</v>
      </c>
    </row>
    <row r="1499" spans="1:4" x14ac:dyDescent="0.25">
      <c r="A1499" s="17">
        <v>1475</v>
      </c>
      <c r="B1499" s="17">
        <v>0.46207290064490147</v>
      </c>
      <c r="C1499" s="17">
        <v>9.66270993550985E-2</v>
      </c>
      <c r="D1499" s="17">
        <v>9.5670178286124577E-2</v>
      </c>
    </row>
    <row r="1500" spans="1:4" x14ac:dyDescent="0.25">
      <c r="A1500" s="17">
        <v>1476</v>
      </c>
      <c r="B1500" s="17">
        <v>5.6822195932915126E-2</v>
      </c>
      <c r="C1500" s="17">
        <v>0.22137780406708488</v>
      </c>
      <c r="D1500" s="17">
        <v>0.21918544719899272</v>
      </c>
    </row>
    <row r="1501" spans="1:4" x14ac:dyDescent="0.25">
      <c r="A1501" s="17">
        <v>1477</v>
      </c>
      <c r="B1501" s="17">
        <v>1.1904574274853377</v>
      </c>
      <c r="C1501" s="17">
        <v>-8.5457427485337689E-2</v>
      </c>
      <c r="D1501" s="17">
        <v>-8.4611122324499646E-2</v>
      </c>
    </row>
    <row r="1502" spans="1:4" x14ac:dyDescent="0.25">
      <c r="A1502" s="17">
        <v>1478</v>
      </c>
      <c r="B1502" s="17">
        <v>-0.51266227394614439</v>
      </c>
      <c r="C1502" s="17">
        <v>-0.5923377260538556</v>
      </c>
      <c r="D1502" s="17">
        <v>-0.58647166514762883</v>
      </c>
    </row>
    <row r="1503" spans="1:4" x14ac:dyDescent="0.25">
      <c r="A1503" s="17">
        <v>1479</v>
      </c>
      <c r="B1503" s="17">
        <v>1.2845751535316916</v>
      </c>
      <c r="C1503" s="17">
        <v>-0.45467515353169163</v>
      </c>
      <c r="D1503" s="17">
        <v>-0.45017239771207929</v>
      </c>
    </row>
    <row r="1504" spans="1:4" x14ac:dyDescent="0.25">
      <c r="A1504" s="17">
        <v>1480</v>
      </c>
      <c r="B1504" s="17">
        <v>0.30472850857685302</v>
      </c>
      <c r="C1504" s="17">
        <v>0.51827149142314699</v>
      </c>
      <c r="D1504" s="17">
        <v>0.51313892599480082</v>
      </c>
    </row>
    <row r="1505" spans="1:4" x14ac:dyDescent="0.25">
      <c r="A1505" s="17">
        <v>1481</v>
      </c>
      <c r="B1505" s="17">
        <v>0.24083512902944637</v>
      </c>
      <c r="C1505" s="17">
        <v>-0.24083512902944637</v>
      </c>
      <c r="D1505" s="17">
        <v>-0.23845008166017367</v>
      </c>
    </row>
    <row r="1506" spans="1:4" x14ac:dyDescent="0.25">
      <c r="A1506" s="17">
        <v>1482</v>
      </c>
      <c r="B1506" s="17">
        <v>0.92066068741385332</v>
      </c>
      <c r="C1506" s="17">
        <v>-0.64776068741385329</v>
      </c>
      <c r="D1506" s="17">
        <v>-0.64134575978406472</v>
      </c>
    </row>
    <row r="1507" spans="1:4" x14ac:dyDescent="0.25">
      <c r="A1507" s="17">
        <v>1483</v>
      </c>
      <c r="B1507" s="17">
        <v>0.23927946413611817</v>
      </c>
      <c r="C1507" s="17">
        <v>3.2820535863881839E-2</v>
      </c>
      <c r="D1507" s="17">
        <v>3.2495506317587117E-2</v>
      </c>
    </row>
    <row r="1508" spans="1:4" x14ac:dyDescent="0.25">
      <c r="A1508" s="17">
        <v>1484</v>
      </c>
      <c r="B1508" s="17">
        <v>-0.28164603728691229</v>
      </c>
      <c r="C1508" s="17">
        <v>0.28164603728691229</v>
      </c>
      <c r="D1508" s="17">
        <v>0.27885682981952864</v>
      </c>
    </row>
    <row r="1509" spans="1:4" x14ac:dyDescent="0.25">
      <c r="A1509" s="17">
        <v>1485</v>
      </c>
      <c r="B1509" s="17">
        <v>0.15816265184114969</v>
      </c>
      <c r="C1509" s="17">
        <v>-0.15816265184114969</v>
      </c>
      <c r="D1509" s="17">
        <v>-0.15659632960979114</v>
      </c>
    </row>
    <row r="1510" spans="1:4" x14ac:dyDescent="0.25">
      <c r="A1510" s="17">
        <v>1486</v>
      </c>
      <c r="B1510" s="17">
        <v>2.5931135908255895E-2</v>
      </c>
      <c r="C1510" s="17">
        <v>-1.1188311359082559</v>
      </c>
      <c r="D1510" s="17">
        <v>-1.1077510859665711</v>
      </c>
    </row>
    <row r="1511" spans="1:4" x14ac:dyDescent="0.25">
      <c r="A1511" s="17">
        <v>1487</v>
      </c>
      <c r="B1511" s="17">
        <v>0.83576583180651653</v>
      </c>
      <c r="C1511" s="17">
        <v>0.52853416819348353</v>
      </c>
      <c r="D1511" s="17">
        <v>0.52329996904446119</v>
      </c>
    </row>
    <row r="1512" spans="1:4" x14ac:dyDescent="0.25">
      <c r="A1512" s="17">
        <v>1488</v>
      </c>
      <c r="B1512" s="17">
        <v>-0.29853611327161805</v>
      </c>
      <c r="C1512" s="17">
        <v>-1.340863886728382</v>
      </c>
      <c r="D1512" s="17">
        <v>-1.3275849938256639</v>
      </c>
    </row>
    <row r="1513" spans="1:4" x14ac:dyDescent="0.25">
      <c r="A1513" s="17">
        <v>1489</v>
      </c>
      <c r="B1513" s="17">
        <v>-0.95736019559609487</v>
      </c>
      <c r="C1513" s="17">
        <v>-0.15063980440390523</v>
      </c>
      <c r="D1513" s="17">
        <v>-0.1491479827139002</v>
      </c>
    </row>
    <row r="1514" spans="1:4" x14ac:dyDescent="0.25">
      <c r="A1514" s="17">
        <v>1490</v>
      </c>
      <c r="B1514" s="17">
        <v>0.81354204761611426</v>
      </c>
      <c r="C1514" s="17">
        <v>1.865795238388579E-2</v>
      </c>
      <c r="D1514" s="17">
        <v>1.8473178258829635E-2</v>
      </c>
    </row>
    <row r="1515" spans="1:4" x14ac:dyDescent="0.25">
      <c r="A1515" s="17">
        <v>1491</v>
      </c>
      <c r="B1515" s="17">
        <v>-7.7076103814258876E-2</v>
      </c>
      <c r="C1515" s="17">
        <v>7.7076103814258876E-2</v>
      </c>
      <c r="D1515" s="17">
        <v>7.6312800888407417E-2</v>
      </c>
    </row>
    <row r="1516" spans="1:4" x14ac:dyDescent="0.25">
      <c r="A1516" s="17">
        <v>1492</v>
      </c>
      <c r="B1516" s="17">
        <v>-0.21175223600809695</v>
      </c>
      <c r="C1516" s="17">
        <v>-6.4847763991903062E-2</v>
      </c>
      <c r="D1516" s="17">
        <v>-6.4205561213864004E-2</v>
      </c>
    </row>
    <row r="1517" spans="1:4" x14ac:dyDescent="0.25">
      <c r="A1517" s="17">
        <v>1493</v>
      </c>
      <c r="B1517" s="17">
        <v>0.23127890182757338</v>
      </c>
      <c r="C1517" s="17">
        <v>4.5321098172426633E-2</v>
      </c>
      <c r="D1517" s="17">
        <v>4.4872272594512375E-2</v>
      </c>
    </row>
    <row r="1518" spans="1:4" x14ac:dyDescent="0.25">
      <c r="A1518" s="17">
        <v>1494</v>
      </c>
      <c r="B1518" s="17">
        <v>1.1693448325044553</v>
      </c>
      <c r="C1518" s="17">
        <v>1.0165551674955449</v>
      </c>
      <c r="D1518" s="17">
        <v>1.0064879807120943</v>
      </c>
    </row>
    <row r="1519" spans="1:4" x14ac:dyDescent="0.25">
      <c r="A1519" s="17">
        <v>1495</v>
      </c>
      <c r="B1519" s="17">
        <v>0.35373195271669017</v>
      </c>
      <c r="C1519" s="17">
        <v>-8.3831952716690195E-2</v>
      </c>
      <c r="D1519" s="17">
        <v>-8.3001745017781417E-2</v>
      </c>
    </row>
    <row r="1520" spans="1:4" x14ac:dyDescent="0.25">
      <c r="A1520" s="17">
        <v>1496</v>
      </c>
      <c r="B1520" s="17">
        <v>-0.1511924240892506</v>
      </c>
      <c r="C1520" s="17">
        <v>-0.38930757591074938</v>
      </c>
      <c r="D1520" s="17">
        <v>-0.3854521707067588</v>
      </c>
    </row>
    <row r="1521" spans="1:4" x14ac:dyDescent="0.25">
      <c r="A1521" s="17">
        <v>1497</v>
      </c>
      <c r="B1521" s="17">
        <v>0.38517860734610943</v>
      </c>
      <c r="C1521" s="17">
        <v>-0.38517860734610943</v>
      </c>
      <c r="D1521" s="17">
        <v>-0.38136409229652696</v>
      </c>
    </row>
    <row r="1522" spans="1:4" x14ac:dyDescent="0.25">
      <c r="A1522" s="17">
        <v>1498</v>
      </c>
      <c r="B1522" s="17">
        <v>1.0370021976506096</v>
      </c>
      <c r="C1522" s="17">
        <v>-1.0370021976506096</v>
      </c>
      <c r="D1522" s="17">
        <v>-1.0267325190808601</v>
      </c>
    </row>
    <row r="1523" spans="1:4" x14ac:dyDescent="0.25">
      <c r="A1523" s="17">
        <v>1499</v>
      </c>
      <c r="B1523" s="17">
        <v>0.26494793487603285</v>
      </c>
      <c r="C1523" s="17">
        <v>-0.26494793487603285</v>
      </c>
      <c r="D1523" s="17">
        <v>-0.2623240926748685</v>
      </c>
    </row>
    <row r="1524" spans="1:4" x14ac:dyDescent="0.25">
      <c r="A1524" s="17">
        <v>1500</v>
      </c>
      <c r="B1524" s="17">
        <v>-5.9297076461937007E-2</v>
      </c>
      <c r="C1524" s="17">
        <v>-0.48420292353806299</v>
      </c>
      <c r="D1524" s="17">
        <v>-0.47940774721294555</v>
      </c>
    </row>
    <row r="1525" spans="1:4" x14ac:dyDescent="0.25">
      <c r="A1525" s="17">
        <v>1501</v>
      </c>
      <c r="B1525" s="17">
        <v>0.61741715213581372</v>
      </c>
      <c r="C1525" s="17">
        <v>-0.34531715213581371</v>
      </c>
      <c r="D1525" s="17">
        <v>-0.34189739452576184</v>
      </c>
    </row>
    <row r="1526" spans="1:4" x14ac:dyDescent="0.25">
      <c r="A1526" s="17">
        <v>1502</v>
      </c>
      <c r="B1526" s="17">
        <v>0.94255111484139964</v>
      </c>
      <c r="C1526" s="17">
        <v>-0.13065111484139968</v>
      </c>
      <c r="D1526" s="17">
        <v>-0.12935724588216274</v>
      </c>
    </row>
    <row r="1527" spans="1:4" x14ac:dyDescent="0.25">
      <c r="A1527" s="17">
        <v>1503</v>
      </c>
      <c r="B1527" s="17">
        <v>0.58530378398068239</v>
      </c>
      <c r="C1527" s="17">
        <v>0.48709621601931763</v>
      </c>
      <c r="D1527" s="17">
        <v>0.48227238673294504</v>
      </c>
    </row>
    <row r="1528" spans="1:4" x14ac:dyDescent="0.25">
      <c r="A1528" s="17">
        <v>1504</v>
      </c>
      <c r="B1528" s="17">
        <v>0.16905230609444685</v>
      </c>
      <c r="C1528" s="17">
        <v>-0.16905230609444685</v>
      </c>
      <c r="D1528" s="17">
        <v>-0.16737814103578239</v>
      </c>
    </row>
    <row r="1529" spans="1:4" x14ac:dyDescent="0.25">
      <c r="A1529" s="17">
        <v>1505</v>
      </c>
      <c r="B1529" s="17">
        <v>0.99433253200503702</v>
      </c>
      <c r="C1529" s="17">
        <v>-0.19753253200503706</v>
      </c>
      <c r="D1529" s="17">
        <v>-0.19557632051835322</v>
      </c>
    </row>
    <row r="1530" spans="1:4" x14ac:dyDescent="0.25">
      <c r="A1530" s="17">
        <v>1506</v>
      </c>
      <c r="B1530" s="17">
        <v>-0.25142169078796511</v>
      </c>
      <c r="C1530" s="17">
        <v>0.25142169078796511</v>
      </c>
      <c r="D1530" s="17">
        <v>0.24893180218820601</v>
      </c>
    </row>
    <row r="1531" spans="1:4" x14ac:dyDescent="0.25">
      <c r="A1531" s="17">
        <v>1507</v>
      </c>
      <c r="B1531" s="17">
        <v>-5.8519244015272934E-2</v>
      </c>
      <c r="C1531" s="17">
        <v>0.32271924401527291</v>
      </c>
      <c r="D1531" s="17">
        <v>0.31952327884584703</v>
      </c>
    </row>
    <row r="1532" spans="1:4" x14ac:dyDescent="0.25">
      <c r="A1532" s="17">
        <v>1508</v>
      </c>
      <c r="B1532" s="17">
        <v>0.30150605986924472</v>
      </c>
      <c r="C1532" s="17">
        <v>-0.30150605986924472</v>
      </c>
      <c r="D1532" s="17">
        <v>-0.29852017389069629</v>
      </c>
    </row>
    <row r="1533" spans="1:4" x14ac:dyDescent="0.25">
      <c r="A1533" s="17">
        <v>1509</v>
      </c>
      <c r="B1533" s="17">
        <v>-0.23175364177945906</v>
      </c>
      <c r="C1533" s="17">
        <v>0.49525364177945908</v>
      </c>
      <c r="D1533" s="17">
        <v>0.49034902757218368</v>
      </c>
    </row>
    <row r="1534" spans="1:4" x14ac:dyDescent="0.25">
      <c r="A1534" s="17">
        <v>1510</v>
      </c>
      <c r="B1534" s="17">
        <v>0.1944985389924575</v>
      </c>
      <c r="C1534" s="17">
        <v>-0.1944985389924575</v>
      </c>
      <c r="D1534" s="17">
        <v>-0.19257237385774151</v>
      </c>
    </row>
    <row r="1535" spans="1:4" x14ac:dyDescent="0.25">
      <c r="A1535" s="17">
        <v>1511</v>
      </c>
      <c r="B1535" s="17">
        <v>0.24116848579230238</v>
      </c>
      <c r="C1535" s="17">
        <v>-1.0337684857923024</v>
      </c>
      <c r="D1535" s="17">
        <v>-1.0235308314375904</v>
      </c>
    </row>
    <row r="1536" spans="1:4" x14ac:dyDescent="0.25">
      <c r="A1536" s="17">
        <v>1512</v>
      </c>
      <c r="B1536" s="17">
        <v>-3.5406508457254515E-2</v>
      </c>
      <c r="C1536" s="17">
        <v>3.5406508457254515E-2</v>
      </c>
      <c r="D1536" s="17">
        <v>3.5055869411400112E-2</v>
      </c>
    </row>
    <row r="1537" spans="1:4" x14ac:dyDescent="0.25">
      <c r="A1537" s="17">
        <v>1513</v>
      </c>
      <c r="B1537" s="17">
        <v>-0.14219179149213768</v>
      </c>
      <c r="C1537" s="17">
        <v>0.4070917914921377</v>
      </c>
      <c r="D1537" s="17">
        <v>0.40306026498575281</v>
      </c>
    </row>
    <row r="1538" spans="1:4" x14ac:dyDescent="0.25">
      <c r="A1538" s="17">
        <v>1514</v>
      </c>
      <c r="B1538" s="17">
        <v>-0.79368202503378182</v>
      </c>
      <c r="C1538" s="17">
        <v>-0.80631797496621826</v>
      </c>
      <c r="D1538" s="17">
        <v>-0.79833281693408031</v>
      </c>
    </row>
    <row r="1539" spans="1:4" x14ac:dyDescent="0.25">
      <c r="A1539" s="17">
        <v>1515</v>
      </c>
      <c r="B1539" s="17">
        <v>0.26761478897888119</v>
      </c>
      <c r="C1539" s="17">
        <v>-0.26761478897888119</v>
      </c>
      <c r="D1539" s="17">
        <v>-0.26496453628939703</v>
      </c>
    </row>
    <row r="1540" spans="1:4" x14ac:dyDescent="0.25">
      <c r="A1540" s="17">
        <v>1516</v>
      </c>
      <c r="B1540" s="17">
        <v>-0.42865636970642362</v>
      </c>
      <c r="C1540" s="17">
        <v>-0.65244363029357633</v>
      </c>
      <c r="D1540" s="17">
        <v>-0.64598232637042574</v>
      </c>
    </row>
    <row r="1541" spans="1:4" x14ac:dyDescent="0.25">
      <c r="A1541" s="17">
        <v>1517</v>
      </c>
      <c r="B1541" s="17">
        <v>0.46796220345535811</v>
      </c>
      <c r="C1541" s="17">
        <v>-0.74006220345535811</v>
      </c>
      <c r="D1541" s="17">
        <v>-0.73273319203346732</v>
      </c>
    </row>
    <row r="1542" spans="1:4" x14ac:dyDescent="0.25">
      <c r="A1542" s="17">
        <v>1518</v>
      </c>
      <c r="B1542" s="17">
        <v>0.70664564566027899</v>
      </c>
      <c r="C1542" s="17">
        <v>0.37735435433972109</v>
      </c>
      <c r="D1542" s="17">
        <v>0.3736173247222872</v>
      </c>
    </row>
    <row r="1543" spans="1:4" x14ac:dyDescent="0.25">
      <c r="A1543" s="17">
        <v>1519</v>
      </c>
      <c r="B1543" s="17">
        <v>0.24761338320751908</v>
      </c>
      <c r="C1543" s="17">
        <v>0.55778661679248098</v>
      </c>
      <c r="D1543" s="17">
        <v>0.55226272371111174</v>
      </c>
    </row>
    <row r="1544" spans="1:4" x14ac:dyDescent="0.25">
      <c r="A1544" s="17">
        <v>1520</v>
      </c>
      <c r="B1544" s="17">
        <v>-1.0134752506768607</v>
      </c>
      <c r="C1544" s="17">
        <v>-0.33242474932313937</v>
      </c>
      <c r="D1544" s="17">
        <v>-0.32913266823409959</v>
      </c>
    </row>
    <row r="1545" spans="1:4" x14ac:dyDescent="0.25">
      <c r="A1545" s="17">
        <v>1521</v>
      </c>
      <c r="B1545" s="17">
        <v>-0.28175715620786429</v>
      </c>
      <c r="C1545" s="17">
        <v>-0.26174284379213569</v>
      </c>
      <c r="D1545" s="17">
        <v>-0.25915074236769581</v>
      </c>
    </row>
    <row r="1546" spans="1:4" x14ac:dyDescent="0.25">
      <c r="A1546" s="17">
        <v>1522</v>
      </c>
      <c r="B1546" s="17">
        <v>0.87099052974830415</v>
      </c>
      <c r="C1546" s="17">
        <v>0.75070947025169577</v>
      </c>
      <c r="D1546" s="17">
        <v>0.7432750164229398</v>
      </c>
    </row>
    <row r="1547" spans="1:4" x14ac:dyDescent="0.25">
      <c r="A1547" s="17">
        <v>1523</v>
      </c>
      <c r="B1547" s="17">
        <v>0.60808316277584473</v>
      </c>
      <c r="C1547" s="17">
        <v>-0.87658316277584469</v>
      </c>
      <c r="D1547" s="17">
        <v>-0.86790215193347853</v>
      </c>
    </row>
    <row r="1548" spans="1:4" x14ac:dyDescent="0.25">
      <c r="A1548" s="17">
        <v>1524</v>
      </c>
      <c r="B1548" s="17">
        <v>2.782015756444009E-2</v>
      </c>
      <c r="C1548" s="17">
        <v>0.24067984243555993</v>
      </c>
      <c r="D1548" s="17">
        <v>0.23829633290623492</v>
      </c>
    </row>
    <row r="1549" spans="1:4" x14ac:dyDescent="0.25">
      <c r="A1549" s="17">
        <v>1525</v>
      </c>
      <c r="B1549" s="17">
        <v>1.1792344164691844</v>
      </c>
      <c r="C1549" s="17">
        <v>0.68006558353081559</v>
      </c>
      <c r="D1549" s="17">
        <v>0.67333073285737099</v>
      </c>
    </row>
    <row r="1550" spans="1:4" x14ac:dyDescent="0.25">
      <c r="A1550" s="17">
        <v>1526</v>
      </c>
      <c r="B1550" s="17">
        <v>0.86976822161783207</v>
      </c>
      <c r="C1550" s="17">
        <v>-8.3368221617832083E-2</v>
      </c>
      <c r="D1550" s="17">
        <v>-8.2542606357916062E-2</v>
      </c>
    </row>
    <row r="1551" spans="1:4" x14ac:dyDescent="0.25">
      <c r="A1551" s="17">
        <v>1527</v>
      </c>
      <c r="B1551" s="17">
        <v>0.12027109979651376</v>
      </c>
      <c r="C1551" s="17">
        <v>-0.12027109979651376</v>
      </c>
      <c r="D1551" s="17">
        <v>-0.11908002658669918</v>
      </c>
    </row>
    <row r="1552" spans="1:4" x14ac:dyDescent="0.25">
      <c r="A1552" s="17">
        <v>1528</v>
      </c>
      <c r="B1552" s="17">
        <v>0.73742558676398628</v>
      </c>
      <c r="C1552" s="17">
        <v>1.0737744132360136</v>
      </c>
      <c r="D1552" s="17">
        <v>1.0631405706989983</v>
      </c>
    </row>
    <row r="1553" spans="1:4" x14ac:dyDescent="0.25">
      <c r="A1553" s="17">
        <v>1529</v>
      </c>
      <c r="B1553" s="17">
        <v>-0.48432694910338148</v>
      </c>
      <c r="C1553" s="17">
        <v>-0.28787305089661852</v>
      </c>
      <c r="D1553" s="17">
        <v>-0.28502217583743417</v>
      </c>
    </row>
    <row r="1554" spans="1:4" x14ac:dyDescent="0.25">
      <c r="A1554" s="17">
        <v>1530</v>
      </c>
      <c r="B1554" s="17">
        <v>0.16271852760018218</v>
      </c>
      <c r="C1554" s="17">
        <v>-0.16271852760018218</v>
      </c>
      <c r="D1554" s="17">
        <v>-0.16110708745127728</v>
      </c>
    </row>
    <row r="1555" spans="1:4" x14ac:dyDescent="0.25">
      <c r="A1555" s="17">
        <v>1531</v>
      </c>
      <c r="B1555" s="17">
        <v>-0.23875413379943577</v>
      </c>
      <c r="C1555" s="17">
        <v>-0.27934586620056423</v>
      </c>
      <c r="D1555" s="17">
        <v>-0.27657943787267109</v>
      </c>
    </row>
    <row r="1556" spans="1:4" x14ac:dyDescent="0.25">
      <c r="A1556" s="17">
        <v>1532</v>
      </c>
      <c r="B1556" s="17">
        <v>-0.22219741457758607</v>
      </c>
      <c r="C1556" s="17">
        <v>0.48159741457758609</v>
      </c>
      <c r="D1556" s="17">
        <v>0.47682804122530253</v>
      </c>
    </row>
    <row r="1557" spans="1:4" x14ac:dyDescent="0.25">
      <c r="A1557" s="17">
        <v>1533</v>
      </c>
      <c r="B1557" s="17">
        <v>6.8711920474780364E-2</v>
      </c>
      <c r="C1557" s="17">
        <v>0.70548807952521964</v>
      </c>
      <c r="D1557" s="17">
        <v>0.69850146384790646</v>
      </c>
    </row>
    <row r="1558" spans="1:4" x14ac:dyDescent="0.25">
      <c r="A1558" s="17">
        <v>1534</v>
      </c>
      <c r="B1558" s="17">
        <v>-0.15519270524352302</v>
      </c>
      <c r="C1558" s="17">
        <v>-1.3992072947564771</v>
      </c>
      <c r="D1558" s="17">
        <v>-1.3853506132545934</v>
      </c>
    </row>
    <row r="1559" spans="1:4" x14ac:dyDescent="0.25">
      <c r="A1559" s="17">
        <v>1535</v>
      </c>
      <c r="B1559" s="17">
        <v>-1.9072027077308804E-2</v>
      </c>
      <c r="C1559" s="17">
        <v>1.9072027077308804E-2</v>
      </c>
      <c r="D1559" s="17">
        <v>1.8883152272413245E-2</v>
      </c>
    </row>
    <row r="1560" spans="1:4" x14ac:dyDescent="0.25">
      <c r="A1560" s="17">
        <v>1536</v>
      </c>
      <c r="B1560" s="17">
        <v>-0.34176137352195052</v>
      </c>
      <c r="C1560" s="17">
        <v>-0.97233862647804958</v>
      </c>
      <c r="D1560" s="17">
        <v>-0.9627093265811888</v>
      </c>
    </row>
    <row r="1561" spans="1:4" x14ac:dyDescent="0.25">
      <c r="A1561" s="17">
        <v>1537</v>
      </c>
      <c r="B1561" s="17">
        <v>1.6238212191981831</v>
      </c>
      <c r="C1561" s="17">
        <v>0.47047878080181693</v>
      </c>
      <c r="D1561" s="17">
        <v>0.46581951791532661</v>
      </c>
    </row>
    <row r="1562" spans="1:4" x14ac:dyDescent="0.25">
      <c r="A1562" s="17">
        <v>1538</v>
      </c>
      <c r="B1562" s="17">
        <v>-0.5064396143728318</v>
      </c>
      <c r="C1562" s="17">
        <v>-0.2737603856271682</v>
      </c>
      <c r="D1562" s="17">
        <v>-0.27104927163735099</v>
      </c>
    </row>
    <row r="1563" spans="1:4" x14ac:dyDescent="0.25">
      <c r="A1563" s="17">
        <v>1539</v>
      </c>
      <c r="B1563" s="17">
        <v>-0.20230712772717596</v>
      </c>
      <c r="C1563" s="17">
        <v>-5.909287227282406E-2</v>
      </c>
      <c r="D1563" s="17">
        <v>-5.8507661551593128E-2</v>
      </c>
    </row>
    <row r="1564" spans="1:4" x14ac:dyDescent="0.25">
      <c r="A1564" s="17">
        <v>1540</v>
      </c>
      <c r="B1564" s="17">
        <v>0.17538608458871152</v>
      </c>
      <c r="C1564" s="17">
        <v>-0.70028608458871155</v>
      </c>
      <c r="D1564" s="17">
        <v>-0.69335098550031249</v>
      </c>
    </row>
    <row r="1565" spans="1:4" x14ac:dyDescent="0.25">
      <c r="A1565" s="17">
        <v>1541</v>
      </c>
      <c r="B1565" s="17">
        <v>-0.49266086817478227</v>
      </c>
      <c r="C1565" s="17">
        <v>1.0175608681747823</v>
      </c>
      <c r="D1565" s="17">
        <v>1.0074837216991186</v>
      </c>
    </row>
    <row r="1566" spans="1:4" x14ac:dyDescent="0.25">
      <c r="A1566" s="17">
        <v>1542</v>
      </c>
      <c r="B1566" s="17">
        <v>-9.4410655482772679E-2</v>
      </c>
      <c r="C1566" s="17">
        <v>9.4410655482772679E-2</v>
      </c>
      <c r="D1566" s="17">
        <v>9.3475684382842456E-2</v>
      </c>
    </row>
    <row r="1567" spans="1:4" x14ac:dyDescent="0.25">
      <c r="A1567" s="17">
        <v>1543</v>
      </c>
      <c r="B1567" s="17">
        <v>0.28706060014548318</v>
      </c>
      <c r="C1567" s="17">
        <v>-2.5660600145483159E-2</v>
      </c>
      <c r="D1567" s="17">
        <v>-2.5406477139767243E-2</v>
      </c>
    </row>
    <row r="1568" spans="1:4" x14ac:dyDescent="0.25">
      <c r="A1568" s="17">
        <v>1544</v>
      </c>
      <c r="B1568" s="17">
        <v>-1.1059261929089343</v>
      </c>
      <c r="C1568" s="17">
        <v>-0.2081738070910657</v>
      </c>
      <c r="D1568" s="17">
        <v>-0.2061122125348441</v>
      </c>
    </row>
    <row r="1569" spans="1:4" x14ac:dyDescent="0.25">
      <c r="A1569" s="17">
        <v>1545</v>
      </c>
      <c r="B1569" s="17">
        <v>-0.11663443967317501</v>
      </c>
      <c r="C1569" s="17">
        <v>-0.68016556032682496</v>
      </c>
      <c r="D1569" s="17">
        <v>-0.6734297195594714</v>
      </c>
    </row>
    <row r="1570" spans="1:4" x14ac:dyDescent="0.25">
      <c r="A1570" s="17">
        <v>1546</v>
      </c>
      <c r="B1570" s="17">
        <v>0.41662526197552874</v>
      </c>
      <c r="C1570" s="17">
        <v>-0.15032526197552876</v>
      </c>
      <c r="D1570" s="17">
        <v>-0.14883655527374967</v>
      </c>
    </row>
    <row r="1571" spans="1:4" x14ac:dyDescent="0.25">
      <c r="A1571" s="17">
        <v>1547</v>
      </c>
      <c r="B1571" s="17">
        <v>-1.1500404045268831</v>
      </c>
      <c r="C1571" s="17">
        <v>0.34894040452688302</v>
      </c>
      <c r="D1571" s="17">
        <v>0.34548476498956271</v>
      </c>
    </row>
    <row r="1572" spans="1:4" x14ac:dyDescent="0.25">
      <c r="A1572" s="17">
        <v>1548</v>
      </c>
      <c r="B1572" s="17">
        <v>-1.1293702610668005E-2</v>
      </c>
      <c r="C1572" s="17">
        <v>0.27899370261066803</v>
      </c>
      <c r="D1572" s="17">
        <v>0.2762307618422809</v>
      </c>
    </row>
    <row r="1573" spans="1:4" x14ac:dyDescent="0.25">
      <c r="A1573" s="17">
        <v>1549</v>
      </c>
      <c r="B1573" s="17">
        <v>1.0453361167220105</v>
      </c>
      <c r="C1573" s="17">
        <v>0.54616388327798937</v>
      </c>
      <c r="D1573" s="17">
        <v>0.5407550928816155</v>
      </c>
    </row>
    <row r="1574" spans="1:4" x14ac:dyDescent="0.25">
      <c r="A1574" s="17">
        <v>1550</v>
      </c>
      <c r="B1574" s="17">
        <v>7.8490385518557387E-2</v>
      </c>
      <c r="C1574" s="17">
        <v>-7.8490385518557387E-2</v>
      </c>
      <c r="D1574" s="17">
        <v>-7.7713076625753191E-2</v>
      </c>
    </row>
    <row r="1575" spans="1:4" x14ac:dyDescent="0.25">
      <c r="A1575" s="17">
        <v>1551</v>
      </c>
      <c r="B1575" s="17">
        <v>1.4784776705929519</v>
      </c>
      <c r="C1575" s="17">
        <v>-0.43137767059295196</v>
      </c>
      <c r="D1575" s="17">
        <v>-0.4271056352692143</v>
      </c>
    </row>
    <row r="1576" spans="1:4" x14ac:dyDescent="0.25">
      <c r="A1576" s="17">
        <v>1552</v>
      </c>
      <c r="B1576" s="17">
        <v>0.2386127506104061</v>
      </c>
      <c r="C1576" s="17">
        <v>-0.7608127506104061</v>
      </c>
      <c r="D1576" s="17">
        <v>-0.75327824160142087</v>
      </c>
    </row>
    <row r="1577" spans="1:4" x14ac:dyDescent="0.25">
      <c r="A1577" s="17">
        <v>1553</v>
      </c>
      <c r="B1577" s="17">
        <v>0.11927102950794564</v>
      </c>
      <c r="C1577" s="17">
        <v>0.92242897049205441</v>
      </c>
      <c r="D1577" s="17">
        <v>0.91329393774878709</v>
      </c>
    </row>
    <row r="1578" spans="1:4" x14ac:dyDescent="0.25">
      <c r="A1578" s="17">
        <v>1554</v>
      </c>
      <c r="B1578" s="17">
        <v>0.20038784180291414</v>
      </c>
      <c r="C1578" s="17">
        <v>0.57381215819708586</v>
      </c>
      <c r="D1578" s="17">
        <v>0.56812956038056328</v>
      </c>
    </row>
    <row r="1579" spans="1:4" x14ac:dyDescent="0.25">
      <c r="A1579" s="17">
        <v>1555</v>
      </c>
      <c r="B1579" s="17">
        <v>0.84921122124171</v>
      </c>
      <c r="C1579" s="17">
        <v>0.17378877875828991</v>
      </c>
      <c r="D1579" s="17">
        <v>0.17206770728812287</v>
      </c>
    </row>
    <row r="1580" spans="1:4" x14ac:dyDescent="0.25">
      <c r="A1580" s="17">
        <v>1556</v>
      </c>
      <c r="B1580" s="17">
        <v>0.22927876125043717</v>
      </c>
      <c r="C1580" s="17">
        <v>0.53122123874956273</v>
      </c>
      <c r="D1580" s="17">
        <v>0.52596042890389227</v>
      </c>
    </row>
    <row r="1581" spans="1:4" x14ac:dyDescent="0.25">
      <c r="A1581" s="17">
        <v>1557</v>
      </c>
      <c r="B1581" s="17">
        <v>0.20961071224193106</v>
      </c>
      <c r="C1581" s="17">
        <v>-0.20961071224193106</v>
      </c>
      <c r="D1581" s="17">
        <v>-0.20753488767340281</v>
      </c>
    </row>
    <row r="1582" spans="1:4" x14ac:dyDescent="0.25">
      <c r="A1582" s="17">
        <v>1558</v>
      </c>
      <c r="B1582" s="17">
        <v>-0.6850077203427144</v>
      </c>
      <c r="C1582" s="17">
        <v>0.43220772034271437</v>
      </c>
      <c r="D1582" s="17">
        <v>0.42792746483955352</v>
      </c>
    </row>
    <row r="1583" spans="1:4" x14ac:dyDescent="0.25">
      <c r="A1583" s="17">
        <v>1559</v>
      </c>
      <c r="B1583" s="17">
        <v>0.49029710656671238</v>
      </c>
      <c r="C1583" s="17">
        <v>2.0098028934332879</v>
      </c>
      <c r="D1583" s="17">
        <v>1.9898993389848267</v>
      </c>
    </row>
    <row r="1584" spans="1:4" x14ac:dyDescent="0.25">
      <c r="A1584" s="17">
        <v>1560</v>
      </c>
      <c r="B1584" s="17">
        <v>-0.17141606770251672</v>
      </c>
      <c r="C1584" s="17">
        <v>0.66401606770251664</v>
      </c>
      <c r="D1584" s="17">
        <v>0.65744015918862597</v>
      </c>
    </row>
    <row r="1585" spans="1:4" x14ac:dyDescent="0.25">
      <c r="A1585" s="17">
        <v>1561</v>
      </c>
      <c r="B1585" s="17">
        <v>0.66286479080518645</v>
      </c>
      <c r="C1585" s="17">
        <v>0.31513520919481353</v>
      </c>
      <c r="D1585" s="17">
        <v>0.31201435051990073</v>
      </c>
    </row>
    <row r="1586" spans="1:4" x14ac:dyDescent="0.25">
      <c r="A1586" s="17">
        <v>1562</v>
      </c>
      <c r="B1586" s="17">
        <v>0.44129366242687529</v>
      </c>
      <c r="C1586" s="17">
        <v>0.52720633757312474</v>
      </c>
      <c r="D1586" s="17">
        <v>0.52198528824547896</v>
      </c>
    </row>
    <row r="1587" spans="1:4" x14ac:dyDescent="0.25">
      <c r="A1587" s="17">
        <v>1563</v>
      </c>
      <c r="B1587" s="17">
        <v>-9.0743731091356292E-2</v>
      </c>
      <c r="C1587" s="17">
        <v>-0.63475626890864378</v>
      </c>
      <c r="D1587" s="17">
        <v>-0.62847012711782213</v>
      </c>
    </row>
    <row r="1588" spans="1:4" x14ac:dyDescent="0.25">
      <c r="A1588" s="17">
        <v>1564</v>
      </c>
      <c r="B1588" s="17">
        <v>0.62719561717959071</v>
      </c>
      <c r="C1588" s="17">
        <v>-0.62719561717959071</v>
      </c>
      <c r="D1588" s="17">
        <v>-0.62098435031498533</v>
      </c>
    </row>
    <row r="1589" spans="1:4" x14ac:dyDescent="0.25">
      <c r="A1589" s="17">
        <v>1565</v>
      </c>
      <c r="B1589" s="17">
        <v>1.3263578919726571E-2</v>
      </c>
      <c r="C1589" s="17">
        <v>-0.74406357891972652</v>
      </c>
      <c r="D1589" s="17">
        <v>-0.73669494092814369</v>
      </c>
    </row>
    <row r="1590" spans="1:4" x14ac:dyDescent="0.25">
      <c r="A1590" s="17">
        <v>1566</v>
      </c>
      <c r="B1590" s="17">
        <v>-0.12530171550743191</v>
      </c>
      <c r="C1590" s="17">
        <v>-0.11949828449256808</v>
      </c>
      <c r="D1590" s="17">
        <v>-0.11831486465589319</v>
      </c>
    </row>
    <row r="1591" spans="1:4" x14ac:dyDescent="0.25">
      <c r="A1591" s="17">
        <v>1567</v>
      </c>
      <c r="B1591" s="17">
        <v>-0.41954461818835864</v>
      </c>
      <c r="C1591" s="17">
        <v>0.17414461818835864</v>
      </c>
      <c r="D1591" s="17">
        <v>0.17242002275596902</v>
      </c>
    </row>
    <row r="1592" spans="1:4" ht="17.25" thickBot="1" x14ac:dyDescent="0.3">
      <c r="A1592" s="9">
        <v>1568</v>
      </c>
      <c r="B1592" s="9">
        <v>-0.17130494878156471</v>
      </c>
      <c r="C1592" s="9">
        <v>-7.4695051218435282E-2</v>
      </c>
      <c r="D1592" s="9">
        <v>-7.3955328420834451E-2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746"/>
  <sheetViews>
    <sheetView tabSelected="1" workbookViewId="0">
      <selection activeCell="N746" sqref="N746"/>
    </sheetView>
  </sheetViews>
  <sheetFormatPr defaultRowHeight="16.5" x14ac:dyDescent="0.25"/>
  <cols>
    <col min="1" max="2" width="9" style="13"/>
    <col min="3" max="3" width="13.875" style="13" customWidth="1"/>
    <col min="4" max="4" width="16.75" style="13" customWidth="1"/>
    <col min="5" max="13" width="9" style="13"/>
    <col min="14" max="14" width="12.25" style="13" customWidth="1"/>
    <col min="15" max="16384" width="9" style="13"/>
  </cols>
  <sheetData>
    <row r="1" spans="1:14" x14ac:dyDescent="0.25">
      <c r="A1" s="18" t="s">
        <v>26</v>
      </c>
      <c r="B1" s="18" t="s">
        <v>1</v>
      </c>
      <c r="C1" s="18" t="s">
        <v>133</v>
      </c>
      <c r="D1" s="18" t="s">
        <v>28</v>
      </c>
      <c r="E1" s="12" t="s">
        <v>134</v>
      </c>
      <c r="F1" s="14" t="s">
        <v>135</v>
      </c>
      <c r="G1" s="14" t="s">
        <v>136</v>
      </c>
      <c r="H1" s="14" t="s">
        <v>137</v>
      </c>
      <c r="I1" s="14" t="s">
        <v>138</v>
      </c>
      <c r="J1" s="54" t="s">
        <v>139</v>
      </c>
      <c r="L1" s="14" t="s">
        <v>140</v>
      </c>
      <c r="M1" s="76">
        <v>3.0000000000000001E-3</v>
      </c>
    </row>
    <row r="2" spans="1:14" x14ac:dyDescent="0.25">
      <c r="A2" s="15" t="s">
        <v>34</v>
      </c>
      <c r="B2" s="16">
        <v>41428</v>
      </c>
      <c r="C2" s="17">
        <v>-0.7782</v>
      </c>
      <c r="D2" s="17">
        <v>-0.65359999999999996</v>
      </c>
      <c r="E2" s="11">
        <f>D2-$M$1</f>
        <v>-0.65659999999999996</v>
      </c>
      <c r="L2" s="14" t="s">
        <v>141</v>
      </c>
      <c r="M2" s="13">
        <f>INTERCEPT(C2:C724,E2:E724)</f>
        <v>4.5473990785924338E-2</v>
      </c>
      <c r="N2" s="13" t="s">
        <v>142</v>
      </c>
    </row>
    <row r="3" spans="1:14" x14ac:dyDescent="0.25">
      <c r="A3" s="15" t="s">
        <v>34</v>
      </c>
      <c r="B3" s="16">
        <v>41429</v>
      </c>
      <c r="C3" s="17">
        <v>-0.98140000000000005</v>
      </c>
      <c r="D3" s="17">
        <v>-0.1196</v>
      </c>
      <c r="E3" s="11">
        <f t="shared" ref="E3:E66" si="0">D3-$M$1</f>
        <v>-0.1226</v>
      </c>
      <c r="L3" s="14" t="s">
        <v>143</v>
      </c>
      <c r="M3" s="13">
        <f>SLOPE(C2:C724,E2:E724)</f>
        <v>1.1845491356801048</v>
      </c>
      <c r="N3" s="13" t="s">
        <v>144</v>
      </c>
    </row>
    <row r="4" spans="1:14" x14ac:dyDescent="0.25">
      <c r="A4" s="15" t="s">
        <v>34</v>
      </c>
      <c r="B4" s="16">
        <v>41430</v>
      </c>
      <c r="C4" s="17">
        <v>-0.79210000000000003</v>
      </c>
      <c r="D4" s="17">
        <v>-0.1137</v>
      </c>
      <c r="E4" s="11">
        <f t="shared" si="0"/>
        <v>-0.1167</v>
      </c>
      <c r="L4" s="14" t="s">
        <v>145</v>
      </c>
      <c r="M4" s="13">
        <f>STEYX(C2:C724,E2:E724)</f>
        <v>1.7370210444331091</v>
      </c>
      <c r="N4" s="13" t="s">
        <v>146</v>
      </c>
    </row>
    <row r="5" spans="1:14" x14ac:dyDescent="0.25">
      <c r="A5" s="15" t="s">
        <v>34</v>
      </c>
      <c r="B5" s="16">
        <v>41431</v>
      </c>
      <c r="C5" s="17">
        <v>-3.4382000000000001</v>
      </c>
      <c r="D5" s="17">
        <v>-1.0538000000000001</v>
      </c>
      <c r="E5" s="11">
        <f t="shared" si="0"/>
        <v>-1.0568</v>
      </c>
    </row>
    <row r="6" spans="1:14" x14ac:dyDescent="0.25">
      <c r="A6" s="15" t="s">
        <v>34</v>
      </c>
      <c r="B6" s="16">
        <v>41432</v>
      </c>
      <c r="C6" s="17">
        <v>0.81969999999999998</v>
      </c>
      <c r="D6" s="17">
        <v>-1.1599999999999999E-2</v>
      </c>
      <c r="E6" s="11">
        <f t="shared" si="0"/>
        <v>-1.4599999999999998E-2</v>
      </c>
    </row>
    <row r="7" spans="1:14" hidden="1" x14ac:dyDescent="0.25">
      <c r="A7" s="15" t="s">
        <v>34</v>
      </c>
      <c r="B7" s="16">
        <v>41435</v>
      </c>
      <c r="C7" s="17">
        <v>1.8201000000000001</v>
      </c>
      <c r="D7" s="17">
        <v>0.80400000000000005</v>
      </c>
      <c r="E7" s="11">
        <f t="shared" si="0"/>
        <v>0.80100000000000005</v>
      </c>
    </row>
    <row r="8" spans="1:14" hidden="1" x14ac:dyDescent="0.25">
      <c r="A8" s="15" t="s">
        <v>34</v>
      </c>
      <c r="B8" s="16">
        <v>41436</v>
      </c>
      <c r="C8" s="17">
        <v>1.1952</v>
      </c>
      <c r="D8" s="17">
        <v>-0.54559999999999997</v>
      </c>
      <c r="E8" s="11">
        <f t="shared" si="0"/>
        <v>-0.54859999999999998</v>
      </c>
    </row>
    <row r="9" spans="1:14" hidden="1" x14ac:dyDescent="0.25">
      <c r="A9" s="15" t="s">
        <v>34</v>
      </c>
      <c r="B9" s="16">
        <v>41438</v>
      </c>
      <c r="C9" s="17">
        <v>-3.2195999999999998</v>
      </c>
      <c r="D9" s="17">
        <v>-2.0474999999999999</v>
      </c>
      <c r="E9" s="11">
        <f t="shared" si="0"/>
        <v>-2.0505</v>
      </c>
    </row>
    <row r="10" spans="1:14" hidden="1" x14ac:dyDescent="0.25">
      <c r="A10" s="15" t="s">
        <v>34</v>
      </c>
      <c r="B10" s="16">
        <v>41439</v>
      </c>
      <c r="C10" s="17">
        <v>-0.4098</v>
      </c>
      <c r="D10" s="17">
        <v>-0.17519999999999999</v>
      </c>
      <c r="E10" s="11">
        <f t="shared" si="0"/>
        <v>-0.1782</v>
      </c>
    </row>
    <row r="11" spans="1:14" hidden="1" x14ac:dyDescent="0.25">
      <c r="A11" s="15" t="s">
        <v>34</v>
      </c>
      <c r="B11" s="16">
        <v>41442</v>
      </c>
      <c r="C11" s="17">
        <v>2.2336</v>
      </c>
      <c r="D11" s="17">
        <v>0.69240000000000002</v>
      </c>
      <c r="E11" s="11">
        <f t="shared" si="0"/>
        <v>0.68940000000000001</v>
      </c>
    </row>
    <row r="12" spans="1:14" hidden="1" x14ac:dyDescent="0.25">
      <c r="A12" s="15" t="s">
        <v>34</v>
      </c>
      <c r="B12" s="16">
        <v>41443</v>
      </c>
      <c r="C12" s="17">
        <v>1.5936999999999999</v>
      </c>
      <c r="D12" s="17">
        <v>0.2266</v>
      </c>
      <c r="E12" s="11">
        <f t="shared" si="0"/>
        <v>0.22359999999999999</v>
      </c>
    </row>
    <row r="13" spans="1:14" hidden="1" x14ac:dyDescent="0.25">
      <c r="A13" s="15" t="s">
        <v>34</v>
      </c>
      <c r="B13" s="16">
        <v>41444</v>
      </c>
      <c r="C13" s="17">
        <v>-0.39600000000000002</v>
      </c>
      <c r="D13" s="17">
        <v>-4.53E-2</v>
      </c>
      <c r="E13" s="11">
        <f t="shared" si="0"/>
        <v>-4.8300000000000003E-2</v>
      </c>
    </row>
    <row r="14" spans="1:14" hidden="1" x14ac:dyDescent="0.25">
      <c r="A14" s="15" t="s">
        <v>34</v>
      </c>
      <c r="B14" s="16">
        <v>41445</v>
      </c>
      <c r="C14" s="17">
        <v>-1.6</v>
      </c>
      <c r="D14" s="17">
        <v>-1.3640000000000001</v>
      </c>
      <c r="E14" s="11">
        <f t="shared" si="0"/>
        <v>-1.367</v>
      </c>
    </row>
    <row r="15" spans="1:14" hidden="1" x14ac:dyDescent="0.25">
      <c r="A15" s="15" t="s">
        <v>34</v>
      </c>
      <c r="B15" s="16">
        <v>41446</v>
      </c>
      <c r="C15" s="17">
        <v>-1.4213</v>
      </c>
      <c r="D15" s="17">
        <v>-1.3459000000000001</v>
      </c>
      <c r="E15" s="11">
        <f t="shared" si="0"/>
        <v>-1.3489</v>
      </c>
    </row>
    <row r="16" spans="1:14" hidden="1" x14ac:dyDescent="0.25">
      <c r="A16" s="15" t="s">
        <v>34</v>
      </c>
      <c r="B16" s="16">
        <v>41449</v>
      </c>
      <c r="C16" s="17">
        <v>0.61160000000000003</v>
      </c>
      <c r="D16" s="17">
        <v>-0.45369999999999999</v>
      </c>
      <c r="E16" s="11">
        <f t="shared" si="0"/>
        <v>-0.45669999999999999</v>
      </c>
    </row>
    <row r="17" spans="1:5" hidden="1" x14ac:dyDescent="0.25">
      <c r="A17" s="15" t="s">
        <v>34</v>
      </c>
      <c r="B17" s="16">
        <v>41450</v>
      </c>
      <c r="C17" s="17">
        <v>-1.2270000000000001</v>
      </c>
      <c r="D17" s="17">
        <v>-1.2295</v>
      </c>
      <c r="E17" s="11">
        <f t="shared" si="0"/>
        <v>-1.2324999999999999</v>
      </c>
    </row>
    <row r="18" spans="1:5" hidden="1" x14ac:dyDescent="0.25">
      <c r="A18" s="15" t="s">
        <v>34</v>
      </c>
      <c r="B18" s="16">
        <v>41451</v>
      </c>
      <c r="C18" s="17">
        <v>1.2270000000000001</v>
      </c>
      <c r="D18" s="17">
        <v>1.5740000000000001</v>
      </c>
      <c r="E18" s="11">
        <f t="shared" si="0"/>
        <v>1.5710000000000002</v>
      </c>
    </row>
    <row r="19" spans="1:5" hidden="1" x14ac:dyDescent="0.25">
      <c r="A19" s="15" t="s">
        <v>34</v>
      </c>
      <c r="B19" s="16">
        <v>41452</v>
      </c>
      <c r="C19" s="17">
        <v>1.6129</v>
      </c>
      <c r="D19" s="17">
        <v>1.2649999999999999</v>
      </c>
      <c r="E19" s="11">
        <f t="shared" si="0"/>
        <v>1.262</v>
      </c>
    </row>
    <row r="20" spans="1:5" hidden="1" x14ac:dyDescent="0.25">
      <c r="A20" s="15" t="s">
        <v>34</v>
      </c>
      <c r="B20" s="16">
        <v>41453</v>
      </c>
      <c r="C20" s="17">
        <v>0.59819999999999995</v>
      </c>
      <c r="D20" s="17">
        <v>2.2364999999999999</v>
      </c>
      <c r="E20" s="11">
        <f t="shared" si="0"/>
        <v>2.2334999999999998</v>
      </c>
    </row>
    <row r="21" spans="1:5" hidden="1" x14ac:dyDescent="0.25">
      <c r="A21" s="15" t="s">
        <v>34</v>
      </c>
      <c r="B21" s="16">
        <v>41456</v>
      </c>
      <c r="C21" s="17">
        <v>0.98909999999999998</v>
      </c>
      <c r="D21" s="17">
        <v>-0.3256</v>
      </c>
      <c r="E21" s="11">
        <f t="shared" si="0"/>
        <v>-0.3286</v>
      </c>
    </row>
    <row r="22" spans="1:5" hidden="1" x14ac:dyDescent="0.25">
      <c r="A22" s="15" t="s">
        <v>34</v>
      </c>
      <c r="B22" s="16">
        <v>41457</v>
      </c>
      <c r="C22" s="17">
        <v>0.39290000000000003</v>
      </c>
      <c r="D22" s="17">
        <v>-0.25090000000000001</v>
      </c>
      <c r="E22" s="11">
        <f t="shared" si="0"/>
        <v>-0.25390000000000001</v>
      </c>
    </row>
    <row r="23" spans="1:5" hidden="1" x14ac:dyDescent="0.25">
      <c r="A23" s="15" t="s">
        <v>34</v>
      </c>
      <c r="B23" s="16">
        <v>41458</v>
      </c>
      <c r="C23" s="17">
        <v>0</v>
      </c>
      <c r="D23" s="17">
        <v>-1.3115000000000001</v>
      </c>
      <c r="E23" s="11">
        <f t="shared" si="0"/>
        <v>-1.3145</v>
      </c>
    </row>
    <row r="24" spans="1:5" hidden="1" x14ac:dyDescent="0.25">
      <c r="A24" s="15" t="s">
        <v>34</v>
      </c>
      <c r="B24" s="16">
        <v>41459</v>
      </c>
      <c r="C24" s="17">
        <v>0</v>
      </c>
      <c r="D24" s="17">
        <v>-0.224</v>
      </c>
      <c r="E24" s="11">
        <f t="shared" si="0"/>
        <v>-0.22700000000000001</v>
      </c>
    </row>
    <row r="25" spans="1:5" hidden="1" x14ac:dyDescent="0.25">
      <c r="A25" s="15" t="s">
        <v>34</v>
      </c>
      <c r="B25" s="16">
        <v>41460</v>
      </c>
      <c r="C25" s="17">
        <v>0</v>
      </c>
      <c r="D25" s="17">
        <v>1.3602000000000001</v>
      </c>
      <c r="E25" s="11">
        <f t="shared" si="0"/>
        <v>1.3572000000000002</v>
      </c>
    </row>
    <row r="26" spans="1:5" hidden="1" x14ac:dyDescent="0.25">
      <c r="A26" s="15" t="s">
        <v>34</v>
      </c>
      <c r="B26" s="16">
        <v>41463</v>
      </c>
      <c r="C26" s="17">
        <v>-2.7835000000000001</v>
      </c>
      <c r="D26" s="17">
        <v>-1.4537</v>
      </c>
      <c r="E26" s="11">
        <f t="shared" si="0"/>
        <v>-1.4566999999999999</v>
      </c>
    </row>
    <row r="27" spans="1:5" hidden="1" x14ac:dyDescent="0.25">
      <c r="A27" s="15" t="s">
        <v>34</v>
      </c>
      <c r="B27" s="16">
        <v>41464</v>
      </c>
      <c r="C27" s="17">
        <v>2.1934999999999998</v>
      </c>
      <c r="D27" s="17">
        <v>1.07</v>
      </c>
      <c r="E27" s="11">
        <f t="shared" si="0"/>
        <v>1.0670000000000002</v>
      </c>
    </row>
    <row r="28" spans="1:5" hidden="1" x14ac:dyDescent="0.25">
      <c r="A28" s="15" t="s">
        <v>34</v>
      </c>
      <c r="B28" s="16">
        <v>41465</v>
      </c>
      <c r="C28" s="17">
        <v>-0.39529999999999998</v>
      </c>
      <c r="D28" s="17">
        <v>0.50690000000000002</v>
      </c>
      <c r="E28" s="11">
        <f t="shared" si="0"/>
        <v>0.50390000000000001</v>
      </c>
    </row>
    <row r="29" spans="1:5" hidden="1" x14ac:dyDescent="0.25">
      <c r="A29" s="15" t="s">
        <v>34</v>
      </c>
      <c r="B29" s="16">
        <v>41466</v>
      </c>
      <c r="C29" s="17">
        <v>1.3766</v>
      </c>
      <c r="D29" s="17">
        <v>2.0733999999999999</v>
      </c>
      <c r="E29" s="11">
        <f t="shared" si="0"/>
        <v>2.0703999999999998</v>
      </c>
    </row>
    <row r="30" spans="1:5" hidden="1" x14ac:dyDescent="0.25">
      <c r="A30" s="15" t="s">
        <v>34</v>
      </c>
      <c r="B30" s="16">
        <v>41467</v>
      </c>
      <c r="C30" s="17">
        <v>0</v>
      </c>
      <c r="D30" s="17">
        <v>0.49940000000000001</v>
      </c>
      <c r="E30" s="11">
        <f t="shared" si="0"/>
        <v>0.49640000000000001</v>
      </c>
    </row>
    <row r="31" spans="1:5" hidden="1" x14ac:dyDescent="0.25">
      <c r="A31" s="15" t="s">
        <v>34</v>
      </c>
      <c r="B31" s="16">
        <v>41470</v>
      </c>
      <c r="C31" s="17">
        <v>-0.39140000000000003</v>
      </c>
      <c r="D31" s="17">
        <v>0.41499999999999998</v>
      </c>
      <c r="E31" s="11">
        <f t="shared" si="0"/>
        <v>0.41199999999999998</v>
      </c>
    </row>
    <row r="32" spans="1:5" hidden="1" x14ac:dyDescent="0.25">
      <c r="A32" s="15" t="s">
        <v>34</v>
      </c>
      <c r="B32" s="16">
        <v>41471</v>
      </c>
      <c r="C32" s="17">
        <v>-0.59</v>
      </c>
      <c r="D32" s="17">
        <v>6.5799999999999997E-2</v>
      </c>
      <c r="E32" s="11">
        <f t="shared" si="0"/>
        <v>6.2799999999999995E-2</v>
      </c>
    </row>
    <row r="33" spans="1:5" hidden="1" x14ac:dyDescent="0.25">
      <c r="A33" s="15" t="s">
        <v>34</v>
      </c>
      <c r="B33" s="16">
        <v>41472</v>
      </c>
      <c r="C33" s="17">
        <v>-0.19739999999999999</v>
      </c>
      <c r="D33" s="17">
        <v>-1.4E-2</v>
      </c>
      <c r="E33" s="11">
        <f t="shared" si="0"/>
        <v>-1.7000000000000001E-2</v>
      </c>
    </row>
    <row r="34" spans="1:5" hidden="1" x14ac:dyDescent="0.25">
      <c r="A34" s="15" t="s">
        <v>34</v>
      </c>
      <c r="B34" s="16">
        <v>41473</v>
      </c>
      <c r="C34" s="17">
        <v>-1.1929000000000001</v>
      </c>
      <c r="D34" s="17">
        <v>-0.77880000000000005</v>
      </c>
      <c r="E34" s="11">
        <f t="shared" si="0"/>
        <v>-0.78180000000000005</v>
      </c>
    </row>
    <row r="35" spans="1:5" hidden="1" x14ac:dyDescent="0.25">
      <c r="A35" s="15" t="s">
        <v>34</v>
      </c>
      <c r="B35" s="16">
        <v>41474</v>
      </c>
      <c r="C35" s="17">
        <v>-2.0203000000000002</v>
      </c>
      <c r="D35" s="17">
        <v>-1.6344000000000001</v>
      </c>
      <c r="E35" s="11">
        <f t="shared" si="0"/>
        <v>-1.6374</v>
      </c>
    </row>
    <row r="36" spans="1:5" hidden="1" x14ac:dyDescent="0.25">
      <c r="A36" s="15" t="s">
        <v>34</v>
      </c>
      <c r="B36" s="16">
        <v>41477</v>
      </c>
      <c r="C36" s="17">
        <v>2.4195000000000002</v>
      </c>
      <c r="D36" s="17">
        <v>0.53710000000000002</v>
      </c>
      <c r="E36" s="11">
        <f t="shared" si="0"/>
        <v>0.53410000000000002</v>
      </c>
    </row>
    <row r="37" spans="1:5" hidden="1" x14ac:dyDescent="0.25">
      <c r="A37" s="15" t="s">
        <v>34</v>
      </c>
      <c r="B37" s="16">
        <v>41478</v>
      </c>
      <c r="C37" s="17">
        <v>0.19900000000000001</v>
      </c>
      <c r="D37" s="17">
        <v>1.3382000000000001</v>
      </c>
      <c r="E37" s="11">
        <f t="shared" si="0"/>
        <v>1.3352000000000002</v>
      </c>
    </row>
    <row r="38" spans="1:5" hidden="1" x14ac:dyDescent="0.25">
      <c r="A38" s="15" t="s">
        <v>34</v>
      </c>
      <c r="B38" s="16">
        <v>41479</v>
      </c>
      <c r="C38" s="17">
        <v>0.39679999999999999</v>
      </c>
      <c r="D38" s="17">
        <v>-0.22500000000000001</v>
      </c>
      <c r="E38" s="11">
        <f t="shared" si="0"/>
        <v>-0.22800000000000001</v>
      </c>
    </row>
    <row r="39" spans="1:5" hidden="1" x14ac:dyDescent="0.25">
      <c r="A39" s="15" t="s">
        <v>34</v>
      </c>
      <c r="B39" s="16">
        <v>41480</v>
      </c>
      <c r="C39" s="17">
        <v>-1.5968</v>
      </c>
      <c r="D39" s="17">
        <v>-0.3987</v>
      </c>
      <c r="E39" s="11">
        <f t="shared" si="0"/>
        <v>-0.4017</v>
      </c>
    </row>
    <row r="40" spans="1:5" hidden="1" x14ac:dyDescent="0.25">
      <c r="A40" s="15" t="s">
        <v>34</v>
      </c>
      <c r="B40" s="16">
        <v>41481</v>
      </c>
      <c r="C40" s="17">
        <v>1.0009999999999999</v>
      </c>
      <c r="D40" s="17">
        <v>-0.17380000000000001</v>
      </c>
      <c r="E40" s="11">
        <f t="shared" si="0"/>
        <v>-0.17680000000000001</v>
      </c>
    </row>
    <row r="41" spans="1:5" hidden="1" x14ac:dyDescent="0.25">
      <c r="A41" s="15" t="s">
        <v>34</v>
      </c>
      <c r="B41" s="16">
        <v>41484</v>
      </c>
      <c r="C41" s="17">
        <v>-0.19939999999999999</v>
      </c>
      <c r="D41" s="17">
        <v>-0.79959999999999998</v>
      </c>
      <c r="E41" s="11">
        <f t="shared" si="0"/>
        <v>-0.80259999999999998</v>
      </c>
    </row>
    <row r="42" spans="1:5" hidden="1" x14ac:dyDescent="0.25">
      <c r="A42" s="15" t="s">
        <v>34</v>
      </c>
      <c r="B42" s="16">
        <v>41485</v>
      </c>
      <c r="C42" s="17">
        <v>1.3854</v>
      </c>
      <c r="D42" s="17">
        <v>0.97299999999999998</v>
      </c>
      <c r="E42" s="11">
        <f t="shared" si="0"/>
        <v>0.97</v>
      </c>
    </row>
    <row r="43" spans="1:5" hidden="1" x14ac:dyDescent="0.25">
      <c r="A43" s="15" t="s">
        <v>34</v>
      </c>
      <c r="B43" s="16">
        <v>41486</v>
      </c>
      <c r="C43" s="17">
        <v>1.0215000000000001</v>
      </c>
      <c r="D43" s="17">
        <v>-0.6835</v>
      </c>
      <c r="E43" s="11">
        <f t="shared" si="0"/>
        <v>-0.6865</v>
      </c>
    </row>
    <row r="44" spans="1:5" hidden="1" x14ac:dyDescent="0.25">
      <c r="A44" s="15" t="s">
        <v>34</v>
      </c>
      <c r="B44" s="16">
        <v>41487</v>
      </c>
      <c r="C44" s="17">
        <v>0</v>
      </c>
      <c r="D44" s="17">
        <v>-0.63990000000000002</v>
      </c>
      <c r="E44" s="11">
        <f t="shared" si="0"/>
        <v>-0.64290000000000003</v>
      </c>
    </row>
    <row r="45" spans="1:5" hidden="1" x14ac:dyDescent="0.25">
      <c r="A45" s="15" t="s">
        <v>34</v>
      </c>
      <c r="B45" s="16">
        <v>41488</v>
      </c>
      <c r="C45" s="17">
        <v>1.0111000000000001</v>
      </c>
      <c r="D45" s="17">
        <v>0.54049999999999998</v>
      </c>
      <c r="E45" s="11">
        <f t="shared" si="0"/>
        <v>0.53749999999999998</v>
      </c>
    </row>
    <row r="46" spans="1:5" hidden="1" x14ac:dyDescent="0.25">
      <c r="A46" s="15" t="s">
        <v>34</v>
      </c>
      <c r="B46" s="16">
        <v>41491</v>
      </c>
      <c r="C46" s="17">
        <v>0.6018</v>
      </c>
      <c r="D46" s="17">
        <v>0.4773</v>
      </c>
      <c r="E46" s="11">
        <f t="shared" si="0"/>
        <v>0.4743</v>
      </c>
    </row>
    <row r="47" spans="1:5" hidden="1" x14ac:dyDescent="0.25">
      <c r="A47" s="15" t="s">
        <v>34</v>
      </c>
      <c r="B47" s="16">
        <v>41492</v>
      </c>
      <c r="C47" s="17">
        <v>-1.4098999999999999</v>
      </c>
      <c r="D47" s="17">
        <v>-1.2327999999999999</v>
      </c>
      <c r="E47" s="11">
        <f t="shared" si="0"/>
        <v>-1.2357999999999998</v>
      </c>
    </row>
    <row r="48" spans="1:5" hidden="1" x14ac:dyDescent="0.25">
      <c r="A48" s="15" t="s">
        <v>34</v>
      </c>
      <c r="B48" s="16">
        <v>41493</v>
      </c>
      <c r="C48" s="17">
        <v>-1.0194000000000001</v>
      </c>
      <c r="D48" s="17">
        <v>-1.4739</v>
      </c>
      <c r="E48" s="11">
        <f t="shared" si="0"/>
        <v>-1.4768999999999999</v>
      </c>
    </row>
    <row r="49" spans="1:5" hidden="1" x14ac:dyDescent="0.25">
      <c r="A49" s="15" t="s">
        <v>34</v>
      </c>
      <c r="B49" s="16">
        <v>41494</v>
      </c>
      <c r="C49" s="17">
        <v>0</v>
      </c>
      <c r="D49" s="17">
        <v>-0.1721</v>
      </c>
      <c r="E49" s="11">
        <f t="shared" si="0"/>
        <v>-0.17510000000000001</v>
      </c>
    </row>
    <row r="50" spans="1:5" hidden="1" x14ac:dyDescent="0.25">
      <c r="A50" s="15" t="s">
        <v>34</v>
      </c>
      <c r="B50" s="16">
        <v>41495</v>
      </c>
      <c r="C50" s="17">
        <v>-0.2051</v>
      </c>
      <c r="D50" s="17">
        <v>-0.65380000000000005</v>
      </c>
      <c r="E50" s="11">
        <f t="shared" si="0"/>
        <v>-0.65680000000000005</v>
      </c>
    </row>
    <row r="51" spans="1:5" hidden="1" x14ac:dyDescent="0.25">
      <c r="A51" s="15" t="s">
        <v>34</v>
      </c>
      <c r="B51" s="16">
        <v>41498</v>
      </c>
      <c r="C51" s="17">
        <v>-0.41149999999999998</v>
      </c>
      <c r="D51" s="17">
        <v>0.59950000000000003</v>
      </c>
      <c r="E51" s="11">
        <f t="shared" si="0"/>
        <v>0.59650000000000003</v>
      </c>
    </row>
    <row r="52" spans="1:5" hidden="1" x14ac:dyDescent="0.25">
      <c r="A52" s="15" t="s">
        <v>34</v>
      </c>
      <c r="B52" s="16">
        <v>41499</v>
      </c>
      <c r="C52" s="17">
        <v>2.2427000000000001</v>
      </c>
      <c r="D52" s="17">
        <v>1.0432999999999999</v>
      </c>
      <c r="E52" s="11">
        <f t="shared" si="0"/>
        <v>1.0403</v>
      </c>
    </row>
    <row r="53" spans="1:5" hidden="1" x14ac:dyDescent="0.25">
      <c r="A53" s="15" t="s">
        <v>34</v>
      </c>
      <c r="B53" s="16">
        <v>41500</v>
      </c>
      <c r="C53" s="17">
        <v>0.2014</v>
      </c>
      <c r="D53" s="17">
        <v>-0.4385</v>
      </c>
      <c r="E53" s="11">
        <f t="shared" si="0"/>
        <v>-0.4415</v>
      </c>
    </row>
    <row r="54" spans="1:5" hidden="1" x14ac:dyDescent="0.25">
      <c r="A54" s="15" t="s">
        <v>34</v>
      </c>
      <c r="B54" s="16">
        <v>41501</v>
      </c>
      <c r="C54" s="17">
        <v>-0.2014</v>
      </c>
      <c r="D54" s="17">
        <v>-0.80900000000000005</v>
      </c>
      <c r="E54" s="11">
        <f t="shared" si="0"/>
        <v>-0.81200000000000006</v>
      </c>
    </row>
    <row r="55" spans="1:5" hidden="1" x14ac:dyDescent="0.25">
      <c r="A55" s="15" t="s">
        <v>34</v>
      </c>
      <c r="B55" s="16">
        <v>41502</v>
      </c>
      <c r="C55" s="17">
        <v>0.40239999999999998</v>
      </c>
      <c r="D55" s="17">
        <v>0.47739999999999999</v>
      </c>
      <c r="E55" s="11">
        <f t="shared" si="0"/>
        <v>0.47439999999999999</v>
      </c>
    </row>
    <row r="56" spans="1:5" hidden="1" x14ac:dyDescent="0.25">
      <c r="A56" s="15" t="s">
        <v>34</v>
      </c>
      <c r="B56" s="16">
        <v>41505</v>
      </c>
      <c r="C56" s="17">
        <v>-0.40239999999999998</v>
      </c>
      <c r="D56" s="17">
        <v>-0.31330000000000002</v>
      </c>
      <c r="E56" s="11">
        <f t="shared" si="0"/>
        <v>-0.31630000000000003</v>
      </c>
    </row>
    <row r="57" spans="1:5" hidden="1" x14ac:dyDescent="0.25">
      <c r="A57" s="15" t="s">
        <v>34</v>
      </c>
      <c r="B57" s="16">
        <v>41506</v>
      </c>
      <c r="C57" s="17">
        <v>-0.20180000000000001</v>
      </c>
      <c r="D57" s="17">
        <v>-0.85880000000000001</v>
      </c>
      <c r="E57" s="11">
        <f t="shared" si="0"/>
        <v>-0.86180000000000001</v>
      </c>
    </row>
    <row r="58" spans="1:5" hidden="1" x14ac:dyDescent="0.25">
      <c r="A58" s="15" t="s">
        <v>34</v>
      </c>
      <c r="B58" s="16">
        <v>41508</v>
      </c>
      <c r="C58" s="17">
        <v>0.60419999999999996</v>
      </c>
      <c r="D58" s="17">
        <v>-0.23350000000000001</v>
      </c>
      <c r="E58" s="11">
        <f t="shared" si="0"/>
        <v>-0.23650000000000002</v>
      </c>
    </row>
    <row r="59" spans="1:5" hidden="1" x14ac:dyDescent="0.25">
      <c r="A59" s="15" t="s">
        <v>34</v>
      </c>
      <c r="B59" s="16">
        <v>41509</v>
      </c>
      <c r="C59" s="17">
        <v>-0.40239999999999998</v>
      </c>
      <c r="D59" s="17">
        <v>0.75129999999999997</v>
      </c>
      <c r="E59" s="11">
        <f t="shared" si="0"/>
        <v>0.74829999999999997</v>
      </c>
    </row>
    <row r="60" spans="1:5" hidden="1" x14ac:dyDescent="0.25">
      <c r="A60" s="15" t="s">
        <v>34</v>
      </c>
      <c r="B60" s="16">
        <v>41512</v>
      </c>
      <c r="C60" s="17">
        <v>0</v>
      </c>
      <c r="D60" s="17">
        <v>0.2747</v>
      </c>
      <c r="E60" s="11">
        <f t="shared" si="0"/>
        <v>0.2717</v>
      </c>
    </row>
    <row r="61" spans="1:5" hidden="1" x14ac:dyDescent="0.25">
      <c r="A61" s="15" t="s">
        <v>34</v>
      </c>
      <c r="B61" s="16">
        <v>41513</v>
      </c>
      <c r="C61" s="17">
        <v>0.80320000000000003</v>
      </c>
      <c r="D61" s="17">
        <v>-0.94340000000000002</v>
      </c>
      <c r="E61" s="11">
        <f t="shared" si="0"/>
        <v>-0.94640000000000002</v>
      </c>
    </row>
    <row r="62" spans="1:5" hidden="1" x14ac:dyDescent="0.25">
      <c r="A62" s="15" t="s">
        <v>34</v>
      </c>
      <c r="B62" s="16">
        <v>41514</v>
      </c>
      <c r="C62" s="17">
        <v>0.79679999999999995</v>
      </c>
      <c r="D62" s="17">
        <v>4.7300000000000002E-2</v>
      </c>
      <c r="E62" s="11">
        <f t="shared" si="0"/>
        <v>4.4299999999999999E-2</v>
      </c>
    </row>
    <row r="63" spans="1:5" hidden="1" x14ac:dyDescent="0.25">
      <c r="A63" s="15" t="s">
        <v>34</v>
      </c>
      <c r="B63" s="16">
        <v>41515</v>
      </c>
      <c r="C63" s="17">
        <v>0.98719999999999997</v>
      </c>
      <c r="D63" s="17">
        <v>1.1831</v>
      </c>
      <c r="E63" s="11">
        <f t="shared" si="0"/>
        <v>1.1801000000000001</v>
      </c>
    </row>
    <row r="64" spans="1:5" hidden="1" x14ac:dyDescent="0.25">
      <c r="A64" s="15" t="s">
        <v>34</v>
      </c>
      <c r="B64" s="16">
        <v>41516</v>
      </c>
      <c r="C64" s="17">
        <v>3.8540000000000001</v>
      </c>
      <c r="D64" s="17">
        <v>1.3078000000000001</v>
      </c>
      <c r="E64" s="11">
        <f t="shared" si="0"/>
        <v>1.3048000000000002</v>
      </c>
    </row>
    <row r="65" spans="1:5" hidden="1" x14ac:dyDescent="0.25">
      <c r="A65" s="15" t="s">
        <v>34</v>
      </c>
      <c r="B65" s="16">
        <v>41519</v>
      </c>
      <c r="C65" s="17">
        <v>1.3146</v>
      </c>
      <c r="D65" s="17">
        <v>0.21129999999999999</v>
      </c>
      <c r="E65" s="11">
        <f t="shared" si="0"/>
        <v>0.20829999999999999</v>
      </c>
    </row>
    <row r="66" spans="1:5" hidden="1" x14ac:dyDescent="0.25">
      <c r="A66" s="15" t="s">
        <v>34</v>
      </c>
      <c r="B66" s="16">
        <v>41520</v>
      </c>
      <c r="C66" s="17">
        <v>0</v>
      </c>
      <c r="D66" s="17">
        <v>0.61399999999999999</v>
      </c>
      <c r="E66" s="11">
        <f t="shared" si="0"/>
        <v>0.61099999999999999</v>
      </c>
    </row>
    <row r="67" spans="1:5" hidden="1" x14ac:dyDescent="0.25">
      <c r="A67" s="15" t="s">
        <v>34</v>
      </c>
      <c r="B67" s="16">
        <v>41521</v>
      </c>
      <c r="C67" s="17">
        <v>0.18640000000000001</v>
      </c>
      <c r="D67" s="17">
        <v>-6.0999999999999999E-2</v>
      </c>
      <c r="E67" s="11">
        <f t="shared" ref="E67:E130" si="1">D67-$M$1</f>
        <v>-6.4000000000000001E-2</v>
      </c>
    </row>
    <row r="68" spans="1:5" hidden="1" x14ac:dyDescent="0.25">
      <c r="A68" s="15" t="s">
        <v>34</v>
      </c>
      <c r="B68" s="16">
        <v>41522</v>
      </c>
      <c r="C68" s="17">
        <v>3.6566999999999998</v>
      </c>
      <c r="D68" s="17">
        <v>1.0541</v>
      </c>
      <c r="E68" s="11">
        <f t="shared" si="1"/>
        <v>1.0511000000000001</v>
      </c>
    </row>
    <row r="69" spans="1:5" hidden="1" x14ac:dyDescent="0.25">
      <c r="A69" s="15" t="s">
        <v>34</v>
      </c>
      <c r="B69" s="16">
        <v>41523</v>
      </c>
      <c r="C69" s="17">
        <v>0</v>
      </c>
      <c r="D69" s="17">
        <v>-0.06</v>
      </c>
      <c r="E69" s="11">
        <f t="shared" si="1"/>
        <v>-6.3E-2</v>
      </c>
    </row>
    <row r="70" spans="1:5" hidden="1" x14ac:dyDescent="0.25">
      <c r="A70" s="15" t="s">
        <v>34</v>
      </c>
      <c r="B70" s="16">
        <v>41526</v>
      </c>
      <c r="C70" s="17">
        <v>0.53720000000000001</v>
      </c>
      <c r="D70" s="17">
        <v>0.34129999999999999</v>
      </c>
      <c r="E70" s="11">
        <f t="shared" si="1"/>
        <v>0.33829999999999999</v>
      </c>
    </row>
    <row r="71" spans="1:5" hidden="1" x14ac:dyDescent="0.25">
      <c r="A71" s="15" t="s">
        <v>34</v>
      </c>
      <c r="B71" s="16">
        <v>41527</v>
      </c>
      <c r="C71" s="17">
        <v>1.77</v>
      </c>
      <c r="D71" s="17">
        <v>0.20319999999999999</v>
      </c>
      <c r="E71" s="11">
        <f t="shared" si="1"/>
        <v>0.20019999999999999</v>
      </c>
    </row>
    <row r="72" spans="1:5" hidden="1" x14ac:dyDescent="0.25">
      <c r="A72" s="15" t="s">
        <v>34</v>
      </c>
      <c r="B72" s="16">
        <v>41528</v>
      </c>
      <c r="C72" s="17">
        <v>-0.35149999999999998</v>
      </c>
      <c r="D72" s="17">
        <v>2.7000000000000001E-3</v>
      </c>
      <c r="E72" s="11">
        <f t="shared" si="1"/>
        <v>-2.9999999999999992E-4</v>
      </c>
    </row>
    <row r="73" spans="1:5" hidden="1" x14ac:dyDescent="0.25">
      <c r="A73" s="15" t="s">
        <v>34</v>
      </c>
      <c r="B73" s="16">
        <v>41529</v>
      </c>
      <c r="C73" s="17">
        <v>-2.1353</v>
      </c>
      <c r="D73" s="17">
        <v>0.19919999999999999</v>
      </c>
      <c r="E73" s="11">
        <f t="shared" si="1"/>
        <v>0.19619999999999999</v>
      </c>
    </row>
    <row r="74" spans="1:5" hidden="1" x14ac:dyDescent="0.25">
      <c r="A74" s="15" t="s">
        <v>34</v>
      </c>
      <c r="B74" s="16">
        <v>41530</v>
      </c>
      <c r="C74" s="17">
        <v>-1.8149</v>
      </c>
      <c r="D74" s="17">
        <v>-0.69730000000000003</v>
      </c>
      <c r="E74" s="11">
        <f t="shared" si="1"/>
        <v>-0.70030000000000003</v>
      </c>
    </row>
    <row r="75" spans="1:5" hidden="1" x14ac:dyDescent="0.25">
      <c r="A75" s="15" t="s">
        <v>34</v>
      </c>
      <c r="B75" s="16">
        <v>41531</v>
      </c>
      <c r="C75" s="17">
        <v>-0.36699999999999999</v>
      </c>
      <c r="D75" s="17">
        <v>-0.31540000000000001</v>
      </c>
      <c r="E75" s="11">
        <f t="shared" si="1"/>
        <v>-0.31840000000000002</v>
      </c>
    </row>
    <row r="76" spans="1:5" hidden="1" x14ac:dyDescent="0.25">
      <c r="A76" s="15" t="s">
        <v>34</v>
      </c>
      <c r="B76" s="16">
        <v>41533</v>
      </c>
      <c r="C76" s="17">
        <v>0.73260000000000003</v>
      </c>
      <c r="D76" s="17">
        <v>1.3765000000000001</v>
      </c>
      <c r="E76" s="11">
        <f t="shared" si="1"/>
        <v>1.3735000000000002</v>
      </c>
    </row>
    <row r="77" spans="1:5" hidden="1" x14ac:dyDescent="0.25">
      <c r="A77" s="15" t="s">
        <v>34</v>
      </c>
      <c r="B77" s="16">
        <v>41534</v>
      </c>
      <c r="C77" s="17">
        <v>0.54600000000000004</v>
      </c>
      <c r="D77" s="17">
        <v>-6.7400000000000002E-2</v>
      </c>
      <c r="E77" s="11">
        <f t="shared" si="1"/>
        <v>-7.0400000000000004E-2</v>
      </c>
    </row>
    <row r="78" spans="1:5" hidden="1" x14ac:dyDescent="0.25">
      <c r="A78" s="15" t="s">
        <v>34</v>
      </c>
      <c r="B78" s="16">
        <v>41535</v>
      </c>
      <c r="C78" s="17">
        <v>-2.0165999999999999</v>
      </c>
      <c r="D78" s="17">
        <v>-0.49330000000000002</v>
      </c>
      <c r="E78" s="11">
        <f t="shared" si="1"/>
        <v>-0.49630000000000002</v>
      </c>
    </row>
    <row r="79" spans="1:5" hidden="1" x14ac:dyDescent="0.25">
      <c r="A79" s="15" t="s">
        <v>34</v>
      </c>
      <c r="B79" s="16">
        <v>41540</v>
      </c>
      <c r="C79" s="17">
        <v>0.36969999999999997</v>
      </c>
      <c r="D79" s="17">
        <v>1.0138</v>
      </c>
      <c r="E79" s="11">
        <f t="shared" si="1"/>
        <v>1.0108000000000001</v>
      </c>
    </row>
    <row r="80" spans="1:5" hidden="1" x14ac:dyDescent="0.25">
      <c r="A80" s="15" t="s">
        <v>34</v>
      </c>
      <c r="B80" s="16">
        <v>41541</v>
      </c>
      <c r="C80" s="17">
        <v>3.0882999999999998</v>
      </c>
      <c r="D80" s="17">
        <v>7.5800000000000006E-2</v>
      </c>
      <c r="E80" s="11">
        <f t="shared" si="1"/>
        <v>7.2800000000000004E-2</v>
      </c>
    </row>
    <row r="81" spans="1:5" hidden="1" x14ac:dyDescent="0.25">
      <c r="A81" s="15" t="s">
        <v>34</v>
      </c>
      <c r="B81" s="16">
        <v>41542</v>
      </c>
      <c r="C81" s="17">
        <v>0.89049999999999996</v>
      </c>
      <c r="D81" s="17">
        <v>-0.18360000000000001</v>
      </c>
      <c r="E81" s="11">
        <f t="shared" si="1"/>
        <v>-0.18660000000000002</v>
      </c>
    </row>
    <row r="82" spans="1:5" hidden="1" x14ac:dyDescent="0.25">
      <c r="A82" s="15" t="s">
        <v>34</v>
      </c>
      <c r="B82" s="16">
        <v>41543</v>
      </c>
      <c r="C82" s="17">
        <v>-0.7117</v>
      </c>
      <c r="D82" s="17">
        <v>-1.2050000000000001</v>
      </c>
      <c r="E82" s="11">
        <f t="shared" si="1"/>
        <v>-1.208</v>
      </c>
    </row>
    <row r="83" spans="1:5" hidden="1" x14ac:dyDescent="0.25">
      <c r="A83" s="15" t="s">
        <v>34</v>
      </c>
      <c r="B83" s="16">
        <v>41544</v>
      </c>
      <c r="C83" s="17">
        <v>0.35649999999999998</v>
      </c>
      <c r="D83" s="17">
        <v>0.5605</v>
      </c>
      <c r="E83" s="11">
        <f t="shared" si="1"/>
        <v>0.5575</v>
      </c>
    </row>
    <row r="84" spans="1:5" hidden="1" x14ac:dyDescent="0.25">
      <c r="A84" s="15" t="s">
        <v>34</v>
      </c>
      <c r="B84" s="16">
        <v>41547</v>
      </c>
      <c r="C84" s="17">
        <v>1.4135</v>
      </c>
      <c r="D84" s="17">
        <v>-0.69259999999999999</v>
      </c>
      <c r="E84" s="11">
        <f t="shared" si="1"/>
        <v>-0.6956</v>
      </c>
    </row>
    <row r="85" spans="1:5" hidden="1" x14ac:dyDescent="0.25">
      <c r="A85" s="15" t="s">
        <v>34</v>
      </c>
      <c r="B85" s="16">
        <v>41548</v>
      </c>
      <c r="C85" s="17">
        <v>-1.4135</v>
      </c>
      <c r="D85" s="17">
        <v>0.16070000000000001</v>
      </c>
      <c r="E85" s="11">
        <f t="shared" si="1"/>
        <v>0.15770000000000001</v>
      </c>
    </row>
    <row r="86" spans="1:5" hidden="1" x14ac:dyDescent="0.25">
      <c r="A86" s="15" t="s">
        <v>34</v>
      </c>
      <c r="B86" s="16">
        <v>41549</v>
      </c>
      <c r="C86" s="17">
        <v>0.88570000000000004</v>
      </c>
      <c r="D86" s="17">
        <v>0.35970000000000002</v>
      </c>
      <c r="E86" s="11">
        <f t="shared" si="1"/>
        <v>0.35670000000000002</v>
      </c>
    </row>
    <row r="87" spans="1:5" hidden="1" x14ac:dyDescent="0.25">
      <c r="A87" s="15" t="s">
        <v>34</v>
      </c>
      <c r="B87" s="16">
        <v>41550</v>
      </c>
      <c r="C87" s="17">
        <v>2.7827999999999999</v>
      </c>
      <c r="D87" s="17">
        <v>1.7194</v>
      </c>
      <c r="E87" s="11">
        <f t="shared" si="1"/>
        <v>1.7164000000000001</v>
      </c>
    </row>
    <row r="88" spans="1:5" hidden="1" x14ac:dyDescent="0.25">
      <c r="A88" s="15" t="s">
        <v>34</v>
      </c>
      <c r="B88" s="16">
        <v>41551</v>
      </c>
      <c r="C88" s="17">
        <v>0.1714</v>
      </c>
      <c r="D88" s="17">
        <v>6.6100000000000006E-2</v>
      </c>
      <c r="E88" s="11">
        <f t="shared" si="1"/>
        <v>6.3100000000000003E-2</v>
      </c>
    </row>
    <row r="89" spans="1:5" hidden="1" x14ac:dyDescent="0.25">
      <c r="A89" s="15" t="s">
        <v>34</v>
      </c>
      <c r="B89" s="16">
        <v>41554</v>
      </c>
      <c r="C89" s="17">
        <v>-2.4264999999999999</v>
      </c>
      <c r="D89" s="17">
        <v>-0.37</v>
      </c>
      <c r="E89" s="11">
        <f t="shared" si="1"/>
        <v>-0.373</v>
      </c>
    </row>
    <row r="90" spans="1:5" hidden="1" x14ac:dyDescent="0.25">
      <c r="A90" s="15" t="s">
        <v>34</v>
      </c>
      <c r="B90" s="16">
        <v>41555</v>
      </c>
      <c r="C90" s="17">
        <v>1.3937999999999999</v>
      </c>
      <c r="D90" s="17">
        <v>0.50260000000000005</v>
      </c>
      <c r="E90" s="11">
        <f t="shared" si="1"/>
        <v>0.49960000000000004</v>
      </c>
    </row>
    <row r="91" spans="1:5" hidden="1" x14ac:dyDescent="0.25">
      <c r="A91" s="15" t="s">
        <v>34</v>
      </c>
      <c r="B91" s="16">
        <v>41556</v>
      </c>
      <c r="C91" s="17">
        <v>0.34539999999999998</v>
      </c>
      <c r="D91" s="17">
        <v>-0.36980000000000002</v>
      </c>
      <c r="E91" s="11">
        <f t="shared" si="1"/>
        <v>-0.37280000000000002</v>
      </c>
    </row>
    <row r="92" spans="1:5" hidden="1" x14ac:dyDescent="0.25">
      <c r="A92" s="15" t="s">
        <v>34</v>
      </c>
      <c r="B92" s="16">
        <v>41558</v>
      </c>
      <c r="C92" s="17">
        <v>2.0478999999999998</v>
      </c>
      <c r="D92" s="17">
        <v>5.5599999999999997E-2</v>
      </c>
      <c r="E92" s="11">
        <f t="shared" si="1"/>
        <v>5.2599999999999994E-2</v>
      </c>
    </row>
    <row r="93" spans="1:5" hidden="1" x14ac:dyDescent="0.25">
      <c r="A93" s="15" t="s">
        <v>34</v>
      </c>
      <c r="B93" s="16">
        <v>41561</v>
      </c>
      <c r="C93" s="17">
        <v>-1.8755999999999999</v>
      </c>
      <c r="D93" s="17">
        <v>-0.9073</v>
      </c>
      <c r="E93" s="11">
        <f t="shared" si="1"/>
        <v>-0.9103</v>
      </c>
    </row>
    <row r="94" spans="1:5" hidden="1" x14ac:dyDescent="0.25">
      <c r="A94" s="15" t="s">
        <v>34</v>
      </c>
      <c r="B94" s="16">
        <v>41562</v>
      </c>
      <c r="C94" s="17">
        <v>1.3674999999999999</v>
      </c>
      <c r="D94" s="17">
        <v>1.1287</v>
      </c>
      <c r="E94" s="11">
        <f t="shared" si="1"/>
        <v>1.1257000000000001</v>
      </c>
    </row>
    <row r="95" spans="1:5" hidden="1" x14ac:dyDescent="0.25">
      <c r="A95" s="15" t="s">
        <v>34</v>
      </c>
      <c r="B95" s="16">
        <v>41563</v>
      </c>
      <c r="C95" s="17">
        <v>-0.85250000000000004</v>
      </c>
      <c r="D95" s="17">
        <v>-0.42749999999999999</v>
      </c>
      <c r="E95" s="11">
        <f t="shared" si="1"/>
        <v>-0.43049999999999999</v>
      </c>
    </row>
    <row r="96" spans="1:5" hidden="1" x14ac:dyDescent="0.25">
      <c r="A96" s="15" t="s">
        <v>34</v>
      </c>
      <c r="B96" s="16">
        <v>41564</v>
      </c>
      <c r="C96" s="17">
        <v>0.85250000000000004</v>
      </c>
      <c r="D96" s="17">
        <v>0.50880000000000003</v>
      </c>
      <c r="E96" s="11">
        <f t="shared" si="1"/>
        <v>0.50580000000000003</v>
      </c>
    </row>
    <row r="97" spans="1:5" hidden="1" x14ac:dyDescent="0.25">
      <c r="A97" s="15" t="s">
        <v>34</v>
      </c>
      <c r="B97" s="16">
        <v>41565</v>
      </c>
      <c r="C97" s="17">
        <v>-0.51060000000000005</v>
      </c>
      <c r="D97" s="17">
        <v>0.79100000000000004</v>
      </c>
      <c r="E97" s="11">
        <f t="shared" si="1"/>
        <v>0.78800000000000003</v>
      </c>
    </row>
    <row r="98" spans="1:5" hidden="1" x14ac:dyDescent="0.25">
      <c r="A98" s="15" t="s">
        <v>34</v>
      </c>
      <c r="B98" s="16">
        <v>41568</v>
      </c>
      <c r="C98" s="17">
        <v>0.17050000000000001</v>
      </c>
      <c r="D98" s="17">
        <v>-0.25940000000000002</v>
      </c>
      <c r="E98" s="11">
        <f t="shared" si="1"/>
        <v>-0.26240000000000002</v>
      </c>
    </row>
    <row r="99" spans="1:5" hidden="1" x14ac:dyDescent="0.25">
      <c r="A99" s="15" t="s">
        <v>34</v>
      </c>
      <c r="B99" s="16">
        <v>41569</v>
      </c>
      <c r="C99" s="17">
        <v>-1.1997</v>
      </c>
      <c r="D99" s="17">
        <v>-1.2500000000000001E-2</v>
      </c>
      <c r="E99" s="11">
        <f t="shared" si="1"/>
        <v>-1.55E-2</v>
      </c>
    </row>
    <row r="100" spans="1:5" hidden="1" x14ac:dyDescent="0.25">
      <c r="A100" s="15" t="s">
        <v>34</v>
      </c>
      <c r="B100" s="16">
        <v>41570</v>
      </c>
      <c r="C100" s="17">
        <v>-1.3889</v>
      </c>
      <c r="D100" s="17">
        <v>-0.29320000000000002</v>
      </c>
      <c r="E100" s="11">
        <f t="shared" si="1"/>
        <v>-0.29620000000000002</v>
      </c>
    </row>
    <row r="101" spans="1:5" hidden="1" x14ac:dyDescent="0.25">
      <c r="A101" s="15" t="s">
        <v>34</v>
      </c>
      <c r="B101" s="16">
        <v>41571</v>
      </c>
      <c r="C101" s="17">
        <v>0.69689999999999996</v>
      </c>
      <c r="D101" s="17">
        <v>0.2392</v>
      </c>
      <c r="E101" s="11">
        <f t="shared" si="1"/>
        <v>0.23619999999999999</v>
      </c>
    </row>
    <row r="102" spans="1:5" hidden="1" x14ac:dyDescent="0.25">
      <c r="A102" s="15" t="s">
        <v>34</v>
      </c>
      <c r="B102" s="16">
        <v>41572</v>
      </c>
      <c r="C102" s="17">
        <v>1.8916999999999999</v>
      </c>
      <c r="D102" s="17">
        <v>-0.80069999999999997</v>
      </c>
      <c r="E102" s="11">
        <f t="shared" si="1"/>
        <v>-0.80369999999999997</v>
      </c>
    </row>
    <row r="103" spans="1:5" hidden="1" x14ac:dyDescent="0.25">
      <c r="A103" s="15" t="s">
        <v>34</v>
      </c>
      <c r="B103" s="16">
        <v>41575</v>
      </c>
      <c r="C103" s="17">
        <v>-1.0274000000000001</v>
      </c>
      <c r="D103" s="17">
        <v>0.73070000000000002</v>
      </c>
      <c r="E103" s="11">
        <f t="shared" si="1"/>
        <v>0.72770000000000001</v>
      </c>
    </row>
    <row r="104" spans="1:5" hidden="1" x14ac:dyDescent="0.25">
      <c r="A104" s="15" t="s">
        <v>34</v>
      </c>
      <c r="B104" s="16">
        <v>41576</v>
      </c>
      <c r="C104" s="17">
        <v>0.51500000000000001</v>
      </c>
      <c r="D104" s="17">
        <v>0.15629999999999999</v>
      </c>
      <c r="E104" s="11">
        <f t="shared" si="1"/>
        <v>0.15329999999999999</v>
      </c>
    </row>
    <row r="105" spans="1:5" hidden="1" x14ac:dyDescent="0.25">
      <c r="A105" s="15" t="s">
        <v>34</v>
      </c>
      <c r="B105" s="16">
        <v>41577</v>
      </c>
      <c r="C105" s="17">
        <v>1.0222</v>
      </c>
      <c r="D105" s="17">
        <v>0.52210000000000001</v>
      </c>
      <c r="E105" s="11">
        <f t="shared" si="1"/>
        <v>0.51910000000000001</v>
      </c>
    </row>
    <row r="106" spans="1:5" hidden="1" x14ac:dyDescent="0.25">
      <c r="A106" s="15" t="s">
        <v>34</v>
      </c>
      <c r="B106" s="16">
        <v>41578</v>
      </c>
      <c r="C106" s="17">
        <v>-2.2280000000000002</v>
      </c>
      <c r="D106" s="17">
        <v>-0.1774</v>
      </c>
      <c r="E106" s="11">
        <f t="shared" si="1"/>
        <v>-0.1804</v>
      </c>
    </row>
    <row r="107" spans="1:5" hidden="1" x14ac:dyDescent="0.25">
      <c r="A107" s="15" t="s">
        <v>34</v>
      </c>
      <c r="B107" s="16">
        <v>41579</v>
      </c>
      <c r="C107" s="17">
        <v>-1.3962000000000001</v>
      </c>
      <c r="D107" s="17">
        <v>-0.73499999999999999</v>
      </c>
      <c r="E107" s="11">
        <f t="shared" si="1"/>
        <v>-0.73799999999999999</v>
      </c>
    </row>
    <row r="108" spans="1:5" hidden="1" x14ac:dyDescent="0.25">
      <c r="A108" s="15" t="s">
        <v>34</v>
      </c>
      <c r="B108" s="16">
        <v>41582</v>
      </c>
      <c r="C108" s="17">
        <v>-0.35210000000000002</v>
      </c>
      <c r="D108" s="17">
        <v>-0.40660000000000002</v>
      </c>
      <c r="E108" s="11">
        <f t="shared" si="1"/>
        <v>-0.40960000000000002</v>
      </c>
    </row>
    <row r="109" spans="1:5" hidden="1" x14ac:dyDescent="0.25">
      <c r="A109" s="15" t="s">
        <v>34</v>
      </c>
      <c r="B109" s="16">
        <v>41583</v>
      </c>
      <c r="C109" s="17">
        <v>-0.35339999999999999</v>
      </c>
      <c r="D109" s="17">
        <v>-1.1066</v>
      </c>
      <c r="E109" s="11">
        <f t="shared" si="1"/>
        <v>-1.1095999999999999</v>
      </c>
    </row>
    <row r="110" spans="1:5" hidden="1" x14ac:dyDescent="0.25">
      <c r="A110" s="15" t="s">
        <v>34</v>
      </c>
      <c r="B110" s="16">
        <v>41584</v>
      </c>
      <c r="C110" s="17">
        <v>1.0563</v>
      </c>
      <c r="D110" s="17">
        <v>0.23899999999999999</v>
      </c>
      <c r="E110" s="11">
        <f t="shared" si="1"/>
        <v>0.23599999999999999</v>
      </c>
    </row>
    <row r="111" spans="1:5" hidden="1" x14ac:dyDescent="0.25">
      <c r="A111" s="15" t="s">
        <v>34</v>
      </c>
      <c r="B111" s="16">
        <v>41585</v>
      </c>
      <c r="C111" s="17">
        <v>0.52400000000000002</v>
      </c>
      <c r="D111" s="17">
        <v>2.1000000000000001E-2</v>
      </c>
      <c r="E111" s="11">
        <f t="shared" si="1"/>
        <v>1.8000000000000002E-2</v>
      </c>
    </row>
    <row r="112" spans="1:5" hidden="1" x14ac:dyDescent="0.25">
      <c r="A112" s="15" t="s">
        <v>34</v>
      </c>
      <c r="B112" s="16">
        <v>41586</v>
      </c>
      <c r="C112" s="17">
        <v>1.3841000000000001</v>
      </c>
      <c r="D112" s="17">
        <v>-0.65549999999999997</v>
      </c>
      <c r="E112" s="11">
        <f t="shared" si="1"/>
        <v>-0.65849999999999997</v>
      </c>
    </row>
    <row r="113" spans="1:5" hidden="1" x14ac:dyDescent="0.25">
      <c r="A113" s="15" t="s">
        <v>34</v>
      </c>
      <c r="B113" s="16">
        <v>41589</v>
      </c>
      <c r="C113" s="17">
        <v>0.34310000000000002</v>
      </c>
      <c r="D113" s="17">
        <v>-0.57310000000000005</v>
      </c>
      <c r="E113" s="11">
        <f t="shared" si="1"/>
        <v>-0.57610000000000006</v>
      </c>
    </row>
    <row r="114" spans="1:5" hidden="1" x14ac:dyDescent="0.25">
      <c r="A114" s="15" t="s">
        <v>34</v>
      </c>
      <c r="B114" s="16">
        <v>41590</v>
      </c>
      <c r="C114" s="17">
        <v>1.0222</v>
      </c>
      <c r="D114" s="17">
        <v>0.15509999999999999</v>
      </c>
      <c r="E114" s="11">
        <f t="shared" si="1"/>
        <v>0.15209999999999999</v>
      </c>
    </row>
    <row r="115" spans="1:5" hidden="1" x14ac:dyDescent="0.25">
      <c r="A115" s="15" t="s">
        <v>34</v>
      </c>
      <c r="B115" s="16">
        <v>41591</v>
      </c>
      <c r="C115" s="17">
        <v>0</v>
      </c>
      <c r="D115" s="17">
        <v>-1.1166</v>
      </c>
      <c r="E115" s="11">
        <f t="shared" si="1"/>
        <v>-1.1195999999999999</v>
      </c>
    </row>
    <row r="116" spans="1:5" hidden="1" x14ac:dyDescent="0.25">
      <c r="A116" s="15" t="s">
        <v>34</v>
      </c>
      <c r="B116" s="16">
        <v>41592</v>
      </c>
      <c r="C116" s="17">
        <v>-1.3652</v>
      </c>
      <c r="D116" s="17">
        <v>0.3775</v>
      </c>
      <c r="E116" s="11">
        <f t="shared" si="1"/>
        <v>0.3745</v>
      </c>
    </row>
    <row r="117" spans="1:5" hidden="1" x14ac:dyDescent="0.25">
      <c r="A117" s="15" t="s">
        <v>34</v>
      </c>
      <c r="B117" s="16">
        <v>41593</v>
      </c>
      <c r="C117" s="17">
        <v>3.3786999999999998</v>
      </c>
      <c r="D117" s="17">
        <v>0.51749999999999996</v>
      </c>
      <c r="E117" s="11">
        <f t="shared" si="1"/>
        <v>0.51449999999999996</v>
      </c>
    </row>
    <row r="118" spans="1:5" hidden="1" x14ac:dyDescent="0.25">
      <c r="A118" s="15" t="s">
        <v>34</v>
      </c>
      <c r="B118" s="16">
        <v>41596</v>
      </c>
      <c r="C118" s="17">
        <v>1.8107</v>
      </c>
      <c r="D118" s="17">
        <v>0.17519999999999999</v>
      </c>
      <c r="E118" s="11">
        <f t="shared" si="1"/>
        <v>0.17219999999999999</v>
      </c>
    </row>
    <row r="119" spans="1:5" hidden="1" x14ac:dyDescent="0.25">
      <c r="A119" s="15" t="s">
        <v>34</v>
      </c>
      <c r="B119" s="16">
        <v>41597</v>
      </c>
      <c r="C119" s="17">
        <v>-0.49059999999999998</v>
      </c>
      <c r="D119" s="17">
        <v>0.83579999999999999</v>
      </c>
      <c r="E119" s="11">
        <f t="shared" si="1"/>
        <v>0.83279999999999998</v>
      </c>
    </row>
    <row r="120" spans="1:5" hidden="1" x14ac:dyDescent="0.25">
      <c r="A120" s="15" t="s">
        <v>34</v>
      </c>
      <c r="B120" s="16">
        <v>41598</v>
      </c>
      <c r="C120" s="17">
        <v>-2.8264999999999998</v>
      </c>
      <c r="D120" s="17">
        <v>-0.67720000000000002</v>
      </c>
      <c r="E120" s="11">
        <f t="shared" si="1"/>
        <v>-0.68020000000000003</v>
      </c>
    </row>
    <row r="121" spans="1:5" hidden="1" x14ac:dyDescent="0.25">
      <c r="A121" s="15" t="s">
        <v>34</v>
      </c>
      <c r="B121" s="16">
        <v>41599</v>
      </c>
      <c r="C121" s="17">
        <v>-3.2565</v>
      </c>
      <c r="D121" s="17">
        <v>-1.2882</v>
      </c>
      <c r="E121" s="11">
        <f t="shared" si="1"/>
        <v>-1.2911999999999999</v>
      </c>
    </row>
    <row r="122" spans="1:5" hidden="1" x14ac:dyDescent="0.25">
      <c r="A122" s="15" t="s">
        <v>34</v>
      </c>
      <c r="B122" s="16">
        <v>41600</v>
      </c>
      <c r="C122" s="17">
        <v>-0.34899999999999998</v>
      </c>
      <c r="D122" s="17">
        <v>0.2137</v>
      </c>
      <c r="E122" s="11">
        <f t="shared" si="1"/>
        <v>0.2107</v>
      </c>
    </row>
    <row r="123" spans="1:5" hidden="1" x14ac:dyDescent="0.25">
      <c r="A123" s="15" t="s">
        <v>34</v>
      </c>
      <c r="B123" s="16">
        <v>41603</v>
      </c>
      <c r="C123" s="17">
        <v>0.87029999999999996</v>
      </c>
      <c r="D123" s="17">
        <v>0.86760000000000004</v>
      </c>
      <c r="E123" s="11">
        <f t="shared" si="1"/>
        <v>0.86460000000000004</v>
      </c>
    </row>
    <row r="124" spans="1:5" hidden="1" x14ac:dyDescent="0.25">
      <c r="A124" s="15" t="s">
        <v>34</v>
      </c>
      <c r="B124" s="16">
        <v>41604</v>
      </c>
      <c r="C124" s="17">
        <v>-0.52129999999999999</v>
      </c>
      <c r="D124" s="17">
        <v>0.73629999999999995</v>
      </c>
      <c r="E124" s="11">
        <f t="shared" si="1"/>
        <v>0.73329999999999995</v>
      </c>
    </row>
    <row r="125" spans="1:5" hidden="1" x14ac:dyDescent="0.25">
      <c r="A125" s="15" t="s">
        <v>34</v>
      </c>
      <c r="B125" s="16">
        <v>41605</v>
      </c>
      <c r="C125" s="17">
        <v>1.7272000000000001</v>
      </c>
      <c r="D125" s="17">
        <v>0.5786</v>
      </c>
      <c r="E125" s="11">
        <f t="shared" si="1"/>
        <v>0.5756</v>
      </c>
    </row>
    <row r="126" spans="1:5" hidden="1" x14ac:dyDescent="0.25">
      <c r="A126" s="15" t="s">
        <v>34</v>
      </c>
      <c r="B126" s="16">
        <v>41606</v>
      </c>
      <c r="C126" s="17">
        <v>1.8660000000000001</v>
      </c>
      <c r="D126" s="17">
        <v>0.79900000000000004</v>
      </c>
      <c r="E126" s="11">
        <f t="shared" si="1"/>
        <v>0.79600000000000004</v>
      </c>
    </row>
    <row r="127" spans="1:5" hidden="1" x14ac:dyDescent="0.25">
      <c r="A127" s="15" t="s">
        <v>34</v>
      </c>
      <c r="B127" s="16">
        <v>41607</v>
      </c>
      <c r="C127" s="17">
        <v>-1.1834</v>
      </c>
      <c r="D127" s="17">
        <v>0.52949999999999997</v>
      </c>
      <c r="E127" s="11">
        <f t="shared" si="1"/>
        <v>0.52649999999999997</v>
      </c>
    </row>
    <row r="128" spans="1:5" hidden="1" x14ac:dyDescent="0.25">
      <c r="A128" s="15" t="s">
        <v>34</v>
      </c>
      <c r="B128" s="16">
        <v>41610</v>
      </c>
      <c r="C128" s="17">
        <v>1.0152000000000001</v>
      </c>
      <c r="D128" s="17">
        <v>9.2499999999999999E-2</v>
      </c>
      <c r="E128" s="11">
        <f t="shared" si="1"/>
        <v>8.9499999999999996E-2</v>
      </c>
    </row>
    <row r="129" spans="1:5" hidden="1" x14ac:dyDescent="0.25">
      <c r="A129" s="15" t="s">
        <v>34</v>
      </c>
      <c r="B129" s="16">
        <v>41611</v>
      </c>
      <c r="C129" s="17">
        <v>-0.33729999999999999</v>
      </c>
      <c r="D129" s="17">
        <v>-0.26250000000000001</v>
      </c>
      <c r="E129" s="11">
        <f t="shared" si="1"/>
        <v>-0.26550000000000001</v>
      </c>
    </row>
    <row r="130" spans="1:5" hidden="1" x14ac:dyDescent="0.25">
      <c r="A130" s="15" t="s">
        <v>34</v>
      </c>
      <c r="B130" s="16">
        <v>41612</v>
      </c>
      <c r="C130" s="17">
        <v>-1.1895</v>
      </c>
      <c r="D130" s="17">
        <v>0.30280000000000001</v>
      </c>
      <c r="E130" s="11">
        <f t="shared" si="1"/>
        <v>0.29980000000000001</v>
      </c>
    </row>
    <row r="131" spans="1:5" hidden="1" x14ac:dyDescent="0.25">
      <c r="A131" s="15" t="s">
        <v>34</v>
      </c>
      <c r="B131" s="16">
        <v>41613</v>
      </c>
      <c r="C131" s="17">
        <v>0</v>
      </c>
      <c r="D131" s="17">
        <v>-0.50570000000000004</v>
      </c>
      <c r="E131" s="11">
        <f t="shared" ref="E131:E194" si="2">D131-$M$1</f>
        <v>-0.50870000000000004</v>
      </c>
    </row>
    <row r="132" spans="1:5" hidden="1" x14ac:dyDescent="0.25">
      <c r="A132" s="15" t="s">
        <v>34</v>
      </c>
      <c r="B132" s="16">
        <v>41614</v>
      </c>
      <c r="C132" s="17">
        <v>-0.68610000000000004</v>
      </c>
      <c r="D132" s="17">
        <v>-9.3399999999999997E-2</v>
      </c>
      <c r="E132" s="11">
        <f t="shared" si="2"/>
        <v>-9.64E-2</v>
      </c>
    </row>
    <row r="133" spans="1:5" hidden="1" x14ac:dyDescent="0.25">
      <c r="A133" s="15" t="s">
        <v>34</v>
      </c>
      <c r="B133" s="16">
        <v>41617</v>
      </c>
      <c r="C133" s="17">
        <v>2.3811</v>
      </c>
      <c r="D133" s="17">
        <v>0.91479999999999995</v>
      </c>
      <c r="E133" s="11">
        <f t="shared" si="2"/>
        <v>0.91179999999999994</v>
      </c>
    </row>
    <row r="134" spans="1:5" hidden="1" x14ac:dyDescent="0.25">
      <c r="A134" s="15" t="s">
        <v>34</v>
      </c>
      <c r="B134" s="16">
        <v>41618</v>
      </c>
      <c r="C134" s="17">
        <v>-2.2090999999999998</v>
      </c>
      <c r="D134" s="17">
        <v>-1.46E-2</v>
      </c>
      <c r="E134" s="11">
        <f t="shared" si="2"/>
        <v>-1.7600000000000001E-2</v>
      </c>
    </row>
    <row r="135" spans="1:5" hidden="1" x14ac:dyDescent="0.25">
      <c r="A135" s="15" t="s">
        <v>34</v>
      </c>
      <c r="B135" s="16">
        <v>41619</v>
      </c>
      <c r="C135" s="17">
        <v>-3.6749999999999998</v>
      </c>
      <c r="D135" s="17">
        <v>-0.114</v>
      </c>
      <c r="E135" s="11">
        <f t="shared" si="2"/>
        <v>-0.11700000000000001</v>
      </c>
    </row>
    <row r="136" spans="1:5" hidden="1" x14ac:dyDescent="0.25">
      <c r="A136" s="15" t="s">
        <v>34</v>
      </c>
      <c r="B136" s="16">
        <v>41620</v>
      </c>
      <c r="C136" s="17">
        <v>-1.6173</v>
      </c>
      <c r="D136" s="17">
        <v>-0.86260000000000003</v>
      </c>
      <c r="E136" s="11">
        <f t="shared" si="2"/>
        <v>-0.86560000000000004</v>
      </c>
    </row>
    <row r="137" spans="1:5" hidden="1" x14ac:dyDescent="0.25">
      <c r="A137" s="15" t="s">
        <v>34</v>
      </c>
      <c r="B137" s="16">
        <v>41621</v>
      </c>
      <c r="C137" s="17">
        <v>0.18099999999999999</v>
      </c>
      <c r="D137" s="17">
        <v>0.1865</v>
      </c>
      <c r="E137" s="11">
        <f t="shared" si="2"/>
        <v>0.1835</v>
      </c>
    </row>
    <row r="138" spans="1:5" hidden="1" x14ac:dyDescent="0.25">
      <c r="A138" s="15" t="s">
        <v>34</v>
      </c>
      <c r="B138" s="16">
        <v>41624</v>
      </c>
      <c r="C138" s="17">
        <v>-7.1191000000000004</v>
      </c>
      <c r="D138" s="17">
        <v>-0.75570000000000004</v>
      </c>
      <c r="E138" s="11">
        <f t="shared" si="2"/>
        <v>-0.75870000000000004</v>
      </c>
    </row>
    <row r="139" spans="1:5" hidden="1" x14ac:dyDescent="0.25">
      <c r="A139" s="15" t="s">
        <v>34</v>
      </c>
      <c r="B139" s="16">
        <v>41625</v>
      </c>
      <c r="C139" s="17">
        <v>6.7568000000000001</v>
      </c>
      <c r="D139" s="17">
        <v>0.46870000000000001</v>
      </c>
      <c r="E139" s="11">
        <f t="shared" si="2"/>
        <v>0.4657</v>
      </c>
    </row>
    <row r="140" spans="1:5" hidden="1" x14ac:dyDescent="0.25">
      <c r="A140" s="15" t="s">
        <v>34</v>
      </c>
      <c r="B140" s="16">
        <v>41626</v>
      </c>
      <c r="C140" s="17">
        <v>-2.3875999999999999</v>
      </c>
      <c r="D140" s="17">
        <v>-4.6600000000000003E-2</v>
      </c>
      <c r="E140" s="11">
        <f t="shared" si="2"/>
        <v>-4.9600000000000005E-2</v>
      </c>
    </row>
    <row r="141" spans="1:5" hidden="1" x14ac:dyDescent="0.25">
      <c r="A141" s="15" t="s">
        <v>34</v>
      </c>
      <c r="B141" s="16">
        <v>41627</v>
      </c>
      <c r="C141" s="17">
        <v>1.2927</v>
      </c>
      <c r="D141" s="17">
        <v>0.6966</v>
      </c>
      <c r="E141" s="11">
        <f t="shared" si="2"/>
        <v>0.69359999999999999</v>
      </c>
    </row>
    <row r="142" spans="1:5" hidden="1" x14ac:dyDescent="0.25">
      <c r="A142" s="15" t="s">
        <v>34</v>
      </c>
      <c r="B142" s="16">
        <v>41628</v>
      </c>
      <c r="C142" s="17">
        <v>0</v>
      </c>
      <c r="D142" s="17">
        <v>1.34E-2</v>
      </c>
      <c r="E142" s="11">
        <f t="shared" si="2"/>
        <v>1.04E-2</v>
      </c>
    </row>
    <row r="143" spans="1:5" hidden="1" x14ac:dyDescent="0.25">
      <c r="A143" s="15" t="s">
        <v>34</v>
      </c>
      <c r="B143" s="16">
        <v>41631</v>
      </c>
      <c r="C143" s="17">
        <v>2.3573</v>
      </c>
      <c r="D143" s="17">
        <v>0.56840000000000002</v>
      </c>
      <c r="E143" s="11">
        <f t="shared" si="2"/>
        <v>0.56540000000000001</v>
      </c>
    </row>
    <row r="144" spans="1:5" hidden="1" x14ac:dyDescent="0.25">
      <c r="A144" s="15" t="s">
        <v>34</v>
      </c>
      <c r="B144" s="16">
        <v>41632</v>
      </c>
      <c r="C144" s="17">
        <v>-1.8084</v>
      </c>
      <c r="D144" s="17">
        <v>-7.0599999999999996E-2</v>
      </c>
      <c r="E144" s="11">
        <f t="shared" si="2"/>
        <v>-7.3599999999999999E-2</v>
      </c>
    </row>
    <row r="145" spans="1:5" hidden="1" x14ac:dyDescent="0.25">
      <c r="A145" s="15" t="s">
        <v>34</v>
      </c>
      <c r="B145" s="16">
        <v>41633</v>
      </c>
      <c r="C145" s="17">
        <v>-0.91659999999999997</v>
      </c>
      <c r="D145" s="17">
        <v>0.20419999999999999</v>
      </c>
      <c r="E145" s="11">
        <f t="shared" si="2"/>
        <v>0.20119999999999999</v>
      </c>
    </row>
    <row r="146" spans="1:5" hidden="1" x14ac:dyDescent="0.25">
      <c r="A146" s="15" t="s">
        <v>34</v>
      </c>
      <c r="B146" s="16">
        <v>41634</v>
      </c>
      <c r="C146" s="17">
        <v>1.2808999999999999</v>
      </c>
      <c r="D146" s="17">
        <v>0.21390000000000001</v>
      </c>
      <c r="E146" s="11">
        <f t="shared" si="2"/>
        <v>0.2109</v>
      </c>
    </row>
    <row r="147" spans="1:5" hidden="1" x14ac:dyDescent="0.25">
      <c r="A147" s="15" t="s">
        <v>34</v>
      </c>
      <c r="B147" s="16">
        <v>41635</v>
      </c>
      <c r="C147" s="17">
        <v>0.1817</v>
      </c>
      <c r="D147" s="17">
        <v>0.57750000000000001</v>
      </c>
      <c r="E147" s="11">
        <f t="shared" si="2"/>
        <v>0.57450000000000001</v>
      </c>
    </row>
    <row r="148" spans="1:5" hidden="1" x14ac:dyDescent="0.25">
      <c r="A148" s="15" t="s">
        <v>34</v>
      </c>
      <c r="B148" s="16">
        <v>41638</v>
      </c>
      <c r="C148" s="17">
        <v>0.18129999999999999</v>
      </c>
      <c r="D148" s="17">
        <v>1.0303</v>
      </c>
      <c r="E148" s="11">
        <f t="shared" si="2"/>
        <v>1.0273000000000001</v>
      </c>
    </row>
    <row r="149" spans="1:5" hidden="1" x14ac:dyDescent="0.25">
      <c r="A149" s="15" t="s">
        <v>34</v>
      </c>
      <c r="B149" s="16">
        <v>41639</v>
      </c>
      <c r="C149" s="17">
        <v>0.36170000000000002</v>
      </c>
      <c r="D149" s="17">
        <v>-0.13830000000000001</v>
      </c>
      <c r="E149" s="11">
        <f t="shared" si="2"/>
        <v>-0.14130000000000001</v>
      </c>
    </row>
    <row r="150" spans="1:5" hidden="1" x14ac:dyDescent="0.25">
      <c r="A150" s="15" t="s">
        <v>34</v>
      </c>
      <c r="B150" s="16">
        <v>41641</v>
      </c>
      <c r="C150" s="17">
        <v>0</v>
      </c>
      <c r="D150" s="17">
        <v>1.2E-2</v>
      </c>
      <c r="E150" s="11">
        <f t="shared" si="2"/>
        <v>9.0000000000000011E-3</v>
      </c>
    </row>
    <row r="151" spans="1:5" hidden="1" x14ac:dyDescent="0.25">
      <c r="A151" s="15" t="s">
        <v>34</v>
      </c>
      <c r="B151" s="16">
        <v>41642</v>
      </c>
      <c r="C151" s="17">
        <v>-2.1899000000000002</v>
      </c>
      <c r="D151" s="17">
        <v>-0.76929999999999998</v>
      </c>
      <c r="E151" s="11">
        <f t="shared" si="2"/>
        <v>-0.77229999999999999</v>
      </c>
    </row>
    <row r="152" spans="1:5" hidden="1" x14ac:dyDescent="0.25">
      <c r="A152" s="15" t="s">
        <v>34</v>
      </c>
      <c r="B152" s="16">
        <v>41645</v>
      </c>
      <c r="C152" s="17">
        <v>-1.1132</v>
      </c>
      <c r="D152" s="17">
        <v>-0.54590000000000005</v>
      </c>
      <c r="E152" s="11">
        <f t="shared" si="2"/>
        <v>-0.54890000000000005</v>
      </c>
    </row>
    <row r="153" spans="1:5" hidden="1" x14ac:dyDescent="0.25">
      <c r="A153" s="15" t="s">
        <v>34</v>
      </c>
      <c r="B153" s="16">
        <v>41646</v>
      </c>
      <c r="C153" s="17">
        <v>0</v>
      </c>
      <c r="D153" s="17">
        <v>0.14449999999999999</v>
      </c>
      <c r="E153" s="11">
        <f t="shared" si="2"/>
        <v>0.14149999999999999</v>
      </c>
    </row>
    <row r="154" spans="1:5" hidden="1" x14ac:dyDescent="0.25">
      <c r="A154" s="15" t="s">
        <v>34</v>
      </c>
      <c r="B154" s="16">
        <v>41647</v>
      </c>
      <c r="C154" s="17">
        <v>4.0225</v>
      </c>
      <c r="D154" s="17">
        <v>0.51219999999999999</v>
      </c>
      <c r="E154" s="11">
        <f t="shared" si="2"/>
        <v>0.50919999999999999</v>
      </c>
    </row>
    <row r="155" spans="1:5" hidden="1" x14ac:dyDescent="0.25">
      <c r="A155" s="15" t="s">
        <v>34</v>
      </c>
      <c r="B155" s="16">
        <v>41648</v>
      </c>
      <c r="C155" s="17">
        <v>-1.9910000000000001</v>
      </c>
      <c r="D155" s="17">
        <v>-0.48420000000000002</v>
      </c>
      <c r="E155" s="11">
        <f t="shared" si="2"/>
        <v>-0.48720000000000002</v>
      </c>
    </row>
    <row r="156" spans="1:5" hidden="1" x14ac:dyDescent="0.25">
      <c r="A156" s="15" t="s">
        <v>34</v>
      </c>
      <c r="B156" s="16">
        <v>41649</v>
      </c>
      <c r="C156" s="17">
        <v>0.54690000000000005</v>
      </c>
      <c r="D156" s="17">
        <v>0.1721</v>
      </c>
      <c r="E156" s="11">
        <f t="shared" si="2"/>
        <v>0.1691</v>
      </c>
    </row>
    <row r="157" spans="1:5" hidden="1" x14ac:dyDescent="0.25">
      <c r="A157" s="15" t="s">
        <v>34</v>
      </c>
      <c r="B157" s="16">
        <v>41652</v>
      </c>
      <c r="C157" s="17">
        <v>-0.182</v>
      </c>
      <c r="D157" s="17">
        <v>0.43109999999999998</v>
      </c>
      <c r="E157" s="11">
        <f t="shared" si="2"/>
        <v>0.42809999999999998</v>
      </c>
    </row>
    <row r="158" spans="1:5" hidden="1" x14ac:dyDescent="0.25">
      <c r="A158" s="15" t="s">
        <v>34</v>
      </c>
      <c r="B158" s="16">
        <v>41653</v>
      </c>
      <c r="C158" s="17">
        <v>0.90659999999999996</v>
      </c>
      <c r="D158" s="17">
        <v>-0.21110000000000001</v>
      </c>
      <c r="E158" s="11">
        <f t="shared" si="2"/>
        <v>-0.21410000000000001</v>
      </c>
    </row>
    <row r="159" spans="1:5" hidden="1" x14ac:dyDescent="0.25">
      <c r="A159" s="15" t="s">
        <v>34</v>
      </c>
      <c r="B159" s="16">
        <v>41654</v>
      </c>
      <c r="C159" s="17">
        <v>4.9306000000000001</v>
      </c>
      <c r="D159" s="17">
        <v>0.63449999999999995</v>
      </c>
      <c r="E159" s="11">
        <f t="shared" si="2"/>
        <v>0.63149999999999995</v>
      </c>
    </row>
    <row r="160" spans="1:5" hidden="1" x14ac:dyDescent="0.25">
      <c r="A160" s="15" t="s">
        <v>34</v>
      </c>
      <c r="B160" s="16">
        <v>41655</v>
      </c>
      <c r="C160" s="17">
        <v>-0.68969999999999998</v>
      </c>
      <c r="D160" s="17">
        <v>0.1111</v>
      </c>
      <c r="E160" s="11">
        <f t="shared" si="2"/>
        <v>0.1081</v>
      </c>
    </row>
    <row r="161" spans="1:5" hidden="1" x14ac:dyDescent="0.25">
      <c r="A161" s="15" t="s">
        <v>34</v>
      </c>
      <c r="B161" s="16">
        <v>41656</v>
      </c>
      <c r="C161" s="17">
        <v>-0.69440000000000002</v>
      </c>
      <c r="D161" s="17">
        <v>-0.18720000000000001</v>
      </c>
      <c r="E161" s="11">
        <f t="shared" si="2"/>
        <v>-0.19020000000000001</v>
      </c>
    </row>
    <row r="162" spans="1:5" hidden="1" x14ac:dyDescent="0.25">
      <c r="A162" s="15" t="s">
        <v>34</v>
      </c>
      <c r="B162" s="16">
        <v>41659</v>
      </c>
      <c r="C162" s="17">
        <v>0.3478</v>
      </c>
      <c r="D162" s="17">
        <v>0.2969</v>
      </c>
      <c r="E162" s="11">
        <f t="shared" si="2"/>
        <v>0.29389999999999999</v>
      </c>
    </row>
    <row r="163" spans="1:5" hidden="1" x14ac:dyDescent="0.25">
      <c r="A163" s="15" t="s">
        <v>34</v>
      </c>
      <c r="B163" s="16">
        <v>41660</v>
      </c>
      <c r="C163" s="17">
        <v>-1.0470999999999999</v>
      </c>
      <c r="D163" s="17">
        <v>-0.2515</v>
      </c>
      <c r="E163" s="11">
        <f t="shared" si="2"/>
        <v>-0.2545</v>
      </c>
    </row>
    <row r="164" spans="1:5" hidden="1" x14ac:dyDescent="0.25">
      <c r="A164" s="15" t="s">
        <v>34</v>
      </c>
      <c r="B164" s="16">
        <v>41661</v>
      </c>
      <c r="C164" s="17">
        <v>0.87339999999999995</v>
      </c>
      <c r="D164" s="17">
        <v>0.2949</v>
      </c>
      <c r="E164" s="11">
        <f t="shared" si="2"/>
        <v>0.29189999999999999</v>
      </c>
    </row>
    <row r="165" spans="1:5" hidden="1" x14ac:dyDescent="0.25">
      <c r="A165" s="15" t="s">
        <v>34</v>
      </c>
      <c r="B165" s="16">
        <v>41662</v>
      </c>
      <c r="C165" s="17">
        <v>-1.0489999999999999</v>
      </c>
      <c r="D165" s="17">
        <v>-0.35070000000000001</v>
      </c>
      <c r="E165" s="11">
        <f t="shared" si="2"/>
        <v>-0.35370000000000001</v>
      </c>
    </row>
    <row r="166" spans="1:5" hidden="1" x14ac:dyDescent="0.25">
      <c r="A166" s="15" t="s">
        <v>34</v>
      </c>
      <c r="B166" s="16">
        <v>41663</v>
      </c>
      <c r="C166" s="17">
        <v>0.17560000000000001</v>
      </c>
      <c r="D166" s="17">
        <v>3.73E-2</v>
      </c>
      <c r="E166" s="11">
        <f t="shared" si="2"/>
        <v>3.4299999999999997E-2</v>
      </c>
    </row>
    <row r="167" spans="1:5" hidden="1" x14ac:dyDescent="0.25">
      <c r="A167" s="15" t="s">
        <v>34</v>
      </c>
      <c r="B167" s="16">
        <v>41666</v>
      </c>
      <c r="C167" s="17">
        <v>-1.5914999999999999</v>
      </c>
      <c r="D167" s="17">
        <v>-1.5912999999999999</v>
      </c>
      <c r="E167" s="11">
        <f t="shared" si="2"/>
        <v>-1.5942999999999998</v>
      </c>
    </row>
    <row r="168" spans="1:5" hidden="1" x14ac:dyDescent="0.25">
      <c r="A168" s="15" t="s">
        <v>34</v>
      </c>
      <c r="B168" s="16">
        <v>41675</v>
      </c>
      <c r="C168" s="17">
        <v>-3.0771999999999999</v>
      </c>
      <c r="D168" s="17">
        <v>-2.3685999999999998</v>
      </c>
      <c r="E168" s="11">
        <f t="shared" si="2"/>
        <v>-2.3715999999999999</v>
      </c>
    </row>
    <row r="169" spans="1:5" hidden="1" x14ac:dyDescent="0.25">
      <c r="A169" s="15" t="s">
        <v>34</v>
      </c>
      <c r="B169" s="16">
        <v>41676</v>
      </c>
      <c r="C169" s="17">
        <v>-0.73799999999999999</v>
      </c>
      <c r="D169" s="17">
        <v>0.56140000000000001</v>
      </c>
      <c r="E169" s="11">
        <f t="shared" si="2"/>
        <v>0.55840000000000001</v>
      </c>
    </row>
    <row r="170" spans="1:5" hidden="1" x14ac:dyDescent="0.25">
      <c r="A170" s="15" t="s">
        <v>34</v>
      </c>
      <c r="B170" s="16">
        <v>41677</v>
      </c>
      <c r="C170" s="17">
        <v>5.0552000000000001</v>
      </c>
      <c r="D170" s="17">
        <v>0.9143</v>
      </c>
      <c r="E170" s="11">
        <f t="shared" si="2"/>
        <v>0.9113</v>
      </c>
    </row>
    <row r="171" spans="1:5" hidden="1" x14ac:dyDescent="0.25">
      <c r="A171" s="15" t="s">
        <v>34</v>
      </c>
      <c r="B171" s="16">
        <v>41680</v>
      </c>
      <c r="C171" s="17">
        <v>2.6065999999999998</v>
      </c>
      <c r="D171" s="17">
        <v>5.4800000000000001E-2</v>
      </c>
      <c r="E171" s="11">
        <f t="shared" si="2"/>
        <v>5.1799999999999999E-2</v>
      </c>
    </row>
    <row r="172" spans="1:5" hidden="1" x14ac:dyDescent="0.25">
      <c r="A172" s="15" t="s">
        <v>34</v>
      </c>
      <c r="B172" s="16">
        <v>41681</v>
      </c>
      <c r="C172" s="17">
        <v>1.1935</v>
      </c>
      <c r="D172" s="17">
        <v>0.45900000000000002</v>
      </c>
      <c r="E172" s="11">
        <f t="shared" si="2"/>
        <v>0.45600000000000002</v>
      </c>
    </row>
    <row r="173" spans="1:5" hidden="1" x14ac:dyDescent="0.25">
      <c r="A173" s="15" t="s">
        <v>34</v>
      </c>
      <c r="B173" s="16">
        <v>41682</v>
      </c>
      <c r="C173" s="17">
        <v>-1.1935</v>
      </c>
      <c r="D173" s="17">
        <v>0.94810000000000005</v>
      </c>
      <c r="E173" s="11">
        <f t="shared" si="2"/>
        <v>0.94510000000000005</v>
      </c>
    </row>
    <row r="174" spans="1:5" hidden="1" x14ac:dyDescent="0.25">
      <c r="A174" s="15" t="s">
        <v>34</v>
      </c>
      <c r="B174" s="16">
        <v>41683</v>
      </c>
      <c r="C174" s="17">
        <v>1.5319</v>
      </c>
      <c r="D174" s="17">
        <v>-0.50849999999999995</v>
      </c>
      <c r="E174" s="11">
        <f t="shared" si="2"/>
        <v>-0.51149999999999995</v>
      </c>
    </row>
    <row r="175" spans="1:5" hidden="1" x14ac:dyDescent="0.25">
      <c r="A175" s="15" t="s">
        <v>34</v>
      </c>
      <c r="B175" s="16">
        <v>41684</v>
      </c>
      <c r="C175" s="17">
        <v>-0.33839999999999998</v>
      </c>
      <c r="D175" s="17">
        <v>0.54149999999999998</v>
      </c>
      <c r="E175" s="11">
        <f t="shared" si="2"/>
        <v>0.53849999999999998</v>
      </c>
    </row>
    <row r="176" spans="1:5" hidden="1" x14ac:dyDescent="0.25">
      <c r="A176" s="15" t="s">
        <v>34</v>
      </c>
      <c r="B176" s="16">
        <v>41687</v>
      </c>
      <c r="C176" s="17">
        <v>0</v>
      </c>
      <c r="D176" s="17">
        <v>6.8900000000000003E-2</v>
      </c>
      <c r="E176" s="11">
        <f t="shared" si="2"/>
        <v>6.59E-2</v>
      </c>
    </row>
    <row r="177" spans="1:5" hidden="1" x14ac:dyDescent="0.25">
      <c r="A177" s="15" t="s">
        <v>34</v>
      </c>
      <c r="B177" s="16">
        <v>41688</v>
      </c>
      <c r="C177" s="17">
        <v>1.6807000000000001</v>
      </c>
      <c r="D177" s="17">
        <v>0.42959999999999998</v>
      </c>
      <c r="E177" s="11">
        <f t="shared" si="2"/>
        <v>0.42659999999999998</v>
      </c>
    </row>
    <row r="178" spans="1:5" hidden="1" x14ac:dyDescent="0.25">
      <c r="A178" s="15" t="s">
        <v>34</v>
      </c>
      <c r="B178" s="16">
        <v>41689</v>
      </c>
      <c r="C178" s="17">
        <v>0</v>
      </c>
      <c r="D178" s="17">
        <v>0.24260000000000001</v>
      </c>
      <c r="E178" s="11">
        <f t="shared" si="2"/>
        <v>0.23960000000000001</v>
      </c>
    </row>
    <row r="179" spans="1:5" hidden="1" x14ac:dyDescent="0.25">
      <c r="A179" s="15" t="s">
        <v>34</v>
      </c>
      <c r="B179" s="16">
        <v>41690</v>
      </c>
      <c r="C179" s="17">
        <v>-1.6807000000000001</v>
      </c>
      <c r="D179" s="17">
        <v>-0.61270000000000002</v>
      </c>
      <c r="E179" s="11">
        <f t="shared" si="2"/>
        <v>-0.61570000000000003</v>
      </c>
    </row>
    <row r="180" spans="1:5" hidden="1" x14ac:dyDescent="0.25">
      <c r="A180" s="15" t="s">
        <v>34</v>
      </c>
      <c r="B180" s="16">
        <v>41691</v>
      </c>
      <c r="C180" s="17">
        <v>1.6807000000000001</v>
      </c>
      <c r="D180" s="17">
        <v>0.90200000000000002</v>
      </c>
      <c r="E180" s="11">
        <f t="shared" si="2"/>
        <v>0.89900000000000002</v>
      </c>
    </row>
    <row r="181" spans="1:5" hidden="1" x14ac:dyDescent="0.25">
      <c r="A181" s="15" t="s">
        <v>34</v>
      </c>
      <c r="B181" s="16">
        <v>41694</v>
      </c>
      <c r="C181" s="17">
        <v>0</v>
      </c>
      <c r="D181" s="17">
        <v>-0.48070000000000002</v>
      </c>
      <c r="E181" s="11">
        <f t="shared" si="2"/>
        <v>-0.48370000000000002</v>
      </c>
    </row>
    <row r="182" spans="1:5" hidden="1" x14ac:dyDescent="0.25">
      <c r="A182" s="15" t="s">
        <v>34</v>
      </c>
      <c r="B182" s="16">
        <v>41695</v>
      </c>
      <c r="C182" s="17">
        <v>-1.3423</v>
      </c>
      <c r="D182" s="17">
        <v>0.17519999999999999</v>
      </c>
      <c r="E182" s="11">
        <f t="shared" si="2"/>
        <v>0.17219999999999999</v>
      </c>
    </row>
    <row r="183" spans="1:5" hidden="1" x14ac:dyDescent="0.25">
      <c r="A183" s="15" t="s">
        <v>34</v>
      </c>
      <c r="B183" s="16">
        <v>41696</v>
      </c>
      <c r="C183" s="17">
        <v>1.3423</v>
      </c>
      <c r="D183" s="17">
        <v>0.29389999999999999</v>
      </c>
      <c r="E183" s="11">
        <f t="shared" si="2"/>
        <v>0.29089999999999999</v>
      </c>
    </row>
    <row r="184" spans="1:5" hidden="1" x14ac:dyDescent="0.25">
      <c r="A184" s="15" t="s">
        <v>34</v>
      </c>
      <c r="B184" s="16">
        <v>41697</v>
      </c>
      <c r="C184" s="17">
        <v>0</v>
      </c>
      <c r="D184" s="17">
        <v>0.44919999999999999</v>
      </c>
      <c r="E184" s="11">
        <f t="shared" si="2"/>
        <v>0.44619999999999999</v>
      </c>
    </row>
    <row r="185" spans="1:5" hidden="1" x14ac:dyDescent="0.25">
      <c r="A185" s="15" t="s">
        <v>34</v>
      </c>
      <c r="B185" s="16">
        <v>41701</v>
      </c>
      <c r="C185" s="17">
        <v>0</v>
      </c>
      <c r="D185" s="17">
        <v>-0.43619999999999998</v>
      </c>
      <c r="E185" s="11">
        <f t="shared" si="2"/>
        <v>-0.43919999999999998</v>
      </c>
    </row>
    <row r="186" spans="1:5" hidden="1" x14ac:dyDescent="0.25">
      <c r="A186" s="15" t="s">
        <v>34</v>
      </c>
      <c r="B186" s="16">
        <v>41702</v>
      </c>
      <c r="C186" s="17">
        <v>-1.5114000000000001</v>
      </c>
      <c r="D186" s="17">
        <v>-0.55300000000000005</v>
      </c>
      <c r="E186" s="11">
        <f t="shared" si="2"/>
        <v>-0.55600000000000005</v>
      </c>
    </row>
    <row r="187" spans="1:5" hidden="1" x14ac:dyDescent="0.25">
      <c r="A187" s="15" t="s">
        <v>34</v>
      </c>
      <c r="B187" s="16">
        <v>41703</v>
      </c>
      <c r="C187" s="17">
        <v>1.3446</v>
      </c>
      <c r="D187" s="17">
        <v>0.91220000000000001</v>
      </c>
      <c r="E187" s="11">
        <f t="shared" si="2"/>
        <v>0.90920000000000001</v>
      </c>
    </row>
    <row r="188" spans="1:5" hidden="1" x14ac:dyDescent="0.25">
      <c r="A188" s="15" t="s">
        <v>34</v>
      </c>
      <c r="B188" s="16">
        <v>41704</v>
      </c>
      <c r="C188" s="17">
        <v>0.99670000000000003</v>
      </c>
      <c r="D188" s="17">
        <v>0.93230000000000002</v>
      </c>
      <c r="E188" s="11">
        <f t="shared" si="2"/>
        <v>0.92930000000000001</v>
      </c>
    </row>
    <row r="189" spans="1:5" hidden="1" x14ac:dyDescent="0.25">
      <c r="A189" s="15" t="s">
        <v>34</v>
      </c>
      <c r="B189" s="16">
        <v>41705</v>
      </c>
      <c r="C189" s="17">
        <v>6.7118000000000002</v>
      </c>
      <c r="D189" s="17">
        <v>2E-3</v>
      </c>
      <c r="E189" s="11">
        <f t="shared" si="2"/>
        <v>-1E-3</v>
      </c>
    </row>
    <row r="190" spans="1:5" hidden="1" x14ac:dyDescent="0.25">
      <c r="A190" s="15" t="s">
        <v>34</v>
      </c>
      <c r="B190" s="16">
        <v>41708</v>
      </c>
      <c r="C190" s="17">
        <v>-2.6625999999999999</v>
      </c>
      <c r="D190" s="17">
        <v>-0.56069999999999998</v>
      </c>
      <c r="E190" s="11">
        <f t="shared" si="2"/>
        <v>-0.56369999999999998</v>
      </c>
    </row>
    <row r="191" spans="1:5" hidden="1" x14ac:dyDescent="0.25">
      <c r="A191" s="15" t="s">
        <v>34</v>
      </c>
      <c r="B191" s="16">
        <v>41709</v>
      </c>
      <c r="C191" s="17">
        <v>0.94789999999999996</v>
      </c>
      <c r="D191" s="17">
        <v>0.42709999999999998</v>
      </c>
      <c r="E191" s="11">
        <f t="shared" si="2"/>
        <v>0.42409999999999998</v>
      </c>
    </row>
    <row r="192" spans="1:5" hidden="1" x14ac:dyDescent="0.25">
      <c r="A192" s="15" t="s">
        <v>34</v>
      </c>
      <c r="B192" s="16">
        <v>41710</v>
      </c>
      <c r="C192" s="17">
        <v>0</v>
      </c>
      <c r="D192" s="17">
        <v>-0.2024</v>
      </c>
      <c r="E192" s="11">
        <f t="shared" si="2"/>
        <v>-0.2054</v>
      </c>
    </row>
    <row r="193" spans="1:5" hidden="1" x14ac:dyDescent="0.25">
      <c r="A193" s="15" t="s">
        <v>34</v>
      </c>
      <c r="B193" s="16">
        <v>41711</v>
      </c>
      <c r="C193" s="17">
        <v>1.4052</v>
      </c>
      <c r="D193" s="17">
        <v>0.72350000000000003</v>
      </c>
      <c r="E193" s="11">
        <f t="shared" si="2"/>
        <v>0.72050000000000003</v>
      </c>
    </row>
    <row r="194" spans="1:5" hidden="1" x14ac:dyDescent="0.25">
      <c r="A194" s="15" t="s">
        <v>34</v>
      </c>
      <c r="B194" s="16">
        <v>41712</v>
      </c>
      <c r="C194" s="17">
        <v>0.61819999999999997</v>
      </c>
      <c r="D194" s="17">
        <v>-0.69010000000000005</v>
      </c>
      <c r="E194" s="11">
        <f t="shared" si="2"/>
        <v>-0.69310000000000005</v>
      </c>
    </row>
    <row r="195" spans="1:5" hidden="1" x14ac:dyDescent="0.25">
      <c r="A195" s="15" t="s">
        <v>34</v>
      </c>
      <c r="B195" s="16">
        <v>41715</v>
      </c>
      <c r="C195" s="17">
        <v>-1.2403</v>
      </c>
      <c r="D195" s="17">
        <v>0.1434</v>
      </c>
      <c r="E195" s="11">
        <f t="shared" ref="E195:E258" si="3">D195-$M$1</f>
        <v>0.1404</v>
      </c>
    </row>
    <row r="196" spans="1:5" hidden="1" x14ac:dyDescent="0.25">
      <c r="A196" s="15" t="s">
        <v>34</v>
      </c>
      <c r="B196" s="16">
        <v>41716</v>
      </c>
      <c r="C196" s="17">
        <v>-0.78310000000000002</v>
      </c>
      <c r="D196" s="17">
        <v>0.36530000000000001</v>
      </c>
      <c r="E196" s="11">
        <f t="shared" si="3"/>
        <v>0.36230000000000001</v>
      </c>
    </row>
    <row r="197" spans="1:5" hidden="1" x14ac:dyDescent="0.25">
      <c r="A197" s="15" t="s">
        <v>34</v>
      </c>
      <c r="B197" s="16">
        <v>41717</v>
      </c>
      <c r="C197" s="17">
        <v>0</v>
      </c>
      <c r="D197" s="17">
        <v>-0.48770000000000002</v>
      </c>
      <c r="E197" s="11">
        <f t="shared" si="3"/>
        <v>-0.49070000000000003</v>
      </c>
    </row>
    <row r="198" spans="1:5" hidden="1" x14ac:dyDescent="0.25">
      <c r="A198" s="15" t="s">
        <v>34</v>
      </c>
      <c r="B198" s="16">
        <v>41718</v>
      </c>
      <c r="C198" s="17">
        <v>-1.7446999999999999</v>
      </c>
      <c r="D198" s="17">
        <v>-1.0659000000000001</v>
      </c>
      <c r="E198" s="11">
        <f t="shared" si="3"/>
        <v>-1.0689</v>
      </c>
    </row>
    <row r="199" spans="1:5" hidden="1" x14ac:dyDescent="0.25">
      <c r="A199" s="15" t="s">
        <v>34</v>
      </c>
      <c r="B199" s="16">
        <v>41719</v>
      </c>
      <c r="C199" s="17">
        <v>-1.7757000000000001</v>
      </c>
      <c r="D199" s="17">
        <v>-0.23480000000000001</v>
      </c>
      <c r="E199" s="11">
        <f t="shared" si="3"/>
        <v>-0.23780000000000001</v>
      </c>
    </row>
    <row r="200" spans="1:5" hidden="1" x14ac:dyDescent="0.25">
      <c r="A200" s="15" t="s">
        <v>34</v>
      </c>
      <c r="B200" s="16">
        <v>41722</v>
      </c>
      <c r="C200" s="17">
        <v>0.4874</v>
      </c>
      <c r="D200" s="17">
        <v>0.32840000000000003</v>
      </c>
      <c r="E200" s="11">
        <f t="shared" si="3"/>
        <v>0.32540000000000002</v>
      </c>
    </row>
    <row r="201" spans="1:5" hidden="1" x14ac:dyDescent="0.25">
      <c r="A201" s="15" t="s">
        <v>34</v>
      </c>
      <c r="B201" s="16">
        <v>41723</v>
      </c>
      <c r="C201" s="17">
        <v>2.718</v>
      </c>
      <c r="D201" s="17">
        <v>0.97050000000000003</v>
      </c>
      <c r="E201" s="11">
        <f t="shared" si="3"/>
        <v>0.96750000000000003</v>
      </c>
    </row>
    <row r="202" spans="1:5" hidden="1" x14ac:dyDescent="0.25">
      <c r="A202" s="15" t="s">
        <v>34</v>
      </c>
      <c r="B202" s="16">
        <v>41724</v>
      </c>
      <c r="C202" s="17">
        <v>0.315</v>
      </c>
      <c r="D202" s="17">
        <v>0.55049999999999999</v>
      </c>
      <c r="E202" s="11">
        <f t="shared" si="3"/>
        <v>0.54749999999999999</v>
      </c>
    </row>
    <row r="203" spans="1:5" hidden="1" x14ac:dyDescent="0.25">
      <c r="A203" s="15" t="s">
        <v>34</v>
      </c>
      <c r="B203" s="16">
        <v>41725</v>
      </c>
      <c r="C203" s="17">
        <v>3.5525000000000002</v>
      </c>
      <c r="D203" s="17">
        <v>0.48299999999999998</v>
      </c>
      <c r="E203" s="11">
        <f t="shared" si="3"/>
        <v>0.48</v>
      </c>
    </row>
    <row r="204" spans="1:5" hidden="1" x14ac:dyDescent="0.25">
      <c r="A204" s="15" t="s">
        <v>34</v>
      </c>
      <c r="B204" s="16">
        <v>41726</v>
      </c>
      <c r="C204" s="17">
        <v>-1.0679000000000001</v>
      </c>
      <c r="D204" s="17">
        <v>-5.62E-2</v>
      </c>
      <c r="E204" s="11">
        <f t="shared" si="3"/>
        <v>-5.9200000000000003E-2</v>
      </c>
    </row>
    <row r="205" spans="1:5" hidden="1" x14ac:dyDescent="0.25">
      <c r="A205" s="15" t="s">
        <v>34</v>
      </c>
      <c r="B205" s="16">
        <v>41729</v>
      </c>
      <c r="C205" s="17">
        <v>3.6149</v>
      </c>
      <c r="D205" s="17">
        <v>0.84699999999999998</v>
      </c>
      <c r="E205" s="11">
        <f t="shared" si="3"/>
        <v>0.84399999999999997</v>
      </c>
    </row>
    <row r="206" spans="1:5" hidden="1" x14ac:dyDescent="0.25">
      <c r="A206" s="15" t="s">
        <v>34</v>
      </c>
      <c r="B206" s="16">
        <v>41730</v>
      </c>
      <c r="C206" s="17">
        <v>-0.29630000000000001</v>
      </c>
      <c r="D206" s="17">
        <v>0.26939999999999997</v>
      </c>
      <c r="E206" s="11">
        <f t="shared" si="3"/>
        <v>0.26639999999999997</v>
      </c>
    </row>
    <row r="207" spans="1:5" hidden="1" x14ac:dyDescent="0.25">
      <c r="A207" s="15" t="s">
        <v>34</v>
      </c>
      <c r="B207" s="16">
        <v>41731</v>
      </c>
      <c r="C207" s="17">
        <v>-1.4947999999999999</v>
      </c>
      <c r="D207" s="17">
        <v>0.3634</v>
      </c>
      <c r="E207" s="11">
        <f t="shared" si="3"/>
        <v>0.3604</v>
      </c>
    </row>
    <row r="208" spans="1:5" hidden="1" x14ac:dyDescent="0.25">
      <c r="A208" s="15" t="s">
        <v>34</v>
      </c>
      <c r="B208" s="16">
        <v>41732</v>
      </c>
      <c r="C208" s="17">
        <v>-0.75590000000000002</v>
      </c>
      <c r="D208" s="17">
        <v>-0.19009999999999999</v>
      </c>
      <c r="E208" s="11">
        <f t="shared" si="3"/>
        <v>-0.19309999999999999</v>
      </c>
    </row>
    <row r="209" spans="1:5" hidden="1" x14ac:dyDescent="0.25">
      <c r="A209" s="15" t="s">
        <v>34</v>
      </c>
      <c r="B209" s="16">
        <v>41736</v>
      </c>
      <c r="C209" s="17">
        <v>0.15160000000000001</v>
      </c>
      <c r="D209" s="17">
        <v>-0.13619999999999999</v>
      </c>
      <c r="E209" s="11">
        <f t="shared" si="3"/>
        <v>-0.13919999999999999</v>
      </c>
    </row>
    <row r="210" spans="1:5" hidden="1" x14ac:dyDescent="0.25">
      <c r="A210" s="15" t="s">
        <v>34</v>
      </c>
      <c r="B210" s="16">
        <v>41737</v>
      </c>
      <c r="C210" s="17">
        <v>1.3544</v>
      </c>
      <c r="D210" s="17">
        <v>0.13300000000000001</v>
      </c>
      <c r="E210" s="11">
        <f t="shared" si="3"/>
        <v>0.13</v>
      </c>
    </row>
    <row r="211" spans="1:5" hidden="1" x14ac:dyDescent="0.25">
      <c r="A211" s="15" t="s">
        <v>34</v>
      </c>
      <c r="B211" s="16">
        <v>41738</v>
      </c>
      <c r="C211" s="17">
        <v>-0.2994</v>
      </c>
      <c r="D211" s="17">
        <v>0.47499999999999998</v>
      </c>
      <c r="E211" s="11">
        <f t="shared" si="3"/>
        <v>0.47199999999999998</v>
      </c>
    </row>
    <row r="212" spans="1:5" hidden="1" x14ac:dyDescent="0.25">
      <c r="A212" s="15" t="s">
        <v>34</v>
      </c>
      <c r="B212" s="16">
        <v>41739</v>
      </c>
      <c r="C212" s="17">
        <v>0.89549999999999996</v>
      </c>
      <c r="D212" s="17">
        <v>0.1961</v>
      </c>
      <c r="E212" s="11">
        <f t="shared" si="3"/>
        <v>0.19309999999999999</v>
      </c>
    </row>
    <row r="213" spans="1:5" hidden="1" x14ac:dyDescent="0.25">
      <c r="A213" s="15" t="s">
        <v>34</v>
      </c>
      <c r="B213" s="16">
        <v>41740</v>
      </c>
      <c r="C213" s="17">
        <v>-2.254</v>
      </c>
      <c r="D213" s="17">
        <v>-0.4486</v>
      </c>
      <c r="E213" s="11">
        <f t="shared" si="3"/>
        <v>-0.4516</v>
      </c>
    </row>
    <row r="214" spans="1:5" hidden="1" x14ac:dyDescent="0.25">
      <c r="A214" s="15" t="s">
        <v>34</v>
      </c>
      <c r="B214" s="16">
        <v>41743</v>
      </c>
      <c r="C214" s="17">
        <v>0.90769999999999995</v>
      </c>
      <c r="D214" s="17">
        <v>-0.56999999999999995</v>
      </c>
      <c r="E214" s="11">
        <f t="shared" si="3"/>
        <v>-0.57299999999999995</v>
      </c>
    </row>
    <row r="215" spans="1:5" hidden="1" x14ac:dyDescent="0.25">
      <c r="A215" s="15" t="s">
        <v>34</v>
      </c>
      <c r="B215" s="16">
        <v>41744</v>
      </c>
      <c r="C215" s="17">
        <v>0.89959999999999996</v>
      </c>
      <c r="D215" s="17">
        <v>0.66720000000000002</v>
      </c>
      <c r="E215" s="11">
        <f t="shared" si="3"/>
        <v>0.66420000000000001</v>
      </c>
    </row>
    <row r="216" spans="1:5" hidden="1" x14ac:dyDescent="0.25">
      <c r="A216" s="15" t="s">
        <v>34</v>
      </c>
      <c r="B216" s="16">
        <v>41745</v>
      </c>
      <c r="C216" s="17">
        <v>0</v>
      </c>
      <c r="D216" s="17">
        <v>7.9699999999999993E-2</v>
      </c>
      <c r="E216" s="11">
        <f t="shared" si="3"/>
        <v>7.669999999999999E-2</v>
      </c>
    </row>
    <row r="217" spans="1:5" hidden="1" x14ac:dyDescent="0.25">
      <c r="A217" s="15" t="s">
        <v>34</v>
      </c>
      <c r="B217" s="16">
        <v>41746</v>
      </c>
      <c r="C217" s="17">
        <v>0.59519999999999995</v>
      </c>
      <c r="D217" s="17">
        <v>0.22770000000000001</v>
      </c>
      <c r="E217" s="11">
        <f t="shared" si="3"/>
        <v>0.22470000000000001</v>
      </c>
    </row>
    <row r="218" spans="1:5" hidden="1" x14ac:dyDescent="0.25">
      <c r="A218" s="15" t="s">
        <v>34</v>
      </c>
      <c r="B218" s="16">
        <v>41747</v>
      </c>
      <c r="C218" s="17">
        <v>0.44409999999999999</v>
      </c>
      <c r="D218" s="17">
        <v>0.25119999999999998</v>
      </c>
      <c r="E218" s="11">
        <f t="shared" si="3"/>
        <v>0.24819999999999998</v>
      </c>
    </row>
    <row r="219" spans="1:5" hidden="1" x14ac:dyDescent="0.25">
      <c r="A219" s="15" t="s">
        <v>34</v>
      </c>
      <c r="B219" s="16">
        <v>41750</v>
      </c>
      <c r="C219" s="17">
        <v>0.29499999999999998</v>
      </c>
      <c r="D219" s="17">
        <v>-0.17269999999999999</v>
      </c>
      <c r="E219" s="11">
        <f t="shared" si="3"/>
        <v>-0.1757</v>
      </c>
    </row>
    <row r="220" spans="1:5" hidden="1" x14ac:dyDescent="0.25">
      <c r="A220" s="15" t="s">
        <v>34</v>
      </c>
      <c r="B220" s="16">
        <v>41751</v>
      </c>
      <c r="C220" s="17">
        <v>-0.59079999999999999</v>
      </c>
      <c r="D220" s="17">
        <v>0.26240000000000002</v>
      </c>
      <c r="E220" s="11">
        <f t="shared" si="3"/>
        <v>0.25940000000000002</v>
      </c>
    </row>
    <row r="221" spans="1:5" hidden="1" x14ac:dyDescent="0.25">
      <c r="A221" s="15" t="s">
        <v>34</v>
      </c>
      <c r="B221" s="16">
        <v>41752</v>
      </c>
      <c r="C221" s="17">
        <v>2.1979000000000002</v>
      </c>
      <c r="D221" s="17">
        <v>-0.19839999999999999</v>
      </c>
      <c r="E221" s="11">
        <f t="shared" si="3"/>
        <v>-0.2014</v>
      </c>
    </row>
    <row r="222" spans="1:5" hidden="1" x14ac:dyDescent="0.25">
      <c r="A222" s="15" t="s">
        <v>34</v>
      </c>
      <c r="B222" s="16">
        <v>41753</v>
      </c>
      <c r="C222" s="17">
        <v>0.86580000000000001</v>
      </c>
      <c r="D222" s="17">
        <v>-0.12809999999999999</v>
      </c>
      <c r="E222" s="11">
        <f t="shared" si="3"/>
        <v>-0.13109999999999999</v>
      </c>
    </row>
    <row r="223" spans="1:5" hidden="1" x14ac:dyDescent="0.25">
      <c r="A223" s="15" t="s">
        <v>34</v>
      </c>
      <c r="B223" s="16">
        <v>41754</v>
      </c>
      <c r="C223" s="17">
        <v>1.4266000000000001</v>
      </c>
      <c r="D223" s="17">
        <v>-1.9339</v>
      </c>
      <c r="E223" s="11">
        <f t="shared" si="3"/>
        <v>-1.9368999999999998</v>
      </c>
    </row>
    <row r="224" spans="1:5" hidden="1" x14ac:dyDescent="0.25">
      <c r="A224" s="15" t="s">
        <v>34</v>
      </c>
      <c r="B224" s="16">
        <v>41757</v>
      </c>
      <c r="C224" s="17">
        <v>-1.5703</v>
      </c>
      <c r="D224" s="17">
        <v>0.40479999999999999</v>
      </c>
      <c r="E224" s="11">
        <f t="shared" si="3"/>
        <v>0.40179999999999999</v>
      </c>
    </row>
    <row r="225" spans="1:5" hidden="1" x14ac:dyDescent="0.25">
      <c r="A225" s="15" t="s">
        <v>34</v>
      </c>
      <c r="B225" s="16">
        <v>41758</v>
      </c>
      <c r="C225" s="17">
        <v>-1.0123</v>
      </c>
      <c r="D225" s="17">
        <v>0.70579999999999998</v>
      </c>
      <c r="E225" s="11">
        <f t="shared" si="3"/>
        <v>0.70279999999999998</v>
      </c>
    </row>
    <row r="226" spans="1:5" hidden="1" x14ac:dyDescent="0.25">
      <c r="A226" s="15" t="s">
        <v>34</v>
      </c>
      <c r="B226" s="16">
        <v>41759</v>
      </c>
      <c r="C226" s="17">
        <v>1.7291000000000001</v>
      </c>
      <c r="D226" s="17">
        <v>-0.91339999999999999</v>
      </c>
      <c r="E226" s="11">
        <f t="shared" si="3"/>
        <v>-0.91639999999999999</v>
      </c>
    </row>
    <row r="227" spans="1:5" hidden="1" x14ac:dyDescent="0.25">
      <c r="A227" s="15" t="s">
        <v>34</v>
      </c>
      <c r="B227" s="16">
        <v>41761</v>
      </c>
      <c r="C227" s="17">
        <v>0</v>
      </c>
      <c r="D227" s="17">
        <v>0.85940000000000005</v>
      </c>
      <c r="E227" s="11">
        <f t="shared" si="3"/>
        <v>0.85640000000000005</v>
      </c>
    </row>
    <row r="228" spans="1:5" hidden="1" x14ac:dyDescent="0.25">
      <c r="A228" s="15" t="s">
        <v>34</v>
      </c>
      <c r="B228" s="16">
        <v>41764</v>
      </c>
      <c r="C228" s="17">
        <v>-1.8746</v>
      </c>
      <c r="D228" s="17">
        <v>3.5099999999999999E-2</v>
      </c>
      <c r="E228" s="11">
        <f t="shared" si="3"/>
        <v>3.2099999999999997E-2</v>
      </c>
    </row>
    <row r="229" spans="1:5" hidden="1" x14ac:dyDescent="0.25">
      <c r="A229" s="15" t="s">
        <v>34</v>
      </c>
      <c r="B229" s="16">
        <v>41765</v>
      </c>
      <c r="C229" s="17">
        <v>1.7316</v>
      </c>
      <c r="D229" s="17">
        <v>0.47189999999999999</v>
      </c>
      <c r="E229" s="11">
        <f t="shared" si="3"/>
        <v>0.46889999999999998</v>
      </c>
    </row>
    <row r="230" spans="1:5" hidden="1" x14ac:dyDescent="0.25">
      <c r="A230" s="15" t="s">
        <v>34</v>
      </c>
      <c r="B230" s="16">
        <v>41766</v>
      </c>
      <c r="C230" s="17">
        <v>-0.71789999999999998</v>
      </c>
      <c r="D230" s="17">
        <v>-0.21529999999999999</v>
      </c>
      <c r="E230" s="11">
        <f t="shared" si="3"/>
        <v>-0.21829999999999999</v>
      </c>
    </row>
    <row r="231" spans="1:5" hidden="1" x14ac:dyDescent="0.25">
      <c r="A231" s="15" t="s">
        <v>34</v>
      </c>
      <c r="B231" s="16">
        <v>41767</v>
      </c>
      <c r="C231" s="17">
        <v>-0.57799999999999996</v>
      </c>
      <c r="D231" s="17">
        <v>0.42280000000000001</v>
      </c>
      <c r="E231" s="11">
        <f t="shared" si="3"/>
        <v>0.41980000000000001</v>
      </c>
    </row>
    <row r="232" spans="1:5" hidden="1" x14ac:dyDescent="0.25">
      <c r="A232" s="15" t="s">
        <v>34</v>
      </c>
      <c r="B232" s="16">
        <v>41768</v>
      </c>
      <c r="C232" s="17">
        <v>0</v>
      </c>
      <c r="D232" s="17">
        <v>-0.46250000000000002</v>
      </c>
      <c r="E232" s="11">
        <f t="shared" si="3"/>
        <v>-0.46550000000000002</v>
      </c>
    </row>
    <row r="233" spans="1:5" hidden="1" x14ac:dyDescent="0.25">
      <c r="A233" s="15" t="s">
        <v>34</v>
      </c>
      <c r="B233" s="16">
        <v>41771</v>
      </c>
      <c r="C233" s="17">
        <v>0</v>
      </c>
      <c r="D233" s="17">
        <v>-0.9163</v>
      </c>
      <c r="E233" s="11">
        <f t="shared" si="3"/>
        <v>-0.91930000000000001</v>
      </c>
    </row>
    <row r="234" spans="1:5" hidden="1" x14ac:dyDescent="0.25">
      <c r="A234" s="15" t="s">
        <v>34</v>
      </c>
      <c r="B234" s="16">
        <v>41772</v>
      </c>
      <c r="C234" s="17">
        <v>0.86580000000000001</v>
      </c>
      <c r="D234" s="17">
        <v>0.10589999999999999</v>
      </c>
      <c r="E234" s="11">
        <f t="shared" si="3"/>
        <v>0.10289999999999999</v>
      </c>
    </row>
    <row r="235" spans="1:5" hidden="1" x14ac:dyDescent="0.25">
      <c r="A235" s="15" t="s">
        <v>34</v>
      </c>
      <c r="B235" s="16">
        <v>41773</v>
      </c>
      <c r="C235" s="17">
        <v>0.71579999999999999</v>
      </c>
      <c r="D235" s="17">
        <v>0.64680000000000004</v>
      </c>
      <c r="E235" s="11">
        <f t="shared" si="3"/>
        <v>0.64380000000000004</v>
      </c>
    </row>
    <row r="236" spans="1:5" hidden="1" x14ac:dyDescent="0.25">
      <c r="A236" s="15" t="s">
        <v>34</v>
      </c>
      <c r="B236" s="16">
        <v>41774</v>
      </c>
      <c r="C236" s="17">
        <v>-0.4289</v>
      </c>
      <c r="D236" s="17">
        <v>6.1800000000000001E-2</v>
      </c>
      <c r="E236" s="11">
        <f t="shared" si="3"/>
        <v>5.8799999999999998E-2</v>
      </c>
    </row>
    <row r="237" spans="1:5" hidden="1" x14ac:dyDescent="0.25">
      <c r="A237" s="15" t="s">
        <v>34</v>
      </c>
      <c r="B237" s="16">
        <v>41775</v>
      </c>
      <c r="C237" s="17">
        <v>1.4225000000000001</v>
      </c>
      <c r="D237" s="17">
        <v>8.7800000000000003E-2</v>
      </c>
      <c r="E237" s="11">
        <f t="shared" si="3"/>
        <v>8.48E-2</v>
      </c>
    </row>
    <row r="238" spans="1:5" hidden="1" x14ac:dyDescent="0.25">
      <c r="A238" s="15" t="s">
        <v>34</v>
      </c>
      <c r="B238" s="16">
        <v>41778</v>
      </c>
      <c r="C238" s="17">
        <v>-0.14130000000000001</v>
      </c>
      <c r="D238" s="17">
        <v>0.12870000000000001</v>
      </c>
      <c r="E238" s="11">
        <f t="shared" si="3"/>
        <v>0.12570000000000001</v>
      </c>
    </row>
    <row r="239" spans="1:5" hidden="1" x14ac:dyDescent="0.25">
      <c r="A239" s="15" t="s">
        <v>34</v>
      </c>
      <c r="B239" s="16">
        <v>41779</v>
      </c>
      <c r="C239" s="17">
        <v>3.2014</v>
      </c>
      <c r="D239" s="17">
        <v>-0.13619999999999999</v>
      </c>
      <c r="E239" s="11">
        <f t="shared" si="3"/>
        <v>-0.13919999999999999</v>
      </c>
    </row>
    <row r="240" spans="1:5" hidden="1" x14ac:dyDescent="0.25">
      <c r="A240" s="15" t="s">
        <v>34</v>
      </c>
      <c r="B240" s="16">
        <v>41780</v>
      </c>
      <c r="C240" s="17">
        <v>-0.82530000000000003</v>
      </c>
      <c r="D240" s="17">
        <v>-0.28589999999999999</v>
      </c>
      <c r="E240" s="11">
        <f t="shared" si="3"/>
        <v>-0.28889999999999999</v>
      </c>
    </row>
    <row r="241" spans="1:5" hidden="1" x14ac:dyDescent="0.25">
      <c r="A241" s="15" t="s">
        <v>34</v>
      </c>
      <c r="B241" s="16">
        <v>41781</v>
      </c>
      <c r="C241" s="17">
        <v>3.1274000000000002</v>
      </c>
      <c r="D241" s="17">
        <v>1.2024999999999999</v>
      </c>
      <c r="E241" s="11">
        <f t="shared" si="3"/>
        <v>1.1995</v>
      </c>
    </row>
    <row r="242" spans="1:5" hidden="1" x14ac:dyDescent="0.25">
      <c r="A242" s="15" t="s">
        <v>34</v>
      </c>
      <c r="B242" s="16">
        <v>41782</v>
      </c>
      <c r="C242" s="17">
        <v>-0.53690000000000004</v>
      </c>
      <c r="D242" s="17">
        <v>0.42930000000000001</v>
      </c>
      <c r="E242" s="11">
        <f t="shared" si="3"/>
        <v>0.42630000000000001</v>
      </c>
    </row>
    <row r="243" spans="1:5" hidden="1" x14ac:dyDescent="0.25">
      <c r="A243" s="15" t="s">
        <v>34</v>
      </c>
      <c r="B243" s="16">
        <v>41785</v>
      </c>
      <c r="C243" s="17">
        <v>-0.13469999999999999</v>
      </c>
      <c r="D243" s="17">
        <v>0.30919999999999997</v>
      </c>
      <c r="E243" s="11">
        <f t="shared" si="3"/>
        <v>0.30619999999999997</v>
      </c>
    </row>
    <row r="244" spans="1:5" hidden="1" x14ac:dyDescent="0.25">
      <c r="A244" s="15" t="s">
        <v>34</v>
      </c>
      <c r="B244" s="16">
        <v>41786</v>
      </c>
      <c r="C244" s="17">
        <v>2.7909000000000002</v>
      </c>
      <c r="D244" s="17">
        <v>0.21190000000000001</v>
      </c>
      <c r="E244" s="11">
        <f t="shared" si="3"/>
        <v>0.2089</v>
      </c>
    </row>
    <row r="245" spans="1:5" hidden="1" x14ac:dyDescent="0.25">
      <c r="A245" s="15" t="s">
        <v>34</v>
      </c>
      <c r="B245" s="16">
        <v>41787</v>
      </c>
      <c r="C245" s="17">
        <v>2.2035999999999998</v>
      </c>
      <c r="D245" s="17">
        <v>0.73080000000000001</v>
      </c>
      <c r="E245" s="11">
        <f t="shared" si="3"/>
        <v>0.7278</v>
      </c>
    </row>
    <row r="246" spans="1:5" hidden="1" x14ac:dyDescent="0.25">
      <c r="A246" s="15" t="s">
        <v>34</v>
      </c>
      <c r="B246" s="16">
        <v>41788</v>
      </c>
      <c r="C246" s="17">
        <v>-1.1606000000000001</v>
      </c>
      <c r="D246" s="17">
        <v>-0.1394</v>
      </c>
      <c r="E246" s="11">
        <f t="shared" si="3"/>
        <v>-0.1424</v>
      </c>
    </row>
    <row r="247" spans="1:5" hidden="1" x14ac:dyDescent="0.25">
      <c r="A247" s="15" t="s">
        <v>34</v>
      </c>
      <c r="B247" s="16">
        <v>41789</v>
      </c>
      <c r="C247" s="17">
        <v>-1.4370000000000001</v>
      </c>
      <c r="D247" s="17">
        <v>-0.3639</v>
      </c>
      <c r="E247" s="11">
        <f t="shared" si="3"/>
        <v>-0.3669</v>
      </c>
    </row>
    <row r="248" spans="1:5" hidden="1" x14ac:dyDescent="0.25">
      <c r="A248" s="15" t="s">
        <v>34</v>
      </c>
      <c r="B248" s="16">
        <v>41793</v>
      </c>
      <c r="C248" s="17">
        <v>-1.9934000000000001</v>
      </c>
      <c r="D248" s="17">
        <v>0.52249999999999996</v>
      </c>
      <c r="E248" s="11">
        <f t="shared" si="3"/>
        <v>0.51949999999999996</v>
      </c>
    </row>
    <row r="249" spans="1:5" hidden="1" x14ac:dyDescent="0.25">
      <c r="A249" s="15" t="s">
        <v>34</v>
      </c>
      <c r="B249" s="16">
        <v>41794</v>
      </c>
      <c r="C249" s="17">
        <v>0.93520000000000003</v>
      </c>
      <c r="D249" s="17">
        <v>-3.8399999999999997E-2</v>
      </c>
      <c r="E249" s="11">
        <f t="shared" si="3"/>
        <v>-4.1399999999999999E-2</v>
      </c>
    </row>
    <row r="250" spans="1:5" hidden="1" x14ac:dyDescent="0.25">
      <c r="A250" s="15" t="s">
        <v>34</v>
      </c>
      <c r="B250" s="16">
        <v>41795</v>
      </c>
      <c r="C250" s="17">
        <v>1.0582</v>
      </c>
      <c r="D250" s="17">
        <v>0.22739999999999999</v>
      </c>
      <c r="E250" s="11">
        <f t="shared" si="3"/>
        <v>0.22439999999999999</v>
      </c>
    </row>
    <row r="251" spans="1:5" hidden="1" x14ac:dyDescent="0.25">
      <c r="A251" s="15" t="s">
        <v>34</v>
      </c>
      <c r="B251" s="16">
        <v>41796</v>
      </c>
      <c r="C251" s="17">
        <v>-1.5914999999999999</v>
      </c>
      <c r="D251" s="17">
        <v>-6.8500000000000005E-2</v>
      </c>
      <c r="E251" s="11">
        <f t="shared" si="3"/>
        <v>-7.1500000000000008E-2</v>
      </c>
    </row>
    <row r="252" spans="1:5" hidden="1" x14ac:dyDescent="0.25">
      <c r="A252" s="15" t="s">
        <v>34</v>
      </c>
      <c r="B252" s="16">
        <v>41799</v>
      </c>
      <c r="C252" s="17">
        <v>1.7230000000000001</v>
      </c>
      <c r="D252" s="17">
        <v>0.30909999999999999</v>
      </c>
      <c r="E252" s="11">
        <f t="shared" si="3"/>
        <v>0.30609999999999998</v>
      </c>
    </row>
    <row r="253" spans="1:5" hidden="1" x14ac:dyDescent="0.25">
      <c r="A253" s="15" t="s">
        <v>34</v>
      </c>
      <c r="B253" s="16">
        <v>41800</v>
      </c>
      <c r="C253" s="17">
        <v>2.4661</v>
      </c>
      <c r="D253" s="17">
        <v>0.64870000000000005</v>
      </c>
      <c r="E253" s="11">
        <f t="shared" si="3"/>
        <v>0.64570000000000005</v>
      </c>
    </row>
    <row r="254" spans="1:5" hidden="1" x14ac:dyDescent="0.25">
      <c r="A254" s="15" t="s">
        <v>34</v>
      </c>
      <c r="B254" s="16">
        <v>41801</v>
      </c>
      <c r="C254" s="17">
        <v>-0.7722</v>
      </c>
      <c r="D254" s="17">
        <v>8.0500000000000002E-2</v>
      </c>
      <c r="E254" s="11">
        <f t="shared" si="3"/>
        <v>7.7499999999999999E-2</v>
      </c>
    </row>
    <row r="255" spans="1:5" hidden="1" x14ac:dyDescent="0.25">
      <c r="A255" s="15" t="s">
        <v>34</v>
      </c>
      <c r="B255" s="16">
        <v>41802</v>
      </c>
      <c r="C255" s="17">
        <v>-0.25869999999999999</v>
      </c>
      <c r="D255" s="17">
        <v>-0.27289999999999998</v>
      </c>
      <c r="E255" s="11">
        <f t="shared" si="3"/>
        <v>-0.27589999999999998</v>
      </c>
    </row>
    <row r="256" spans="1:5" hidden="1" x14ac:dyDescent="0.25">
      <c r="A256" s="15" t="s">
        <v>34</v>
      </c>
      <c r="B256" s="16">
        <v>41803</v>
      </c>
      <c r="C256" s="17">
        <v>-1.3038000000000001</v>
      </c>
      <c r="D256" s="17">
        <v>-8.9800000000000005E-2</v>
      </c>
      <c r="E256" s="11">
        <f t="shared" si="3"/>
        <v>-9.2800000000000007E-2</v>
      </c>
    </row>
    <row r="257" spans="1:5" hidden="1" x14ac:dyDescent="0.25">
      <c r="A257" s="15" t="s">
        <v>34</v>
      </c>
      <c r="B257" s="16">
        <v>41806</v>
      </c>
      <c r="C257" s="17">
        <v>-1.4540999999999999</v>
      </c>
      <c r="D257" s="17">
        <v>7.1099999999999997E-2</v>
      </c>
      <c r="E257" s="11">
        <f t="shared" si="3"/>
        <v>6.8099999999999994E-2</v>
      </c>
    </row>
    <row r="258" spans="1:5" hidden="1" x14ac:dyDescent="0.25">
      <c r="A258" s="15" t="s">
        <v>34</v>
      </c>
      <c r="B258" s="16">
        <v>41807</v>
      </c>
      <c r="C258" s="17">
        <v>0.3987</v>
      </c>
      <c r="D258" s="17">
        <v>0.40849999999999997</v>
      </c>
      <c r="E258" s="11">
        <f t="shared" si="3"/>
        <v>0.40549999999999997</v>
      </c>
    </row>
    <row r="259" spans="1:5" hidden="1" x14ac:dyDescent="0.25">
      <c r="A259" s="15" t="s">
        <v>34</v>
      </c>
      <c r="B259" s="16">
        <v>41808</v>
      </c>
      <c r="C259" s="17">
        <v>3.3902000000000001</v>
      </c>
      <c r="D259" s="17">
        <v>0.42470000000000002</v>
      </c>
      <c r="E259" s="11">
        <f t="shared" ref="E259:E322" si="4">D259-$M$1</f>
        <v>0.42170000000000002</v>
      </c>
    </row>
    <row r="260" spans="1:5" hidden="1" x14ac:dyDescent="0.25">
      <c r="A260" s="15" t="s">
        <v>34</v>
      </c>
      <c r="B260" s="16">
        <v>41809</v>
      </c>
      <c r="C260" s="17">
        <v>0</v>
      </c>
      <c r="D260" s="17">
        <v>0.39660000000000001</v>
      </c>
      <c r="E260" s="11">
        <f t="shared" si="4"/>
        <v>0.39360000000000001</v>
      </c>
    </row>
    <row r="261" spans="1:5" hidden="1" x14ac:dyDescent="0.25">
      <c r="A261" s="15" t="s">
        <v>34</v>
      </c>
      <c r="B261" s="16">
        <v>41810</v>
      </c>
      <c r="C261" s="17">
        <v>-2.2035999999999998</v>
      </c>
      <c r="D261" s="17">
        <v>-0.46279999999999999</v>
      </c>
      <c r="E261" s="11">
        <f t="shared" si="4"/>
        <v>-0.46579999999999999</v>
      </c>
    </row>
    <row r="262" spans="1:5" hidden="1" x14ac:dyDescent="0.25">
      <c r="A262" s="15" t="s">
        <v>34</v>
      </c>
      <c r="B262" s="16">
        <v>41813</v>
      </c>
      <c r="C262" s="17">
        <v>-0.65749999999999997</v>
      </c>
      <c r="D262" s="17">
        <v>-0.49120000000000003</v>
      </c>
      <c r="E262" s="11">
        <f t="shared" si="4"/>
        <v>-0.49420000000000003</v>
      </c>
    </row>
    <row r="263" spans="1:5" hidden="1" x14ac:dyDescent="0.25">
      <c r="A263" s="15" t="s">
        <v>34</v>
      </c>
      <c r="B263" s="16">
        <v>41814</v>
      </c>
      <c r="C263" s="17">
        <v>-0.79469999999999996</v>
      </c>
      <c r="D263" s="17">
        <v>0.19320000000000001</v>
      </c>
      <c r="E263" s="11">
        <f t="shared" si="4"/>
        <v>0.19020000000000001</v>
      </c>
    </row>
    <row r="264" spans="1:5" hidden="1" x14ac:dyDescent="0.25">
      <c r="A264" s="15" t="s">
        <v>34</v>
      </c>
      <c r="B264" s="16">
        <v>41815</v>
      </c>
      <c r="C264" s="17">
        <v>-0.5333</v>
      </c>
      <c r="D264" s="17">
        <v>-4.3700000000000003E-2</v>
      </c>
      <c r="E264" s="11">
        <f t="shared" si="4"/>
        <v>-4.6700000000000005E-2</v>
      </c>
    </row>
    <row r="265" spans="1:5" hidden="1" x14ac:dyDescent="0.25">
      <c r="A265" s="15" t="s">
        <v>34</v>
      </c>
      <c r="B265" s="16">
        <v>41816</v>
      </c>
      <c r="C265" s="17">
        <v>2.6387</v>
      </c>
      <c r="D265" s="17">
        <v>0.8488</v>
      </c>
      <c r="E265" s="11">
        <f t="shared" si="4"/>
        <v>0.8458</v>
      </c>
    </row>
    <row r="266" spans="1:5" hidden="1" x14ac:dyDescent="0.25">
      <c r="A266" s="15" t="s">
        <v>34</v>
      </c>
      <c r="B266" s="16">
        <v>41817</v>
      </c>
      <c r="C266" s="17">
        <v>-0.1303</v>
      </c>
      <c r="D266" s="17">
        <v>-0.1515</v>
      </c>
      <c r="E266" s="11">
        <f t="shared" si="4"/>
        <v>-0.1545</v>
      </c>
    </row>
    <row r="267" spans="1:5" hidden="1" x14ac:dyDescent="0.25">
      <c r="A267" s="15" t="s">
        <v>34</v>
      </c>
      <c r="B267" s="16">
        <v>41820</v>
      </c>
      <c r="C267" s="17">
        <v>1.2954000000000001</v>
      </c>
      <c r="D267" s="17">
        <v>0.9224</v>
      </c>
      <c r="E267" s="11">
        <f t="shared" si="4"/>
        <v>0.9194</v>
      </c>
    </row>
    <row r="268" spans="1:5" hidden="1" x14ac:dyDescent="0.25">
      <c r="A268" s="15" t="s">
        <v>34</v>
      </c>
      <c r="B268" s="16">
        <v>41821</v>
      </c>
      <c r="C268" s="17">
        <v>2.9171</v>
      </c>
      <c r="D268" s="17">
        <v>0.51870000000000005</v>
      </c>
      <c r="E268" s="11">
        <f t="shared" si="4"/>
        <v>0.51570000000000005</v>
      </c>
    </row>
    <row r="269" spans="1:5" hidden="1" x14ac:dyDescent="0.25">
      <c r="A269" s="15" t="s">
        <v>34</v>
      </c>
      <c r="B269" s="16">
        <v>41822</v>
      </c>
      <c r="C269" s="17">
        <v>2.4693000000000001</v>
      </c>
      <c r="D269" s="17">
        <v>0.45479999999999998</v>
      </c>
      <c r="E269" s="11">
        <f t="shared" si="4"/>
        <v>0.45179999999999998</v>
      </c>
    </row>
    <row r="270" spans="1:5" hidden="1" x14ac:dyDescent="0.25">
      <c r="A270" s="15" t="s">
        <v>34</v>
      </c>
      <c r="B270" s="16">
        <v>41823</v>
      </c>
      <c r="C270" s="17">
        <v>-0.122</v>
      </c>
      <c r="D270" s="17">
        <v>0.43419999999999997</v>
      </c>
      <c r="E270" s="11">
        <f t="shared" si="4"/>
        <v>0.43119999999999997</v>
      </c>
    </row>
    <row r="271" spans="1:5" hidden="1" x14ac:dyDescent="0.25">
      <c r="A271" s="15" t="s">
        <v>34</v>
      </c>
      <c r="B271" s="16">
        <v>41824</v>
      </c>
      <c r="C271" s="17">
        <v>0</v>
      </c>
      <c r="D271" s="17">
        <v>-0.17</v>
      </c>
      <c r="E271" s="11">
        <f t="shared" si="4"/>
        <v>-0.17300000000000001</v>
      </c>
    </row>
    <row r="272" spans="1:5" hidden="1" x14ac:dyDescent="0.25">
      <c r="A272" s="15" t="s">
        <v>34</v>
      </c>
      <c r="B272" s="16">
        <v>41827</v>
      </c>
      <c r="C272" s="17">
        <v>-1.3522000000000001</v>
      </c>
      <c r="D272" s="17">
        <v>0.1067</v>
      </c>
      <c r="E272" s="11">
        <f t="shared" si="4"/>
        <v>0.1037</v>
      </c>
    </row>
    <row r="273" spans="1:5" hidden="1" x14ac:dyDescent="0.25">
      <c r="A273" s="15" t="s">
        <v>34</v>
      </c>
      <c r="B273" s="16">
        <v>41828</v>
      </c>
      <c r="C273" s="17">
        <v>-1.2453000000000001</v>
      </c>
      <c r="D273" s="17">
        <v>0.1132</v>
      </c>
      <c r="E273" s="11">
        <f t="shared" si="4"/>
        <v>0.11019999999999999</v>
      </c>
    </row>
    <row r="274" spans="1:5" hidden="1" x14ac:dyDescent="0.25">
      <c r="A274" s="15" t="s">
        <v>34</v>
      </c>
      <c r="B274" s="16">
        <v>41829</v>
      </c>
      <c r="C274" s="17">
        <v>-2.2814999999999999</v>
      </c>
      <c r="D274" s="17">
        <v>-0.43109999999999998</v>
      </c>
      <c r="E274" s="11">
        <f t="shared" si="4"/>
        <v>-0.43409999999999999</v>
      </c>
    </row>
    <row r="275" spans="1:5" hidden="1" x14ac:dyDescent="0.25">
      <c r="A275" s="15" t="s">
        <v>34</v>
      </c>
      <c r="B275" s="16">
        <v>41830</v>
      </c>
      <c r="C275" s="17">
        <v>2.4066999999999998</v>
      </c>
      <c r="D275" s="17">
        <v>0.78869999999999996</v>
      </c>
      <c r="E275" s="11">
        <f t="shared" si="4"/>
        <v>0.78569999999999995</v>
      </c>
    </row>
    <row r="276" spans="1:5" hidden="1" x14ac:dyDescent="0.25">
      <c r="A276" s="15" t="s">
        <v>34</v>
      </c>
      <c r="B276" s="16">
        <v>41831</v>
      </c>
      <c r="C276" s="17">
        <v>-2.1505999999999998</v>
      </c>
      <c r="D276" s="17">
        <v>-0.72689999999999999</v>
      </c>
      <c r="E276" s="11">
        <f t="shared" si="4"/>
        <v>-0.72989999999999999</v>
      </c>
    </row>
    <row r="277" spans="1:5" hidden="1" x14ac:dyDescent="0.25">
      <c r="A277" s="15" t="s">
        <v>34</v>
      </c>
      <c r="B277" s="16">
        <v>41834</v>
      </c>
      <c r="C277" s="17">
        <v>0.76429999999999998</v>
      </c>
      <c r="D277" s="17">
        <v>0.25729999999999997</v>
      </c>
      <c r="E277" s="11">
        <f t="shared" si="4"/>
        <v>0.25429999999999997</v>
      </c>
    </row>
    <row r="278" spans="1:5" hidden="1" x14ac:dyDescent="0.25">
      <c r="A278" s="15" t="s">
        <v>34</v>
      </c>
      <c r="B278" s="16">
        <v>41835</v>
      </c>
      <c r="C278" s="17">
        <v>0.1268</v>
      </c>
      <c r="D278" s="17">
        <v>0.51200000000000001</v>
      </c>
      <c r="E278" s="11">
        <f t="shared" si="4"/>
        <v>0.50900000000000001</v>
      </c>
    </row>
    <row r="279" spans="1:5" hidden="1" x14ac:dyDescent="0.25">
      <c r="A279" s="15" t="s">
        <v>34</v>
      </c>
      <c r="B279" s="16">
        <v>41836</v>
      </c>
      <c r="C279" s="17">
        <v>-0.89119999999999999</v>
      </c>
      <c r="D279" s="17">
        <v>-0.88629999999999998</v>
      </c>
      <c r="E279" s="11">
        <f t="shared" si="4"/>
        <v>-0.88929999999999998</v>
      </c>
    </row>
    <row r="280" spans="1:5" hidden="1" x14ac:dyDescent="0.25">
      <c r="A280" s="15" t="s">
        <v>34</v>
      </c>
      <c r="B280" s="16">
        <v>41837</v>
      </c>
      <c r="C280" s="17">
        <v>-0.25609999999999999</v>
      </c>
      <c r="D280" s="17">
        <v>-0.80969999999999998</v>
      </c>
      <c r="E280" s="11">
        <f t="shared" si="4"/>
        <v>-0.81269999999999998</v>
      </c>
    </row>
    <row r="281" spans="1:5" hidden="1" x14ac:dyDescent="0.25">
      <c r="A281" s="15" t="s">
        <v>34</v>
      </c>
      <c r="B281" s="16">
        <v>41838</v>
      </c>
      <c r="C281" s="17">
        <v>-2.2035999999999998</v>
      </c>
      <c r="D281" s="17">
        <v>-7.7299999999999994E-2</v>
      </c>
      <c r="E281" s="11">
        <f t="shared" si="4"/>
        <v>-8.0299999999999996E-2</v>
      </c>
    </row>
    <row r="282" spans="1:5" hidden="1" x14ac:dyDescent="0.25">
      <c r="A282" s="15" t="s">
        <v>34</v>
      </c>
      <c r="B282" s="16">
        <v>41841</v>
      </c>
      <c r="C282" s="17">
        <v>1.3021</v>
      </c>
      <c r="D282" s="17">
        <v>0.42459999999999998</v>
      </c>
      <c r="E282" s="11">
        <f t="shared" si="4"/>
        <v>0.42159999999999997</v>
      </c>
    </row>
    <row r="283" spans="1:5" hidden="1" x14ac:dyDescent="0.25">
      <c r="A283" s="15" t="s">
        <v>34</v>
      </c>
      <c r="B283" s="16">
        <v>41842</v>
      </c>
      <c r="C283" s="17">
        <v>2.6804000000000001</v>
      </c>
      <c r="D283" s="17">
        <v>0.61660000000000004</v>
      </c>
      <c r="E283" s="11">
        <f t="shared" si="4"/>
        <v>0.61360000000000003</v>
      </c>
    </row>
    <row r="284" spans="1:5" hidden="1" x14ac:dyDescent="0.25">
      <c r="A284" s="15" t="s">
        <v>34</v>
      </c>
      <c r="B284" s="16">
        <v>41844</v>
      </c>
      <c r="C284" s="17">
        <v>-4.6399999999999997</v>
      </c>
      <c r="D284" s="17">
        <v>0.29620000000000002</v>
      </c>
      <c r="E284" s="11">
        <f t="shared" si="4"/>
        <v>0.29320000000000002</v>
      </c>
    </row>
    <row r="285" spans="1:5" hidden="1" x14ac:dyDescent="0.25">
      <c r="A285" s="15" t="s">
        <v>34</v>
      </c>
      <c r="B285" s="16">
        <v>41845</v>
      </c>
      <c r="C285" s="17">
        <v>-6.2605000000000004</v>
      </c>
      <c r="D285" s="17">
        <v>-0.93059999999999998</v>
      </c>
      <c r="E285" s="11">
        <f t="shared" si="4"/>
        <v>-0.93359999999999999</v>
      </c>
    </row>
    <row r="286" spans="1:5" hidden="1" x14ac:dyDescent="0.25">
      <c r="A286" s="15" t="s">
        <v>34</v>
      </c>
      <c r="B286" s="16">
        <v>41848</v>
      </c>
      <c r="C286" s="17">
        <v>1.1173</v>
      </c>
      <c r="D286" s="17">
        <v>-0.20269999999999999</v>
      </c>
      <c r="E286" s="11">
        <f t="shared" si="4"/>
        <v>-0.20569999999999999</v>
      </c>
    </row>
    <row r="287" spans="1:5" hidden="1" x14ac:dyDescent="0.25">
      <c r="A287" s="15" t="s">
        <v>34</v>
      </c>
      <c r="B287" s="16">
        <v>41849</v>
      </c>
      <c r="C287" s="17">
        <v>-1.5396000000000001</v>
      </c>
      <c r="D287" s="17">
        <v>-0.3009</v>
      </c>
      <c r="E287" s="11">
        <f t="shared" si="4"/>
        <v>-0.3039</v>
      </c>
    </row>
    <row r="288" spans="1:5" hidden="1" x14ac:dyDescent="0.25">
      <c r="A288" s="15" t="s">
        <v>34</v>
      </c>
      <c r="B288" s="16">
        <v>41850</v>
      </c>
      <c r="C288" s="17">
        <v>1.9554</v>
      </c>
      <c r="D288" s="17">
        <v>0.58540000000000003</v>
      </c>
      <c r="E288" s="11">
        <f t="shared" si="4"/>
        <v>0.58240000000000003</v>
      </c>
    </row>
    <row r="289" spans="1:5" hidden="1" x14ac:dyDescent="0.25">
      <c r="A289" s="15" t="s">
        <v>34</v>
      </c>
      <c r="B289" s="16">
        <v>41851</v>
      </c>
      <c r="C289" s="17">
        <v>-0.69399999999999995</v>
      </c>
      <c r="D289" s="17">
        <v>-1.3982000000000001</v>
      </c>
      <c r="E289" s="11">
        <f t="shared" si="4"/>
        <v>-1.4012</v>
      </c>
    </row>
    <row r="290" spans="1:5" hidden="1" x14ac:dyDescent="0.25">
      <c r="A290" s="15" t="s">
        <v>34</v>
      </c>
      <c r="B290" s="16">
        <v>41852</v>
      </c>
      <c r="C290" s="17">
        <v>0.41699999999999998</v>
      </c>
      <c r="D290" s="17">
        <v>-0.53100000000000003</v>
      </c>
      <c r="E290" s="11">
        <f t="shared" si="4"/>
        <v>-0.53400000000000003</v>
      </c>
    </row>
    <row r="291" spans="1:5" hidden="1" x14ac:dyDescent="0.25">
      <c r="A291" s="15" t="s">
        <v>34</v>
      </c>
      <c r="B291" s="16">
        <v>41855</v>
      </c>
      <c r="C291" s="17">
        <v>2.0590999999999999</v>
      </c>
      <c r="D291" s="17">
        <v>0.68489999999999995</v>
      </c>
      <c r="E291" s="11">
        <f t="shared" si="4"/>
        <v>0.68189999999999995</v>
      </c>
    </row>
    <row r="292" spans="1:5" hidden="1" x14ac:dyDescent="0.25">
      <c r="A292" s="15" t="s">
        <v>34</v>
      </c>
      <c r="B292" s="16">
        <v>41856</v>
      </c>
      <c r="C292" s="17">
        <v>-1.3680000000000001</v>
      </c>
      <c r="D292" s="17">
        <v>-2.0436999999999999</v>
      </c>
      <c r="E292" s="11">
        <f t="shared" si="4"/>
        <v>-2.0467</v>
      </c>
    </row>
    <row r="293" spans="1:5" hidden="1" x14ac:dyDescent="0.25">
      <c r="A293" s="15" t="s">
        <v>34</v>
      </c>
      <c r="B293" s="16">
        <v>41857</v>
      </c>
      <c r="C293" s="17">
        <v>0.82299999999999995</v>
      </c>
      <c r="D293" s="17">
        <v>2.7699999999999999E-2</v>
      </c>
      <c r="E293" s="11">
        <f t="shared" si="4"/>
        <v>2.47E-2</v>
      </c>
    </row>
    <row r="294" spans="1:5" hidden="1" x14ac:dyDescent="0.25">
      <c r="A294" s="15" t="s">
        <v>34</v>
      </c>
      <c r="B294" s="16">
        <v>41858</v>
      </c>
      <c r="C294" s="17">
        <v>0.54500000000000004</v>
      </c>
      <c r="D294" s="17">
        <v>-0.1371</v>
      </c>
      <c r="E294" s="11">
        <f t="shared" si="4"/>
        <v>-0.1401</v>
      </c>
    </row>
    <row r="295" spans="1:5" hidden="1" x14ac:dyDescent="0.25">
      <c r="A295" s="15" t="s">
        <v>34</v>
      </c>
      <c r="B295" s="16">
        <v>41859</v>
      </c>
      <c r="C295" s="17">
        <v>-1.3680000000000001</v>
      </c>
      <c r="D295" s="17">
        <v>-0.49930000000000002</v>
      </c>
      <c r="E295" s="11">
        <f t="shared" si="4"/>
        <v>-0.50229999999999997</v>
      </c>
    </row>
    <row r="296" spans="1:5" hidden="1" x14ac:dyDescent="0.25">
      <c r="A296" s="15" t="s">
        <v>34</v>
      </c>
      <c r="B296" s="16">
        <v>41862</v>
      </c>
      <c r="C296" s="17">
        <v>1.232</v>
      </c>
      <c r="D296" s="17">
        <v>0.95240000000000002</v>
      </c>
      <c r="E296" s="11">
        <f t="shared" si="4"/>
        <v>0.94940000000000002</v>
      </c>
    </row>
    <row r="297" spans="1:5" hidden="1" x14ac:dyDescent="0.25">
      <c r="A297" s="15" t="s">
        <v>34</v>
      </c>
      <c r="B297" s="16">
        <v>41863</v>
      </c>
      <c r="C297" s="17">
        <v>-0.95689999999999997</v>
      </c>
      <c r="D297" s="17">
        <v>-0.10680000000000001</v>
      </c>
      <c r="E297" s="11">
        <f t="shared" si="4"/>
        <v>-0.10980000000000001</v>
      </c>
    </row>
    <row r="298" spans="1:5" hidden="1" x14ac:dyDescent="0.25">
      <c r="A298" s="15" t="s">
        <v>34</v>
      </c>
      <c r="B298" s="16">
        <v>41864</v>
      </c>
      <c r="C298" s="17">
        <v>1.0769</v>
      </c>
      <c r="D298" s="17">
        <v>0.74139999999999995</v>
      </c>
      <c r="E298" s="11">
        <f t="shared" si="4"/>
        <v>0.73839999999999995</v>
      </c>
    </row>
    <row r="299" spans="1:5" hidden="1" x14ac:dyDescent="0.25">
      <c r="A299" s="15" t="s">
        <v>34</v>
      </c>
      <c r="B299" s="16">
        <v>41865</v>
      </c>
      <c r="C299" s="17">
        <v>5.2138</v>
      </c>
      <c r="D299" s="17">
        <v>-7.6E-3</v>
      </c>
      <c r="E299" s="11">
        <f t="shared" si="4"/>
        <v>-1.06E-2</v>
      </c>
    </row>
    <row r="300" spans="1:5" hidden="1" x14ac:dyDescent="0.25">
      <c r="A300" s="15" t="s">
        <v>34</v>
      </c>
      <c r="B300" s="16">
        <v>41866</v>
      </c>
      <c r="C300" s="17">
        <v>0.26700000000000002</v>
      </c>
      <c r="D300" s="17">
        <v>-0.25819999999999999</v>
      </c>
      <c r="E300" s="11">
        <f t="shared" si="4"/>
        <v>-0.26119999999999999</v>
      </c>
    </row>
    <row r="301" spans="1:5" hidden="1" x14ac:dyDescent="0.25">
      <c r="A301" s="15" t="s">
        <v>34</v>
      </c>
      <c r="B301" s="16">
        <v>41869</v>
      </c>
      <c r="C301" s="17">
        <v>0.3992</v>
      </c>
      <c r="D301" s="17">
        <v>-0.71399999999999997</v>
      </c>
      <c r="E301" s="11">
        <f t="shared" si="4"/>
        <v>-0.71699999999999997</v>
      </c>
    </row>
    <row r="302" spans="1:5" hidden="1" x14ac:dyDescent="0.25">
      <c r="A302" s="15" t="s">
        <v>34</v>
      </c>
      <c r="B302" s="16">
        <v>41870</v>
      </c>
      <c r="C302" s="17">
        <v>-0.66620000000000001</v>
      </c>
      <c r="D302" s="17">
        <v>1.1147</v>
      </c>
      <c r="E302" s="11">
        <f t="shared" si="4"/>
        <v>1.1117000000000001</v>
      </c>
    </row>
    <row r="303" spans="1:5" hidden="1" x14ac:dyDescent="0.25">
      <c r="A303" s="15" t="s">
        <v>34</v>
      </c>
      <c r="B303" s="16">
        <v>41871</v>
      </c>
      <c r="C303" s="17">
        <v>2.3778999999999999</v>
      </c>
      <c r="D303" s="17">
        <v>0.4778</v>
      </c>
      <c r="E303" s="11">
        <f t="shared" si="4"/>
        <v>0.4748</v>
      </c>
    </row>
    <row r="304" spans="1:5" hidden="1" x14ac:dyDescent="0.25">
      <c r="A304" s="15" t="s">
        <v>34</v>
      </c>
      <c r="B304" s="16">
        <v>41872</v>
      </c>
      <c r="C304" s="17">
        <v>-1.579</v>
      </c>
      <c r="D304" s="17">
        <v>-0.374</v>
      </c>
      <c r="E304" s="11">
        <f t="shared" si="4"/>
        <v>-0.377</v>
      </c>
    </row>
    <row r="305" spans="1:5" hidden="1" x14ac:dyDescent="0.25">
      <c r="A305" s="15" t="s">
        <v>34</v>
      </c>
      <c r="B305" s="16">
        <v>41873</v>
      </c>
      <c r="C305" s="17">
        <v>1.1866000000000001</v>
      </c>
      <c r="D305" s="17">
        <v>1.3602000000000001</v>
      </c>
      <c r="E305" s="11">
        <f t="shared" si="4"/>
        <v>1.3572000000000002</v>
      </c>
    </row>
    <row r="306" spans="1:5" hidden="1" x14ac:dyDescent="0.25">
      <c r="A306" s="15" t="s">
        <v>34</v>
      </c>
      <c r="B306" s="16">
        <v>41876</v>
      </c>
      <c r="C306" s="17">
        <v>1.4314</v>
      </c>
      <c r="D306" s="17">
        <v>0.11210000000000001</v>
      </c>
      <c r="E306" s="11">
        <f t="shared" si="4"/>
        <v>0.1091</v>
      </c>
    </row>
    <row r="307" spans="1:5" hidden="1" x14ac:dyDescent="0.25">
      <c r="A307" s="15" t="s">
        <v>34</v>
      </c>
      <c r="B307" s="16">
        <v>41877</v>
      </c>
      <c r="C307" s="17">
        <v>-0.38840000000000002</v>
      </c>
      <c r="D307" s="17">
        <v>3.56E-2</v>
      </c>
      <c r="E307" s="11">
        <f t="shared" si="4"/>
        <v>3.2599999999999997E-2</v>
      </c>
    </row>
    <row r="308" spans="1:5" hidden="1" x14ac:dyDescent="0.25">
      <c r="A308" s="15" t="s">
        <v>34</v>
      </c>
      <c r="B308" s="16">
        <v>41878</v>
      </c>
      <c r="C308" s="17">
        <v>0.12959999999999999</v>
      </c>
      <c r="D308" s="17">
        <v>0.97070000000000001</v>
      </c>
      <c r="E308" s="11">
        <f t="shared" si="4"/>
        <v>0.9677</v>
      </c>
    </row>
    <row r="309" spans="1:5" hidden="1" x14ac:dyDescent="0.25">
      <c r="A309" s="15" t="s">
        <v>34</v>
      </c>
      <c r="B309" s="16">
        <v>41879</v>
      </c>
      <c r="C309" s="17">
        <v>-1.9621</v>
      </c>
      <c r="D309" s="17">
        <v>-7.6100000000000001E-2</v>
      </c>
      <c r="E309" s="11">
        <f t="shared" si="4"/>
        <v>-7.9100000000000004E-2</v>
      </c>
    </row>
    <row r="310" spans="1:5" hidden="1" x14ac:dyDescent="0.25">
      <c r="A310" s="15" t="s">
        <v>34</v>
      </c>
      <c r="B310" s="16">
        <v>41880</v>
      </c>
      <c r="C310" s="17">
        <v>-1.5979000000000001</v>
      </c>
      <c r="D310" s="17">
        <v>-0.44519999999999998</v>
      </c>
      <c r="E310" s="11">
        <f t="shared" si="4"/>
        <v>-0.44819999999999999</v>
      </c>
    </row>
    <row r="311" spans="1:5" hidden="1" x14ac:dyDescent="0.25">
      <c r="A311" s="15" t="s">
        <v>34</v>
      </c>
      <c r="B311" s="16">
        <v>41883</v>
      </c>
      <c r="C311" s="17">
        <v>1.9934000000000001</v>
      </c>
      <c r="D311" s="17">
        <v>0.8105</v>
      </c>
      <c r="E311" s="11">
        <f t="shared" si="4"/>
        <v>0.8075</v>
      </c>
    </row>
    <row r="312" spans="1:5" hidden="1" x14ac:dyDescent="0.25">
      <c r="A312" s="15" t="s">
        <v>34</v>
      </c>
      <c r="B312" s="16">
        <v>41884</v>
      </c>
      <c r="C312" s="17">
        <v>-1.5914999999999999</v>
      </c>
      <c r="D312" s="17">
        <v>-1.1986000000000001</v>
      </c>
      <c r="E312" s="11">
        <f t="shared" si="4"/>
        <v>-1.2016</v>
      </c>
    </row>
    <row r="313" spans="1:5" hidden="1" x14ac:dyDescent="0.25">
      <c r="A313" s="15" t="s">
        <v>34</v>
      </c>
      <c r="B313" s="16">
        <v>41885</v>
      </c>
      <c r="C313" s="17">
        <v>0.66620000000000001</v>
      </c>
      <c r="D313" s="17">
        <v>0.53720000000000001</v>
      </c>
      <c r="E313" s="11">
        <f t="shared" si="4"/>
        <v>0.53420000000000001</v>
      </c>
    </row>
    <row r="314" spans="1:5" hidden="1" x14ac:dyDescent="0.25">
      <c r="A314" s="15" t="s">
        <v>34</v>
      </c>
      <c r="B314" s="16">
        <v>41886</v>
      </c>
      <c r="C314" s="17">
        <v>-2.0121000000000002</v>
      </c>
      <c r="D314" s="17">
        <v>-0.2273</v>
      </c>
      <c r="E314" s="11">
        <f t="shared" si="4"/>
        <v>-0.2303</v>
      </c>
    </row>
    <row r="315" spans="1:5" hidden="1" x14ac:dyDescent="0.25">
      <c r="A315" s="15" t="s">
        <v>34</v>
      </c>
      <c r="B315" s="16">
        <v>41887</v>
      </c>
      <c r="C315" s="17">
        <v>-2.1919</v>
      </c>
      <c r="D315" s="17">
        <v>-0.22239999999999999</v>
      </c>
      <c r="E315" s="11">
        <f t="shared" si="4"/>
        <v>-0.22539999999999999</v>
      </c>
    </row>
    <row r="316" spans="1:5" hidden="1" x14ac:dyDescent="0.25">
      <c r="A316" s="15" t="s">
        <v>34</v>
      </c>
      <c r="B316" s="16">
        <v>41891</v>
      </c>
      <c r="C316" s="17">
        <v>1.7845</v>
      </c>
      <c r="D316" s="17">
        <v>0.2848</v>
      </c>
      <c r="E316" s="11">
        <f t="shared" si="4"/>
        <v>0.28179999999999999</v>
      </c>
    </row>
    <row r="317" spans="1:5" hidden="1" x14ac:dyDescent="0.25">
      <c r="A317" s="15" t="s">
        <v>34</v>
      </c>
      <c r="B317" s="16">
        <v>41892</v>
      </c>
      <c r="C317" s="17">
        <v>1.0826</v>
      </c>
      <c r="D317" s="17">
        <v>-0.82120000000000004</v>
      </c>
      <c r="E317" s="11">
        <f t="shared" si="4"/>
        <v>-0.82420000000000004</v>
      </c>
    </row>
    <row r="318" spans="1:5" hidden="1" x14ac:dyDescent="0.25">
      <c r="A318" s="15" t="s">
        <v>34</v>
      </c>
      <c r="B318" s="16">
        <v>41893</v>
      </c>
      <c r="C318" s="17">
        <v>-0.13469999999999999</v>
      </c>
      <c r="D318" s="17">
        <v>-0.37109999999999999</v>
      </c>
      <c r="E318" s="11">
        <f t="shared" si="4"/>
        <v>-0.37409999999999999</v>
      </c>
    </row>
    <row r="319" spans="1:5" hidden="1" x14ac:dyDescent="0.25">
      <c r="A319" s="15" t="s">
        <v>34</v>
      </c>
      <c r="B319" s="16">
        <v>41894</v>
      </c>
      <c r="C319" s="17">
        <v>-1.6305000000000001</v>
      </c>
      <c r="D319" s="17">
        <v>-1.0759000000000001</v>
      </c>
      <c r="E319" s="11">
        <f t="shared" si="4"/>
        <v>-1.0789</v>
      </c>
    </row>
    <row r="320" spans="1:5" hidden="1" x14ac:dyDescent="0.25">
      <c r="A320" s="15" t="s">
        <v>34</v>
      </c>
      <c r="B320" s="16">
        <v>41897</v>
      </c>
      <c r="C320" s="17">
        <v>0.27360000000000001</v>
      </c>
      <c r="D320" s="17">
        <v>-6.2E-2</v>
      </c>
      <c r="E320" s="11">
        <f t="shared" si="4"/>
        <v>-6.5000000000000002E-2</v>
      </c>
    </row>
    <row r="321" spans="1:5" hidden="1" x14ac:dyDescent="0.25">
      <c r="A321" s="15" t="s">
        <v>34</v>
      </c>
      <c r="B321" s="16">
        <v>41898</v>
      </c>
      <c r="C321" s="17">
        <v>0</v>
      </c>
      <c r="D321" s="17">
        <v>-0.91610000000000003</v>
      </c>
      <c r="E321" s="11">
        <f t="shared" si="4"/>
        <v>-0.91910000000000003</v>
      </c>
    </row>
    <row r="322" spans="1:5" hidden="1" x14ac:dyDescent="0.25">
      <c r="A322" s="15" t="s">
        <v>34</v>
      </c>
      <c r="B322" s="16">
        <v>41899</v>
      </c>
      <c r="C322" s="17">
        <v>1.6261000000000001</v>
      </c>
      <c r="D322" s="17">
        <v>0.67400000000000004</v>
      </c>
      <c r="E322" s="11">
        <f t="shared" si="4"/>
        <v>0.67100000000000004</v>
      </c>
    </row>
    <row r="323" spans="1:5" hidden="1" x14ac:dyDescent="0.25">
      <c r="A323" s="15" t="s">
        <v>34</v>
      </c>
      <c r="B323" s="16">
        <v>41900</v>
      </c>
      <c r="C323" s="17">
        <v>0.66979999999999995</v>
      </c>
      <c r="D323" s="17">
        <v>0.45419999999999999</v>
      </c>
      <c r="E323" s="11">
        <f t="shared" ref="E323:E386" si="5">D323-$M$1</f>
        <v>0.45119999999999999</v>
      </c>
    </row>
    <row r="324" spans="1:5" hidden="1" x14ac:dyDescent="0.25">
      <c r="A324" s="15" t="s">
        <v>34</v>
      </c>
      <c r="B324" s="16">
        <v>41901</v>
      </c>
      <c r="C324" s="17">
        <v>-0.26740000000000003</v>
      </c>
      <c r="D324" s="17">
        <v>3.6999999999999998E-2</v>
      </c>
      <c r="E324" s="11">
        <f t="shared" si="5"/>
        <v>3.3999999999999996E-2</v>
      </c>
    </row>
    <row r="325" spans="1:5" hidden="1" x14ac:dyDescent="0.25">
      <c r="A325" s="15" t="s">
        <v>34</v>
      </c>
      <c r="B325" s="16">
        <v>41904</v>
      </c>
      <c r="C325" s="17">
        <v>-2.0285000000000002</v>
      </c>
      <c r="D325" s="17">
        <v>-1.1516</v>
      </c>
      <c r="E325" s="11">
        <f t="shared" si="5"/>
        <v>-1.1545999999999998</v>
      </c>
    </row>
    <row r="326" spans="1:5" hidden="1" x14ac:dyDescent="0.25">
      <c r="A326" s="15" t="s">
        <v>34</v>
      </c>
      <c r="B326" s="16">
        <v>41905</v>
      </c>
      <c r="C326" s="17">
        <v>-1.2371000000000001</v>
      </c>
      <c r="D326" s="17">
        <v>-0.54610000000000003</v>
      </c>
      <c r="E326" s="11">
        <f t="shared" si="5"/>
        <v>-0.54910000000000003</v>
      </c>
    </row>
    <row r="327" spans="1:5" hidden="1" x14ac:dyDescent="0.25">
      <c r="A327" s="15" t="s">
        <v>34</v>
      </c>
      <c r="B327" s="16">
        <v>41906</v>
      </c>
      <c r="C327" s="17">
        <v>-2.0964999999999998</v>
      </c>
      <c r="D327" s="17">
        <v>0.14949999999999999</v>
      </c>
      <c r="E327" s="11">
        <f t="shared" si="5"/>
        <v>0.14649999999999999</v>
      </c>
    </row>
    <row r="328" spans="1:5" hidden="1" x14ac:dyDescent="0.25">
      <c r="A328" s="15" t="s">
        <v>34</v>
      </c>
      <c r="B328" s="16">
        <v>41907</v>
      </c>
      <c r="C328" s="17">
        <v>0.98380000000000001</v>
      </c>
      <c r="D328" s="17">
        <v>-0.9597</v>
      </c>
      <c r="E328" s="11">
        <f t="shared" si="5"/>
        <v>-0.9627</v>
      </c>
    </row>
    <row r="329" spans="1:5" hidden="1" x14ac:dyDescent="0.25">
      <c r="A329" s="15" t="s">
        <v>34</v>
      </c>
      <c r="B329" s="16">
        <v>41908</v>
      </c>
      <c r="C329" s="17">
        <v>2.0762</v>
      </c>
      <c r="D329" s="17">
        <v>-0.2419</v>
      </c>
      <c r="E329" s="11">
        <f t="shared" si="5"/>
        <v>-0.24490000000000001</v>
      </c>
    </row>
    <row r="330" spans="1:5" hidden="1" x14ac:dyDescent="0.25">
      <c r="A330" s="15" t="s">
        <v>34</v>
      </c>
      <c r="B330" s="16">
        <v>41911</v>
      </c>
      <c r="C330" s="17">
        <v>-1.1019000000000001</v>
      </c>
      <c r="D330" s="17">
        <v>-0.32379999999999998</v>
      </c>
      <c r="E330" s="11">
        <f t="shared" si="5"/>
        <v>-0.32679999999999998</v>
      </c>
    </row>
    <row r="331" spans="1:5" hidden="1" x14ac:dyDescent="0.25">
      <c r="A331" s="15" t="s">
        <v>34</v>
      </c>
      <c r="B331" s="16">
        <v>41912</v>
      </c>
      <c r="C331" s="17">
        <v>-1.9581</v>
      </c>
      <c r="D331" s="17">
        <v>6.8699999999999997E-2</v>
      </c>
      <c r="E331" s="11">
        <f t="shared" si="5"/>
        <v>6.5699999999999995E-2</v>
      </c>
    </row>
    <row r="332" spans="1:5" hidden="1" x14ac:dyDescent="0.25">
      <c r="A332" s="15" t="s">
        <v>34</v>
      </c>
      <c r="B332" s="16">
        <v>41913</v>
      </c>
      <c r="C332" s="17">
        <v>2.2347000000000001</v>
      </c>
      <c r="D332" s="17">
        <v>0.26</v>
      </c>
      <c r="E332" s="11">
        <f t="shared" si="5"/>
        <v>0.25700000000000001</v>
      </c>
    </row>
    <row r="333" spans="1:5" hidden="1" x14ac:dyDescent="0.25">
      <c r="A333" s="15" t="s">
        <v>34</v>
      </c>
      <c r="B333" s="16">
        <v>41914</v>
      </c>
      <c r="C333" s="17">
        <v>1.0989</v>
      </c>
      <c r="D333" s="17">
        <v>-0.1678</v>
      </c>
      <c r="E333" s="11">
        <f t="shared" si="5"/>
        <v>-0.17080000000000001</v>
      </c>
    </row>
    <row r="334" spans="1:5" hidden="1" x14ac:dyDescent="0.25">
      <c r="A334" s="15" t="s">
        <v>34</v>
      </c>
      <c r="B334" s="16">
        <v>41915</v>
      </c>
      <c r="C334" s="17">
        <v>5.3204000000000002</v>
      </c>
      <c r="D334" s="17">
        <v>1.45</v>
      </c>
      <c r="E334" s="11">
        <f t="shared" si="5"/>
        <v>1.4470000000000001</v>
      </c>
    </row>
    <row r="335" spans="1:5" hidden="1" x14ac:dyDescent="0.25">
      <c r="A335" s="15" t="s">
        <v>34</v>
      </c>
      <c r="B335" s="16">
        <v>41918</v>
      </c>
      <c r="C335" s="17">
        <v>-0.91090000000000004</v>
      </c>
      <c r="D335" s="17">
        <v>-0.12239999999999999</v>
      </c>
      <c r="E335" s="11">
        <f t="shared" si="5"/>
        <v>-0.12539999999999998</v>
      </c>
    </row>
    <row r="336" spans="1:5" hidden="1" x14ac:dyDescent="0.25">
      <c r="A336" s="15" t="s">
        <v>34</v>
      </c>
      <c r="B336" s="16">
        <v>41919</v>
      </c>
      <c r="C336" s="17">
        <v>0.52149999999999996</v>
      </c>
      <c r="D336" s="17">
        <v>-0.59909999999999997</v>
      </c>
      <c r="E336" s="11">
        <f t="shared" si="5"/>
        <v>-0.60209999999999997</v>
      </c>
    </row>
    <row r="337" spans="1:5" hidden="1" x14ac:dyDescent="0.25">
      <c r="A337" s="15" t="s">
        <v>34</v>
      </c>
      <c r="B337" s="16">
        <v>41920</v>
      </c>
      <c r="C337" s="17">
        <v>-3.5741999999999998</v>
      </c>
      <c r="D337" s="17">
        <v>-0.95169999999999999</v>
      </c>
      <c r="E337" s="11">
        <f t="shared" si="5"/>
        <v>-0.95469999999999999</v>
      </c>
    </row>
    <row r="338" spans="1:5" hidden="1" x14ac:dyDescent="0.25">
      <c r="A338" s="15" t="s">
        <v>34</v>
      </c>
      <c r="B338" s="16">
        <v>41921</v>
      </c>
      <c r="C338" s="17">
        <v>0.53759999999999997</v>
      </c>
      <c r="D338" s="17">
        <v>0.12570000000000001</v>
      </c>
      <c r="E338" s="11">
        <f t="shared" si="5"/>
        <v>0.1227</v>
      </c>
    </row>
    <row r="339" spans="1:5" hidden="1" x14ac:dyDescent="0.25">
      <c r="A339" s="15" t="s">
        <v>34</v>
      </c>
      <c r="B339" s="16">
        <v>41925</v>
      </c>
      <c r="C339" s="17">
        <v>-4.6647999999999996</v>
      </c>
      <c r="D339" s="17">
        <v>-2.8856999999999999</v>
      </c>
      <c r="E339" s="11">
        <f t="shared" si="5"/>
        <v>-2.8887</v>
      </c>
    </row>
    <row r="340" spans="1:5" hidden="1" x14ac:dyDescent="0.25">
      <c r="A340" s="15" t="s">
        <v>34</v>
      </c>
      <c r="B340" s="16">
        <v>41926</v>
      </c>
      <c r="C340" s="17">
        <v>0.69979999999999998</v>
      </c>
      <c r="D340" s="17">
        <v>0.6522</v>
      </c>
      <c r="E340" s="11">
        <f t="shared" si="5"/>
        <v>0.6492</v>
      </c>
    </row>
    <row r="341" spans="1:5" hidden="1" x14ac:dyDescent="0.25">
      <c r="A341" s="15" t="s">
        <v>34</v>
      </c>
      <c r="B341" s="16">
        <v>41927</v>
      </c>
      <c r="C341" s="17">
        <v>-2.2568000000000001</v>
      </c>
      <c r="D341" s="17">
        <v>-1.2957000000000001</v>
      </c>
      <c r="E341" s="11">
        <f t="shared" si="5"/>
        <v>-1.2987</v>
      </c>
    </row>
    <row r="342" spans="1:5" hidden="1" x14ac:dyDescent="0.25">
      <c r="A342" s="15" t="s">
        <v>34</v>
      </c>
      <c r="B342" s="16">
        <v>41928</v>
      </c>
      <c r="C342" s="17">
        <v>-0.71579999999999999</v>
      </c>
      <c r="D342" s="17">
        <v>-0.25240000000000001</v>
      </c>
      <c r="E342" s="11">
        <f t="shared" si="5"/>
        <v>-0.25540000000000002</v>
      </c>
    </row>
    <row r="343" spans="1:5" hidden="1" x14ac:dyDescent="0.25">
      <c r="A343" s="15" t="s">
        <v>34</v>
      </c>
      <c r="B343" s="16">
        <v>41929</v>
      </c>
      <c r="C343" s="17">
        <v>-0.86580000000000001</v>
      </c>
      <c r="D343" s="17">
        <v>-1.4092</v>
      </c>
      <c r="E343" s="11">
        <f t="shared" si="5"/>
        <v>-1.4121999999999999</v>
      </c>
    </row>
    <row r="344" spans="1:5" hidden="1" x14ac:dyDescent="0.25">
      <c r="A344" s="15" t="s">
        <v>34</v>
      </c>
      <c r="B344" s="16">
        <v>41932</v>
      </c>
      <c r="C344" s="17">
        <v>1.4389000000000001</v>
      </c>
      <c r="D344" s="17">
        <v>1.7497</v>
      </c>
      <c r="E344" s="11">
        <f t="shared" si="5"/>
        <v>1.7467000000000001</v>
      </c>
    </row>
    <row r="345" spans="1:5" hidden="1" x14ac:dyDescent="0.25">
      <c r="A345" s="15" t="s">
        <v>34</v>
      </c>
      <c r="B345" s="16">
        <v>41933</v>
      </c>
      <c r="C345" s="17">
        <v>-1.7291000000000001</v>
      </c>
      <c r="D345" s="17">
        <v>-9.8199999999999996E-2</v>
      </c>
      <c r="E345" s="11">
        <f t="shared" si="5"/>
        <v>-0.1012</v>
      </c>
    </row>
    <row r="346" spans="1:5" hidden="1" x14ac:dyDescent="0.25">
      <c r="A346" s="15" t="s">
        <v>34</v>
      </c>
      <c r="B346" s="16">
        <v>41934</v>
      </c>
      <c r="C346" s="17">
        <v>2.8654999999999999</v>
      </c>
      <c r="D346" s="17">
        <v>1.0824</v>
      </c>
      <c r="E346" s="11">
        <f t="shared" si="5"/>
        <v>1.0794000000000001</v>
      </c>
    </row>
    <row r="347" spans="1:5" hidden="1" x14ac:dyDescent="0.25">
      <c r="A347" s="15" t="s">
        <v>34</v>
      </c>
      <c r="B347" s="16">
        <v>41935</v>
      </c>
      <c r="C347" s="17">
        <v>-0.85109999999999997</v>
      </c>
      <c r="D347" s="17">
        <v>-0.20319999999999999</v>
      </c>
      <c r="E347" s="11">
        <f t="shared" si="5"/>
        <v>-0.20619999999999999</v>
      </c>
    </row>
    <row r="348" spans="1:5" hidden="1" x14ac:dyDescent="0.25">
      <c r="A348" s="15" t="s">
        <v>34</v>
      </c>
      <c r="B348" s="16">
        <v>41936</v>
      </c>
      <c r="C348" s="17">
        <v>-0.2853</v>
      </c>
      <c r="D348" s="17">
        <v>-0.97899999999999998</v>
      </c>
      <c r="E348" s="11">
        <f t="shared" si="5"/>
        <v>-0.98199999999999998</v>
      </c>
    </row>
    <row r="349" spans="1:5" hidden="1" x14ac:dyDescent="0.25">
      <c r="A349" s="15" t="s">
        <v>34</v>
      </c>
      <c r="B349" s="16">
        <v>41939</v>
      </c>
      <c r="C349" s="17">
        <v>0.56979999999999997</v>
      </c>
      <c r="D349" s="17">
        <v>-0.21110000000000001</v>
      </c>
      <c r="E349" s="11">
        <f t="shared" si="5"/>
        <v>-0.21410000000000001</v>
      </c>
    </row>
    <row r="350" spans="1:5" hidden="1" x14ac:dyDescent="0.25">
      <c r="A350" s="15" t="s">
        <v>34</v>
      </c>
      <c r="B350" s="16">
        <v>41940</v>
      </c>
      <c r="C350" s="17">
        <v>0.42520000000000002</v>
      </c>
      <c r="D350" s="17">
        <v>1.6754</v>
      </c>
      <c r="E350" s="11">
        <f t="shared" si="5"/>
        <v>1.6724000000000001</v>
      </c>
    </row>
    <row r="351" spans="1:5" hidden="1" x14ac:dyDescent="0.25">
      <c r="A351" s="15" t="s">
        <v>34</v>
      </c>
      <c r="B351" s="16">
        <v>41941</v>
      </c>
      <c r="C351" s="17">
        <v>0.98519999999999996</v>
      </c>
      <c r="D351" s="17">
        <v>1.4722999999999999</v>
      </c>
      <c r="E351" s="11">
        <f t="shared" si="5"/>
        <v>1.4693000000000001</v>
      </c>
    </row>
    <row r="352" spans="1:5" hidden="1" x14ac:dyDescent="0.25">
      <c r="A352" s="15" t="s">
        <v>34</v>
      </c>
      <c r="B352" s="16">
        <v>41942</v>
      </c>
      <c r="C352" s="17">
        <v>0.41930000000000001</v>
      </c>
      <c r="D352" s="17">
        <v>-0.17549999999999999</v>
      </c>
      <c r="E352" s="11">
        <f t="shared" si="5"/>
        <v>-0.17849999999999999</v>
      </c>
    </row>
    <row r="353" spans="1:5" hidden="1" x14ac:dyDescent="0.25">
      <c r="A353" s="15" t="s">
        <v>34</v>
      </c>
      <c r="B353" s="16">
        <v>41943</v>
      </c>
      <c r="C353" s="17">
        <v>1.3851</v>
      </c>
      <c r="D353" s="17">
        <v>0.97060000000000002</v>
      </c>
      <c r="E353" s="11">
        <f t="shared" si="5"/>
        <v>0.96760000000000002</v>
      </c>
    </row>
    <row r="354" spans="1:5" hidden="1" x14ac:dyDescent="0.25">
      <c r="A354" s="15" t="s">
        <v>34</v>
      </c>
      <c r="B354" s="16">
        <v>41946</v>
      </c>
      <c r="C354" s="17">
        <v>0.4118</v>
      </c>
      <c r="D354" s="17">
        <v>0.33479999999999999</v>
      </c>
      <c r="E354" s="11">
        <f t="shared" si="5"/>
        <v>0.33179999999999998</v>
      </c>
    </row>
    <row r="355" spans="1:5" hidden="1" x14ac:dyDescent="0.25">
      <c r="A355" s="15" t="s">
        <v>34</v>
      </c>
      <c r="B355" s="16">
        <v>41947</v>
      </c>
      <c r="C355" s="17">
        <v>1.3606</v>
      </c>
      <c r="D355" s="17">
        <v>-0.17430000000000001</v>
      </c>
      <c r="E355" s="11">
        <f t="shared" si="5"/>
        <v>-0.17730000000000001</v>
      </c>
    </row>
    <row r="356" spans="1:5" hidden="1" x14ac:dyDescent="0.25">
      <c r="A356" s="15" t="s">
        <v>34</v>
      </c>
      <c r="B356" s="16">
        <v>41948</v>
      </c>
      <c r="C356" s="17">
        <v>-0.67800000000000005</v>
      </c>
      <c r="D356" s="17">
        <v>-0.29609999999999997</v>
      </c>
      <c r="E356" s="11">
        <f t="shared" si="5"/>
        <v>-0.29909999999999998</v>
      </c>
    </row>
    <row r="357" spans="1:5" hidden="1" x14ac:dyDescent="0.25">
      <c r="A357" s="15" t="s">
        <v>34</v>
      </c>
      <c r="B357" s="16">
        <v>41949</v>
      </c>
      <c r="C357" s="17">
        <v>-1.7845</v>
      </c>
      <c r="D357" s="17">
        <v>-0.80189999999999995</v>
      </c>
      <c r="E357" s="11">
        <f t="shared" si="5"/>
        <v>-0.80489999999999995</v>
      </c>
    </row>
    <row r="358" spans="1:5" hidden="1" x14ac:dyDescent="0.25">
      <c r="A358" s="15" t="s">
        <v>34</v>
      </c>
      <c r="B358" s="16">
        <v>41950</v>
      </c>
      <c r="C358" s="17">
        <v>-0.83450000000000002</v>
      </c>
      <c r="D358" s="17">
        <v>0.24260000000000001</v>
      </c>
      <c r="E358" s="11">
        <f t="shared" si="5"/>
        <v>0.23960000000000001</v>
      </c>
    </row>
    <row r="359" spans="1:5" hidden="1" x14ac:dyDescent="0.25">
      <c r="A359" s="15" t="s">
        <v>34</v>
      </c>
      <c r="B359" s="16">
        <v>41953</v>
      </c>
      <c r="C359" s="17">
        <v>-1.5482</v>
      </c>
      <c r="D359" s="17">
        <v>1.5294000000000001</v>
      </c>
      <c r="E359" s="11">
        <f t="shared" si="5"/>
        <v>1.5264000000000002</v>
      </c>
    </row>
    <row r="360" spans="1:5" hidden="1" x14ac:dyDescent="0.25">
      <c r="A360" s="15" t="s">
        <v>34</v>
      </c>
      <c r="B360" s="16">
        <v>41954</v>
      </c>
      <c r="C360" s="17">
        <v>3.3475999999999999</v>
      </c>
      <c r="D360" s="17">
        <v>-0.17519999999999999</v>
      </c>
      <c r="E360" s="11">
        <f t="shared" si="5"/>
        <v>-0.1782</v>
      </c>
    </row>
    <row r="361" spans="1:5" hidden="1" x14ac:dyDescent="0.25">
      <c r="A361" s="15" t="s">
        <v>34</v>
      </c>
      <c r="B361" s="16">
        <v>41955</v>
      </c>
      <c r="C361" s="17">
        <v>-1.6597999999999999</v>
      </c>
      <c r="D361" s="17">
        <v>-1.2833000000000001</v>
      </c>
      <c r="E361" s="11">
        <f t="shared" si="5"/>
        <v>-1.2863</v>
      </c>
    </row>
    <row r="362" spans="1:5" hidden="1" x14ac:dyDescent="0.25">
      <c r="A362" s="15" t="s">
        <v>34</v>
      </c>
      <c r="B362" s="16">
        <v>41956</v>
      </c>
      <c r="C362" s="17">
        <v>1.7968999999999999</v>
      </c>
      <c r="D362" s="17">
        <v>0.68959999999999999</v>
      </c>
      <c r="E362" s="11">
        <f t="shared" si="5"/>
        <v>0.68659999999999999</v>
      </c>
    </row>
    <row r="363" spans="1:5" hidden="1" x14ac:dyDescent="0.25">
      <c r="A363" s="15" t="s">
        <v>34</v>
      </c>
      <c r="B363" s="16">
        <v>41957</v>
      </c>
      <c r="C363" s="17">
        <v>0.95430000000000004</v>
      </c>
      <c r="D363" s="17">
        <v>2.46E-2</v>
      </c>
      <c r="E363" s="11">
        <f t="shared" si="5"/>
        <v>2.1600000000000001E-2</v>
      </c>
    </row>
    <row r="364" spans="1:5" hidden="1" x14ac:dyDescent="0.25">
      <c r="A364" s="15" t="s">
        <v>34</v>
      </c>
      <c r="B364" s="16">
        <v>41960</v>
      </c>
      <c r="C364" s="17">
        <v>-0.1358</v>
      </c>
      <c r="D364" s="17">
        <v>-1.1025</v>
      </c>
      <c r="E364" s="11">
        <f t="shared" si="5"/>
        <v>-1.1054999999999999</v>
      </c>
    </row>
    <row r="365" spans="1:5" hidden="1" x14ac:dyDescent="0.25">
      <c r="A365" s="15" t="s">
        <v>34</v>
      </c>
      <c r="B365" s="16">
        <v>41961</v>
      </c>
      <c r="C365" s="17">
        <v>0.27139999999999997</v>
      </c>
      <c r="D365" s="17">
        <v>-0.28539999999999999</v>
      </c>
      <c r="E365" s="11">
        <f t="shared" si="5"/>
        <v>-0.28839999999999999</v>
      </c>
    </row>
    <row r="366" spans="1:5" hidden="1" x14ac:dyDescent="0.25">
      <c r="A366" s="15" t="s">
        <v>34</v>
      </c>
      <c r="B366" s="16">
        <v>41962</v>
      </c>
      <c r="C366" s="17">
        <v>1.6129</v>
      </c>
      <c r="D366" s="17">
        <v>1.169</v>
      </c>
      <c r="E366" s="11">
        <f t="shared" si="5"/>
        <v>1.1660000000000001</v>
      </c>
    </row>
    <row r="367" spans="1:5" hidden="1" x14ac:dyDescent="0.25">
      <c r="A367" s="15" t="s">
        <v>34</v>
      </c>
      <c r="B367" s="16">
        <v>41963</v>
      </c>
      <c r="C367" s="17">
        <v>0.26629999999999998</v>
      </c>
      <c r="D367" s="17">
        <v>1.2818000000000001</v>
      </c>
      <c r="E367" s="11">
        <f t="shared" si="5"/>
        <v>1.2788000000000002</v>
      </c>
    </row>
    <row r="368" spans="1:5" hidden="1" x14ac:dyDescent="0.25">
      <c r="A368" s="15" t="s">
        <v>34</v>
      </c>
      <c r="B368" s="16">
        <v>41964</v>
      </c>
      <c r="C368" s="17">
        <v>0.53049999999999997</v>
      </c>
      <c r="D368" s="17">
        <v>0.13930000000000001</v>
      </c>
      <c r="E368" s="11">
        <f t="shared" si="5"/>
        <v>0.1363</v>
      </c>
    </row>
    <row r="369" spans="1:5" hidden="1" x14ac:dyDescent="0.25">
      <c r="A369" s="15" t="s">
        <v>34</v>
      </c>
      <c r="B369" s="16">
        <v>41967</v>
      </c>
      <c r="C369" s="17">
        <v>-0.26490000000000002</v>
      </c>
      <c r="D369" s="17">
        <v>0.3382</v>
      </c>
      <c r="E369" s="11">
        <f t="shared" si="5"/>
        <v>0.3352</v>
      </c>
    </row>
    <row r="370" spans="1:5" hidden="1" x14ac:dyDescent="0.25">
      <c r="A370" s="15" t="s">
        <v>34</v>
      </c>
      <c r="B370" s="16">
        <v>41968</v>
      </c>
      <c r="C370" s="17">
        <v>0.26490000000000002</v>
      </c>
      <c r="D370" s="17">
        <v>-6.6799999999999998E-2</v>
      </c>
      <c r="E370" s="11">
        <f t="shared" si="5"/>
        <v>-6.9800000000000001E-2</v>
      </c>
    </row>
    <row r="371" spans="1:5" hidden="1" x14ac:dyDescent="0.25">
      <c r="A371" s="15" t="s">
        <v>34</v>
      </c>
      <c r="B371" s="16">
        <v>41969</v>
      </c>
      <c r="C371" s="17">
        <v>-1.0638000000000001</v>
      </c>
      <c r="D371" s="17">
        <v>6.7400000000000002E-2</v>
      </c>
      <c r="E371" s="11">
        <f t="shared" si="5"/>
        <v>6.4399999999999999E-2</v>
      </c>
    </row>
    <row r="372" spans="1:5" hidden="1" x14ac:dyDescent="0.25">
      <c r="A372" s="15" t="s">
        <v>34</v>
      </c>
      <c r="B372" s="16">
        <v>41970</v>
      </c>
      <c r="C372" s="17">
        <v>0</v>
      </c>
      <c r="D372" s="17">
        <v>0.46939999999999998</v>
      </c>
      <c r="E372" s="11">
        <f t="shared" si="5"/>
        <v>0.46639999999999998</v>
      </c>
    </row>
    <row r="373" spans="1:5" hidden="1" x14ac:dyDescent="0.25">
      <c r="A373" s="15" t="s">
        <v>34</v>
      </c>
      <c r="B373" s="16">
        <v>41971</v>
      </c>
      <c r="C373" s="17">
        <v>0.40029999999999999</v>
      </c>
      <c r="D373" s="17">
        <v>0.23799999999999999</v>
      </c>
      <c r="E373" s="11">
        <f t="shared" si="5"/>
        <v>0.23499999999999999</v>
      </c>
    </row>
    <row r="374" spans="1:5" hidden="1" x14ac:dyDescent="0.25">
      <c r="A374" s="15" t="s">
        <v>34</v>
      </c>
      <c r="B374" s="16">
        <v>41974</v>
      </c>
      <c r="C374" s="17">
        <v>-0.26669999999999999</v>
      </c>
      <c r="D374" s="17">
        <v>-0.75870000000000004</v>
      </c>
      <c r="E374" s="11">
        <f t="shared" si="5"/>
        <v>-0.76170000000000004</v>
      </c>
    </row>
    <row r="375" spans="1:5" hidden="1" x14ac:dyDescent="0.25">
      <c r="A375" s="15" t="s">
        <v>34</v>
      </c>
      <c r="B375" s="16">
        <v>41975</v>
      </c>
      <c r="C375" s="17">
        <v>-3.1189</v>
      </c>
      <c r="D375" s="17">
        <v>-0.91359999999999997</v>
      </c>
      <c r="E375" s="11">
        <f t="shared" si="5"/>
        <v>-0.91659999999999997</v>
      </c>
    </row>
    <row r="376" spans="1:5" hidden="1" x14ac:dyDescent="0.25">
      <c r="A376" s="15" t="s">
        <v>34</v>
      </c>
      <c r="B376" s="16">
        <v>41976</v>
      </c>
      <c r="C376" s="17">
        <v>2.0451000000000001</v>
      </c>
      <c r="D376" s="17">
        <v>1.5427999999999999</v>
      </c>
      <c r="E376" s="11">
        <f t="shared" si="5"/>
        <v>1.5398000000000001</v>
      </c>
    </row>
    <row r="377" spans="1:5" hidden="1" x14ac:dyDescent="0.25">
      <c r="A377" s="15" t="s">
        <v>34</v>
      </c>
      <c r="B377" s="16">
        <v>41977</v>
      </c>
      <c r="C377" s="17">
        <v>2.2683</v>
      </c>
      <c r="D377" s="17">
        <v>0.54179999999999995</v>
      </c>
      <c r="E377" s="11">
        <f t="shared" si="5"/>
        <v>0.53879999999999995</v>
      </c>
    </row>
    <row r="378" spans="1:5" hidden="1" x14ac:dyDescent="0.25">
      <c r="A378" s="15" t="s">
        <v>34</v>
      </c>
      <c r="B378" s="16">
        <v>41978</v>
      </c>
      <c r="C378" s="17">
        <v>0.26350000000000001</v>
      </c>
      <c r="D378" s="17">
        <v>-0.20119999999999999</v>
      </c>
      <c r="E378" s="11">
        <f t="shared" si="5"/>
        <v>-0.20419999999999999</v>
      </c>
    </row>
    <row r="379" spans="1:5" hidden="1" x14ac:dyDescent="0.25">
      <c r="A379" s="15" t="s">
        <v>34</v>
      </c>
      <c r="B379" s="16">
        <v>41981</v>
      </c>
      <c r="C379" s="17">
        <v>2.3408000000000002</v>
      </c>
      <c r="D379" s="17">
        <v>-0.20960000000000001</v>
      </c>
      <c r="E379" s="11">
        <f t="shared" si="5"/>
        <v>-0.21260000000000001</v>
      </c>
    </row>
    <row r="380" spans="1:5" hidden="1" x14ac:dyDescent="0.25">
      <c r="A380" s="15" t="s">
        <v>34</v>
      </c>
      <c r="B380" s="16">
        <v>41982</v>
      </c>
      <c r="C380" s="17">
        <v>-0.51549999999999996</v>
      </c>
      <c r="D380" s="17">
        <v>-0.63759999999999994</v>
      </c>
      <c r="E380" s="11">
        <f t="shared" si="5"/>
        <v>-0.64059999999999995</v>
      </c>
    </row>
    <row r="381" spans="1:5" hidden="1" x14ac:dyDescent="0.25">
      <c r="A381" s="15" t="s">
        <v>34</v>
      </c>
      <c r="B381" s="16">
        <v>41983</v>
      </c>
      <c r="C381" s="17">
        <v>-4.4922000000000004</v>
      </c>
      <c r="D381" s="17">
        <v>-1.0653999999999999</v>
      </c>
      <c r="E381" s="11">
        <f t="shared" si="5"/>
        <v>-1.0683999999999998</v>
      </c>
    </row>
    <row r="382" spans="1:5" hidden="1" x14ac:dyDescent="0.25">
      <c r="A382" s="15" t="s">
        <v>34</v>
      </c>
      <c r="B382" s="16">
        <v>41984</v>
      </c>
      <c r="C382" s="17">
        <v>-0.54200000000000004</v>
      </c>
      <c r="D382" s="17">
        <v>-0.21160000000000001</v>
      </c>
      <c r="E382" s="11">
        <f t="shared" si="5"/>
        <v>-0.21460000000000001</v>
      </c>
    </row>
    <row r="383" spans="1:5" hidden="1" x14ac:dyDescent="0.25">
      <c r="A383" s="15" t="s">
        <v>34</v>
      </c>
      <c r="B383" s="16">
        <v>41985</v>
      </c>
      <c r="C383" s="17">
        <v>3.2088000000000001</v>
      </c>
      <c r="D383" s="17">
        <v>0.15809999999999999</v>
      </c>
      <c r="E383" s="11">
        <f t="shared" si="5"/>
        <v>0.15509999999999999</v>
      </c>
    </row>
    <row r="384" spans="1:5" hidden="1" x14ac:dyDescent="0.25">
      <c r="A384" s="15" t="s">
        <v>34</v>
      </c>
      <c r="B384" s="16">
        <v>41988</v>
      </c>
      <c r="C384" s="17">
        <v>-0.92530000000000001</v>
      </c>
      <c r="D384" s="17">
        <v>-0.46300000000000002</v>
      </c>
      <c r="E384" s="11">
        <f t="shared" si="5"/>
        <v>-0.46600000000000003</v>
      </c>
    </row>
    <row r="385" spans="1:5" hidden="1" x14ac:dyDescent="0.25">
      <c r="A385" s="15" t="s">
        <v>34</v>
      </c>
      <c r="B385" s="16">
        <v>41989</v>
      </c>
      <c r="C385" s="17">
        <v>-0.8</v>
      </c>
      <c r="D385" s="17">
        <v>-0.3871</v>
      </c>
      <c r="E385" s="11">
        <f t="shared" si="5"/>
        <v>-0.3901</v>
      </c>
    </row>
    <row r="386" spans="1:5" hidden="1" x14ac:dyDescent="0.25">
      <c r="A386" s="15" t="s">
        <v>34</v>
      </c>
      <c r="B386" s="16">
        <v>41990</v>
      </c>
      <c r="C386" s="17">
        <v>-2.3020999999999998</v>
      </c>
      <c r="D386" s="17">
        <v>-1.3786</v>
      </c>
      <c r="E386" s="11">
        <f t="shared" si="5"/>
        <v>-1.3815999999999999</v>
      </c>
    </row>
    <row r="387" spans="1:5" hidden="1" x14ac:dyDescent="0.25">
      <c r="A387" s="15" t="s">
        <v>34</v>
      </c>
      <c r="B387" s="16">
        <v>41991</v>
      </c>
      <c r="C387" s="17">
        <v>4.4212999999999996</v>
      </c>
      <c r="D387" s="17">
        <v>0.56779999999999997</v>
      </c>
      <c r="E387" s="11">
        <f t="shared" ref="E387:E450" si="6">D387-$M$1</f>
        <v>0.56479999999999997</v>
      </c>
    </row>
    <row r="388" spans="1:5" hidden="1" x14ac:dyDescent="0.25">
      <c r="A388" s="15" t="s">
        <v>34</v>
      </c>
      <c r="B388" s="16">
        <v>41992</v>
      </c>
      <c r="C388" s="17">
        <v>1.4314</v>
      </c>
      <c r="D388" s="17">
        <v>1.3524</v>
      </c>
      <c r="E388" s="11">
        <f t="shared" si="6"/>
        <v>1.3494000000000002</v>
      </c>
    </row>
    <row r="389" spans="1:5" hidden="1" x14ac:dyDescent="0.25">
      <c r="A389" s="15" t="s">
        <v>34</v>
      </c>
      <c r="B389" s="16">
        <v>41995</v>
      </c>
      <c r="C389" s="17">
        <v>1.0283</v>
      </c>
      <c r="D389" s="17">
        <v>1.0553999999999999</v>
      </c>
      <c r="E389" s="11">
        <f t="shared" si="6"/>
        <v>1.0524</v>
      </c>
    </row>
    <row r="390" spans="1:5" hidden="1" x14ac:dyDescent="0.25">
      <c r="A390" s="15" t="s">
        <v>34</v>
      </c>
      <c r="B390" s="16">
        <v>41996</v>
      </c>
      <c r="C390" s="17">
        <v>-2.8536000000000001</v>
      </c>
      <c r="D390" s="17">
        <v>2.98E-2</v>
      </c>
      <c r="E390" s="11">
        <f t="shared" si="6"/>
        <v>2.6800000000000001E-2</v>
      </c>
    </row>
    <row r="391" spans="1:5" hidden="1" x14ac:dyDescent="0.25">
      <c r="A391" s="15" t="s">
        <v>34</v>
      </c>
      <c r="B391" s="16">
        <v>41997</v>
      </c>
      <c r="C391" s="17">
        <v>0</v>
      </c>
      <c r="D391" s="17">
        <v>0.9677</v>
      </c>
      <c r="E391" s="11">
        <f t="shared" si="6"/>
        <v>0.9647</v>
      </c>
    </row>
    <row r="392" spans="1:5" hidden="1" x14ac:dyDescent="0.25">
      <c r="A392" s="15" t="s">
        <v>34</v>
      </c>
      <c r="B392" s="16">
        <v>41998</v>
      </c>
      <c r="C392" s="17">
        <v>-0.52769999999999995</v>
      </c>
      <c r="D392" s="17">
        <v>-0.29959999999999998</v>
      </c>
      <c r="E392" s="11">
        <f t="shared" si="6"/>
        <v>-0.30259999999999998</v>
      </c>
    </row>
    <row r="393" spans="1:5" hidden="1" x14ac:dyDescent="0.25">
      <c r="A393" s="15" t="s">
        <v>34</v>
      </c>
      <c r="B393" s="16">
        <v>41999</v>
      </c>
      <c r="C393" s="17">
        <v>-0.26490000000000002</v>
      </c>
      <c r="D393" s="17">
        <v>0.60270000000000001</v>
      </c>
      <c r="E393" s="11">
        <f t="shared" si="6"/>
        <v>0.59970000000000001</v>
      </c>
    </row>
    <row r="394" spans="1:5" hidden="1" x14ac:dyDescent="0.25">
      <c r="A394" s="15" t="s">
        <v>34</v>
      </c>
      <c r="B394" s="16">
        <v>42000</v>
      </c>
      <c r="C394" s="17">
        <v>-1.0667</v>
      </c>
      <c r="D394" s="17">
        <v>4.8099999999999997E-2</v>
      </c>
      <c r="E394" s="11">
        <f t="shared" si="6"/>
        <v>4.5099999999999994E-2</v>
      </c>
    </row>
    <row r="395" spans="1:5" hidden="1" x14ac:dyDescent="0.25">
      <c r="A395" s="15" t="s">
        <v>34</v>
      </c>
      <c r="B395" s="16">
        <v>42002</v>
      </c>
      <c r="C395" s="17">
        <v>2.2532000000000001</v>
      </c>
      <c r="D395" s="17">
        <v>0.73260000000000003</v>
      </c>
      <c r="E395" s="11">
        <f t="shared" si="6"/>
        <v>0.72960000000000003</v>
      </c>
    </row>
    <row r="396" spans="1:5" hidden="1" x14ac:dyDescent="0.25">
      <c r="A396" s="15" t="s">
        <v>34</v>
      </c>
      <c r="B396" s="16">
        <v>42003</v>
      </c>
      <c r="C396" s="17">
        <v>-0.26250000000000001</v>
      </c>
      <c r="D396" s="17">
        <v>-0.19239999999999999</v>
      </c>
      <c r="E396" s="11">
        <f t="shared" si="6"/>
        <v>-0.19539999999999999</v>
      </c>
    </row>
    <row r="397" spans="1:5" hidden="1" x14ac:dyDescent="0.25">
      <c r="A397" s="15" t="s">
        <v>34</v>
      </c>
      <c r="B397" s="16">
        <v>42004</v>
      </c>
      <c r="C397" s="17">
        <v>0.1313</v>
      </c>
      <c r="D397" s="17">
        <v>0.41810000000000003</v>
      </c>
      <c r="E397" s="11">
        <f t="shared" si="6"/>
        <v>0.41510000000000002</v>
      </c>
    </row>
    <row r="398" spans="1:5" hidden="1" x14ac:dyDescent="0.25">
      <c r="A398" s="15" t="s">
        <v>34</v>
      </c>
      <c r="B398" s="16">
        <v>42009</v>
      </c>
      <c r="C398" s="17">
        <v>-0.79049999999999998</v>
      </c>
      <c r="D398" s="17">
        <v>-0.35680000000000001</v>
      </c>
      <c r="E398" s="11">
        <f t="shared" si="6"/>
        <v>-0.35980000000000001</v>
      </c>
    </row>
    <row r="399" spans="1:5" hidden="1" x14ac:dyDescent="0.25">
      <c r="A399" s="15" t="s">
        <v>34</v>
      </c>
      <c r="B399" s="16">
        <v>42010</v>
      </c>
      <c r="C399" s="17">
        <v>-2.5453000000000001</v>
      </c>
      <c r="D399" s="17">
        <v>-2.4645000000000001</v>
      </c>
      <c r="E399" s="11">
        <f t="shared" si="6"/>
        <v>-2.4675000000000002</v>
      </c>
    </row>
    <row r="400" spans="1:5" hidden="1" x14ac:dyDescent="0.25">
      <c r="A400" s="15" t="s">
        <v>34</v>
      </c>
      <c r="B400" s="16">
        <v>42011</v>
      </c>
      <c r="C400" s="17">
        <v>-0.54420000000000002</v>
      </c>
      <c r="D400" s="17">
        <v>0.3503</v>
      </c>
      <c r="E400" s="11">
        <f t="shared" si="6"/>
        <v>0.3473</v>
      </c>
    </row>
    <row r="401" spans="1:5" hidden="1" x14ac:dyDescent="0.25">
      <c r="A401" s="15" t="s">
        <v>34</v>
      </c>
      <c r="B401" s="16">
        <v>42012</v>
      </c>
      <c r="C401" s="17">
        <v>1.6238999999999999</v>
      </c>
      <c r="D401" s="17">
        <v>1.7244999999999999</v>
      </c>
      <c r="E401" s="11">
        <f t="shared" si="6"/>
        <v>1.7215</v>
      </c>
    </row>
    <row r="402" spans="1:5" hidden="1" x14ac:dyDescent="0.25">
      <c r="A402" s="15" t="s">
        <v>34</v>
      </c>
      <c r="B402" s="16">
        <v>42013</v>
      </c>
      <c r="C402" s="17">
        <v>-0.1343</v>
      </c>
      <c r="D402" s="17">
        <v>-0.24329999999999999</v>
      </c>
      <c r="E402" s="11">
        <f t="shared" si="6"/>
        <v>-0.24629999999999999</v>
      </c>
    </row>
    <row r="403" spans="1:5" hidden="1" x14ac:dyDescent="0.25">
      <c r="A403" s="15" t="s">
        <v>34</v>
      </c>
      <c r="B403" s="16">
        <v>42016</v>
      </c>
      <c r="C403" s="17">
        <v>1.3351</v>
      </c>
      <c r="D403" s="17">
        <v>-0.40539999999999998</v>
      </c>
      <c r="E403" s="11">
        <f t="shared" si="6"/>
        <v>-0.40839999999999999</v>
      </c>
    </row>
    <row r="404" spans="1:5" hidden="1" x14ac:dyDescent="0.25">
      <c r="A404" s="15" t="s">
        <v>34</v>
      </c>
      <c r="B404" s="16">
        <v>42017</v>
      </c>
      <c r="C404" s="17">
        <v>1.579</v>
      </c>
      <c r="D404" s="17">
        <v>0.58120000000000005</v>
      </c>
      <c r="E404" s="11">
        <f t="shared" si="6"/>
        <v>0.57820000000000005</v>
      </c>
    </row>
    <row r="405" spans="1:5" hidden="1" x14ac:dyDescent="0.25">
      <c r="A405" s="15" t="s">
        <v>34</v>
      </c>
      <c r="B405" s="16">
        <v>42018</v>
      </c>
      <c r="C405" s="17">
        <v>-0.91800000000000004</v>
      </c>
      <c r="D405" s="17">
        <v>-0.56020000000000003</v>
      </c>
      <c r="E405" s="11">
        <f t="shared" si="6"/>
        <v>-0.56320000000000003</v>
      </c>
    </row>
    <row r="406" spans="1:5" hidden="1" x14ac:dyDescent="0.25">
      <c r="A406" s="15" t="s">
        <v>34</v>
      </c>
      <c r="B406" s="16">
        <v>42019</v>
      </c>
      <c r="C406" s="17">
        <v>-0.66090000000000004</v>
      </c>
      <c r="D406" s="17">
        <v>-0.1651</v>
      </c>
      <c r="E406" s="11">
        <f t="shared" si="6"/>
        <v>-0.1681</v>
      </c>
    </row>
    <row r="407" spans="1:5" hidden="1" x14ac:dyDescent="0.25">
      <c r="A407" s="15" t="s">
        <v>34</v>
      </c>
      <c r="B407" s="16">
        <v>42020</v>
      </c>
      <c r="C407" s="17">
        <v>-1.3351</v>
      </c>
      <c r="D407" s="17">
        <v>-0.2928</v>
      </c>
      <c r="E407" s="11">
        <f t="shared" si="6"/>
        <v>-0.29580000000000001</v>
      </c>
    </row>
    <row r="408" spans="1:5" hidden="1" x14ac:dyDescent="0.25">
      <c r="A408" s="15" t="s">
        <v>34</v>
      </c>
      <c r="B408" s="16">
        <v>42023</v>
      </c>
      <c r="C408" s="17">
        <v>2.3906000000000001</v>
      </c>
      <c r="D408" s="17">
        <v>0.39069999999999999</v>
      </c>
      <c r="E408" s="11">
        <f t="shared" si="6"/>
        <v>0.38769999999999999</v>
      </c>
    </row>
    <row r="409" spans="1:5" hidden="1" x14ac:dyDescent="0.25">
      <c r="A409" s="15" t="s">
        <v>34</v>
      </c>
      <c r="B409" s="16">
        <v>42024</v>
      </c>
      <c r="C409" s="17">
        <v>-0.39450000000000002</v>
      </c>
      <c r="D409" s="17">
        <v>0.84260000000000002</v>
      </c>
      <c r="E409" s="11">
        <f t="shared" si="6"/>
        <v>0.83960000000000001</v>
      </c>
    </row>
    <row r="410" spans="1:5" hidden="1" x14ac:dyDescent="0.25">
      <c r="A410" s="15" t="s">
        <v>34</v>
      </c>
      <c r="B410" s="16">
        <v>42025</v>
      </c>
      <c r="C410" s="17">
        <v>2.6009000000000002</v>
      </c>
      <c r="D410" s="17">
        <v>0.73250000000000004</v>
      </c>
      <c r="E410" s="11">
        <f t="shared" si="6"/>
        <v>0.72950000000000004</v>
      </c>
    </row>
    <row r="411" spans="1:5" hidden="1" x14ac:dyDescent="0.25">
      <c r="A411" s="15" t="s">
        <v>34</v>
      </c>
      <c r="B411" s="16">
        <v>42026</v>
      </c>
      <c r="C411" s="17">
        <v>0.51219999999999999</v>
      </c>
      <c r="D411" s="17">
        <v>0.53290000000000004</v>
      </c>
      <c r="E411" s="11">
        <f t="shared" si="6"/>
        <v>0.52990000000000004</v>
      </c>
    </row>
    <row r="412" spans="1:5" hidden="1" x14ac:dyDescent="0.25">
      <c r="A412" s="15" t="s">
        <v>34</v>
      </c>
      <c r="B412" s="16">
        <v>42027</v>
      </c>
      <c r="C412" s="17">
        <v>1.1429</v>
      </c>
      <c r="D412" s="17">
        <v>1.0767</v>
      </c>
      <c r="E412" s="11">
        <f t="shared" si="6"/>
        <v>1.0737000000000001</v>
      </c>
    </row>
    <row r="413" spans="1:5" hidden="1" x14ac:dyDescent="0.25">
      <c r="A413" s="15" t="s">
        <v>34</v>
      </c>
      <c r="B413" s="16">
        <v>42030</v>
      </c>
      <c r="C413" s="17">
        <v>-0.25280000000000002</v>
      </c>
      <c r="D413" s="17">
        <v>7.0999999999999994E-2</v>
      </c>
      <c r="E413" s="11">
        <f t="shared" si="6"/>
        <v>6.7999999999999991E-2</v>
      </c>
    </row>
    <row r="414" spans="1:5" hidden="1" x14ac:dyDescent="0.25">
      <c r="A414" s="15" t="s">
        <v>34</v>
      </c>
      <c r="B414" s="16">
        <v>42031</v>
      </c>
      <c r="C414" s="17">
        <v>0.63090000000000002</v>
      </c>
      <c r="D414" s="17">
        <v>0.46229999999999999</v>
      </c>
      <c r="E414" s="11">
        <f t="shared" si="6"/>
        <v>0.45929999999999999</v>
      </c>
    </row>
    <row r="415" spans="1:5" hidden="1" x14ac:dyDescent="0.25">
      <c r="A415" s="15" t="s">
        <v>34</v>
      </c>
      <c r="B415" s="16">
        <v>42032</v>
      </c>
      <c r="C415" s="17">
        <v>0.12570000000000001</v>
      </c>
      <c r="D415" s="17">
        <v>-0.11210000000000001</v>
      </c>
      <c r="E415" s="11">
        <f t="shared" si="6"/>
        <v>-0.11510000000000001</v>
      </c>
    </row>
    <row r="416" spans="1:5" hidden="1" x14ac:dyDescent="0.25">
      <c r="A416" s="15" t="s">
        <v>34</v>
      </c>
      <c r="B416" s="16">
        <v>42033</v>
      </c>
      <c r="C416" s="17">
        <v>-0.75660000000000005</v>
      </c>
      <c r="D416" s="17">
        <v>-0.88729999999999998</v>
      </c>
      <c r="E416" s="11">
        <f t="shared" si="6"/>
        <v>-0.89029999999999998</v>
      </c>
    </row>
    <row r="417" spans="1:5" hidden="1" x14ac:dyDescent="0.25">
      <c r="A417" s="15" t="s">
        <v>34</v>
      </c>
      <c r="B417" s="16">
        <v>42034</v>
      </c>
      <c r="C417" s="17">
        <v>1.0076000000000001</v>
      </c>
      <c r="D417" s="17">
        <v>-0.69179999999999997</v>
      </c>
      <c r="E417" s="11">
        <f t="shared" si="6"/>
        <v>-0.69479999999999997</v>
      </c>
    </row>
    <row r="418" spans="1:5" hidden="1" x14ac:dyDescent="0.25">
      <c r="A418" s="15" t="s">
        <v>34</v>
      </c>
      <c r="B418" s="16">
        <v>42037</v>
      </c>
      <c r="C418" s="17">
        <v>1.7392000000000001</v>
      </c>
      <c r="D418" s="17">
        <v>0.26750000000000002</v>
      </c>
      <c r="E418" s="11">
        <f t="shared" si="6"/>
        <v>0.26450000000000001</v>
      </c>
    </row>
    <row r="419" spans="1:5" hidden="1" x14ac:dyDescent="0.25">
      <c r="A419" s="15" t="s">
        <v>34</v>
      </c>
      <c r="B419" s="16">
        <v>42038</v>
      </c>
      <c r="C419" s="17">
        <v>-0.24660000000000001</v>
      </c>
      <c r="D419" s="17">
        <v>0.65559999999999996</v>
      </c>
      <c r="E419" s="11">
        <f t="shared" si="6"/>
        <v>0.65259999999999996</v>
      </c>
    </row>
    <row r="420" spans="1:5" hidden="1" x14ac:dyDescent="0.25">
      <c r="A420" s="15" t="s">
        <v>34</v>
      </c>
      <c r="B420" s="16">
        <v>42039</v>
      </c>
      <c r="C420" s="17">
        <v>1.105</v>
      </c>
      <c r="D420" s="17">
        <v>0.68759999999999999</v>
      </c>
      <c r="E420" s="11">
        <f t="shared" si="6"/>
        <v>0.68459999999999999</v>
      </c>
    </row>
    <row r="421" spans="1:5" hidden="1" x14ac:dyDescent="0.25">
      <c r="A421" s="15" t="s">
        <v>34</v>
      </c>
      <c r="B421" s="16">
        <v>42040</v>
      </c>
      <c r="C421" s="17">
        <v>-0.1222</v>
      </c>
      <c r="D421" s="17">
        <v>-1.9699999999999999E-2</v>
      </c>
      <c r="E421" s="11">
        <f t="shared" si="6"/>
        <v>-2.2699999999999998E-2</v>
      </c>
    </row>
    <row r="422" spans="1:5" hidden="1" x14ac:dyDescent="0.25">
      <c r="A422" s="15" t="s">
        <v>34</v>
      </c>
      <c r="B422" s="16">
        <v>42041</v>
      </c>
      <c r="C422" s="17">
        <v>0.2442</v>
      </c>
      <c r="D422" s="17">
        <v>-0.58909999999999996</v>
      </c>
      <c r="E422" s="11">
        <f t="shared" si="6"/>
        <v>-0.59209999999999996</v>
      </c>
    </row>
    <row r="423" spans="1:5" hidden="1" x14ac:dyDescent="0.25">
      <c r="A423" s="15" t="s">
        <v>34</v>
      </c>
      <c r="B423" s="16">
        <v>42044</v>
      </c>
      <c r="C423" s="17">
        <v>-2.9704999999999999</v>
      </c>
      <c r="D423" s="17">
        <v>-0.3674</v>
      </c>
      <c r="E423" s="11">
        <f t="shared" si="6"/>
        <v>-0.37040000000000001</v>
      </c>
    </row>
    <row r="424" spans="1:5" hidden="1" x14ac:dyDescent="0.25">
      <c r="A424" s="15" t="s">
        <v>34</v>
      </c>
      <c r="B424" s="16">
        <v>42045</v>
      </c>
      <c r="C424" s="17">
        <v>1.62</v>
      </c>
      <c r="D424" s="17">
        <v>-0.29549999999999998</v>
      </c>
      <c r="E424" s="11">
        <f t="shared" si="6"/>
        <v>-0.29849999999999999</v>
      </c>
    </row>
    <row r="425" spans="1:5" hidden="1" x14ac:dyDescent="0.25">
      <c r="A425" s="15" t="s">
        <v>34</v>
      </c>
      <c r="B425" s="16">
        <v>42046</v>
      </c>
      <c r="C425" s="17">
        <v>2.0796000000000001</v>
      </c>
      <c r="D425" s="17">
        <v>0.7268</v>
      </c>
      <c r="E425" s="11">
        <f t="shared" si="6"/>
        <v>0.7238</v>
      </c>
    </row>
    <row r="426" spans="1:5" hidden="1" x14ac:dyDescent="0.25">
      <c r="A426" s="15" t="s">
        <v>34</v>
      </c>
      <c r="B426" s="16">
        <v>42047</v>
      </c>
      <c r="C426" s="17">
        <v>1.4422999999999999</v>
      </c>
      <c r="D426" s="17">
        <v>0.35959999999999998</v>
      </c>
      <c r="E426" s="11">
        <f t="shared" si="6"/>
        <v>0.35659999999999997</v>
      </c>
    </row>
    <row r="427" spans="1:5" hidden="1" x14ac:dyDescent="0.25">
      <c r="A427" s="15" t="s">
        <v>34</v>
      </c>
      <c r="B427" s="16">
        <v>42048</v>
      </c>
      <c r="C427" s="17">
        <v>2.5914000000000001</v>
      </c>
      <c r="D427" s="17">
        <v>0.34899999999999998</v>
      </c>
      <c r="E427" s="11">
        <f t="shared" si="6"/>
        <v>0.34599999999999997</v>
      </c>
    </row>
    <row r="428" spans="1:5" hidden="1" x14ac:dyDescent="0.25">
      <c r="A428" s="15" t="s">
        <v>34</v>
      </c>
      <c r="B428" s="16">
        <v>42059</v>
      </c>
      <c r="C428" s="17">
        <v>-0.4662</v>
      </c>
      <c r="D428" s="17">
        <v>1.0425</v>
      </c>
      <c r="E428" s="11">
        <f t="shared" si="6"/>
        <v>1.0395000000000001</v>
      </c>
    </row>
    <row r="429" spans="1:5" hidden="1" x14ac:dyDescent="0.25">
      <c r="A429" s="15" t="s">
        <v>34</v>
      </c>
      <c r="B429" s="16">
        <v>42060</v>
      </c>
      <c r="C429" s="17">
        <v>1.6223000000000001</v>
      </c>
      <c r="D429" s="17">
        <v>0.72609999999999997</v>
      </c>
      <c r="E429" s="11">
        <f t="shared" si="6"/>
        <v>0.72309999999999997</v>
      </c>
    </row>
    <row r="430" spans="1:5" hidden="1" x14ac:dyDescent="0.25">
      <c r="A430" s="15" t="s">
        <v>34</v>
      </c>
      <c r="B430" s="16">
        <v>42061</v>
      </c>
      <c r="C430" s="17">
        <v>-2.7974000000000001</v>
      </c>
      <c r="D430" s="17">
        <v>-0.80159999999999998</v>
      </c>
      <c r="E430" s="11">
        <f t="shared" si="6"/>
        <v>-0.80459999999999998</v>
      </c>
    </row>
    <row r="431" spans="1:5" hidden="1" x14ac:dyDescent="0.25">
      <c r="A431" s="15" t="s">
        <v>34</v>
      </c>
      <c r="B431" s="16">
        <v>42065</v>
      </c>
      <c r="C431" s="17">
        <v>3.9403000000000001</v>
      </c>
      <c r="D431" s="17">
        <v>-0.21579999999999999</v>
      </c>
      <c r="E431" s="11">
        <f t="shared" si="6"/>
        <v>-0.21879999999999999</v>
      </c>
    </row>
    <row r="432" spans="1:5" hidden="1" x14ac:dyDescent="0.25">
      <c r="A432" s="15" t="s">
        <v>34</v>
      </c>
      <c r="B432" s="16">
        <v>42066</v>
      </c>
      <c r="C432" s="17">
        <v>-0.1137</v>
      </c>
      <c r="D432" s="17">
        <v>4.5900000000000003E-2</v>
      </c>
      <c r="E432" s="11">
        <f t="shared" si="6"/>
        <v>4.2900000000000001E-2</v>
      </c>
    </row>
    <row r="433" spans="1:5" hidden="1" x14ac:dyDescent="0.25">
      <c r="A433" s="15" t="s">
        <v>34</v>
      </c>
      <c r="B433" s="16">
        <v>42067</v>
      </c>
      <c r="C433" s="17">
        <v>0.1137</v>
      </c>
      <c r="D433" s="17">
        <v>0.16600000000000001</v>
      </c>
      <c r="E433" s="11">
        <f t="shared" si="6"/>
        <v>0.16300000000000001</v>
      </c>
    </row>
    <row r="434" spans="1:5" hidden="1" x14ac:dyDescent="0.25">
      <c r="A434" s="15" t="s">
        <v>34</v>
      </c>
      <c r="B434" s="16">
        <v>42068</v>
      </c>
      <c r="C434" s="17">
        <v>-0.68420000000000003</v>
      </c>
      <c r="D434" s="17">
        <v>-0.27729999999999999</v>
      </c>
      <c r="E434" s="11">
        <f t="shared" si="6"/>
        <v>-0.28029999999999999</v>
      </c>
    </row>
    <row r="435" spans="1:5" hidden="1" x14ac:dyDescent="0.25">
      <c r="A435" s="15" t="s">
        <v>34</v>
      </c>
      <c r="B435" s="16">
        <v>42069</v>
      </c>
      <c r="C435" s="17">
        <v>1.1376999999999999</v>
      </c>
      <c r="D435" s="17">
        <v>0.52680000000000005</v>
      </c>
      <c r="E435" s="11">
        <f t="shared" si="6"/>
        <v>0.52380000000000004</v>
      </c>
    </row>
    <row r="436" spans="1:5" hidden="1" x14ac:dyDescent="0.25">
      <c r="A436" s="15" t="s">
        <v>34</v>
      </c>
      <c r="B436" s="16">
        <v>42072</v>
      </c>
      <c r="C436" s="17">
        <v>1.2366999999999999</v>
      </c>
      <c r="D436" s="17">
        <v>-0.86199999999999999</v>
      </c>
      <c r="E436" s="11">
        <f t="shared" si="6"/>
        <v>-0.86499999999999999</v>
      </c>
    </row>
    <row r="437" spans="1:5" hidden="1" x14ac:dyDescent="0.25">
      <c r="A437" s="15" t="s">
        <v>34</v>
      </c>
      <c r="B437" s="16">
        <v>42073</v>
      </c>
      <c r="C437" s="17">
        <v>6.4888000000000003</v>
      </c>
      <c r="D437" s="17">
        <v>-0.27700000000000002</v>
      </c>
      <c r="E437" s="11">
        <f t="shared" si="6"/>
        <v>-0.28000000000000003</v>
      </c>
    </row>
    <row r="438" spans="1:5" hidden="1" x14ac:dyDescent="0.25">
      <c r="A438" s="15" t="s">
        <v>34</v>
      </c>
      <c r="B438" s="16">
        <v>42074</v>
      </c>
      <c r="C438" s="17">
        <v>-5.3776000000000002</v>
      </c>
      <c r="D438" s="17">
        <v>-0.1401</v>
      </c>
      <c r="E438" s="11">
        <f t="shared" si="6"/>
        <v>-0.1431</v>
      </c>
    </row>
    <row r="439" spans="1:5" hidden="1" x14ac:dyDescent="0.25">
      <c r="A439" s="15" t="s">
        <v>34</v>
      </c>
      <c r="B439" s="16">
        <v>42075</v>
      </c>
      <c r="C439" s="17">
        <v>0</v>
      </c>
      <c r="D439" s="17">
        <v>0.76180000000000003</v>
      </c>
      <c r="E439" s="11">
        <f t="shared" si="6"/>
        <v>0.75880000000000003</v>
      </c>
    </row>
    <row r="440" spans="1:5" hidden="1" x14ac:dyDescent="0.25">
      <c r="A440" s="15" t="s">
        <v>34</v>
      </c>
      <c r="B440" s="16">
        <v>42076</v>
      </c>
      <c r="C440" s="17">
        <v>-0.99950000000000006</v>
      </c>
      <c r="D440" s="17">
        <v>-0.17369999999999999</v>
      </c>
      <c r="E440" s="11">
        <f t="shared" si="6"/>
        <v>-0.1767</v>
      </c>
    </row>
    <row r="441" spans="1:5" hidden="1" x14ac:dyDescent="0.25">
      <c r="A441" s="15" t="s">
        <v>34</v>
      </c>
      <c r="B441" s="16">
        <v>42079</v>
      </c>
      <c r="C441" s="17">
        <v>-2.0293999999999999</v>
      </c>
      <c r="D441" s="17">
        <v>-0.69599999999999995</v>
      </c>
      <c r="E441" s="11">
        <f t="shared" si="6"/>
        <v>-0.69899999999999995</v>
      </c>
    </row>
    <row r="442" spans="1:5" hidden="1" x14ac:dyDescent="0.25">
      <c r="A442" s="15" t="s">
        <v>34</v>
      </c>
      <c r="B442" s="16">
        <v>42080</v>
      </c>
      <c r="C442" s="17">
        <v>0.34110000000000001</v>
      </c>
      <c r="D442" s="17">
        <v>0.27850000000000003</v>
      </c>
      <c r="E442" s="11">
        <f t="shared" si="6"/>
        <v>0.27550000000000002</v>
      </c>
    </row>
    <row r="443" spans="1:5" hidden="1" x14ac:dyDescent="0.25">
      <c r="A443" s="15" t="s">
        <v>34</v>
      </c>
      <c r="B443" s="16">
        <v>42081</v>
      </c>
      <c r="C443" s="17">
        <v>1.4648000000000001</v>
      </c>
      <c r="D443" s="17">
        <v>1.1879</v>
      </c>
      <c r="E443" s="11">
        <f t="shared" si="6"/>
        <v>1.1849000000000001</v>
      </c>
    </row>
    <row r="444" spans="1:5" hidden="1" x14ac:dyDescent="0.25">
      <c r="A444" s="15" t="s">
        <v>34</v>
      </c>
      <c r="B444" s="16">
        <v>42082</v>
      </c>
      <c r="C444" s="17">
        <v>3.3006000000000002</v>
      </c>
      <c r="D444" s="17">
        <v>0.85919999999999996</v>
      </c>
      <c r="E444" s="11">
        <f t="shared" si="6"/>
        <v>0.85619999999999996</v>
      </c>
    </row>
    <row r="445" spans="1:5" hidden="1" x14ac:dyDescent="0.25">
      <c r="A445" s="15" t="s">
        <v>34</v>
      </c>
      <c r="B445" s="16">
        <v>42083</v>
      </c>
      <c r="C445" s="17">
        <v>-0.54259999999999997</v>
      </c>
      <c r="D445" s="17">
        <v>0.13300000000000001</v>
      </c>
      <c r="E445" s="11">
        <f t="shared" si="6"/>
        <v>0.13</v>
      </c>
    </row>
    <row r="446" spans="1:5" hidden="1" x14ac:dyDescent="0.25">
      <c r="A446" s="15" t="s">
        <v>34</v>
      </c>
      <c r="B446" s="16">
        <v>42086</v>
      </c>
      <c r="C446" s="17">
        <v>-0.32700000000000001</v>
      </c>
      <c r="D446" s="17">
        <v>8.6099999999999996E-2</v>
      </c>
      <c r="E446" s="11">
        <f t="shared" si="6"/>
        <v>8.3099999999999993E-2</v>
      </c>
    </row>
    <row r="447" spans="1:5" hidden="1" x14ac:dyDescent="0.25">
      <c r="A447" s="15" t="s">
        <v>34</v>
      </c>
      <c r="B447" s="16">
        <v>42087</v>
      </c>
      <c r="C447" s="17">
        <v>-1.2081</v>
      </c>
      <c r="D447" s="17">
        <v>-0.2712</v>
      </c>
      <c r="E447" s="11">
        <f t="shared" si="6"/>
        <v>-0.2742</v>
      </c>
    </row>
    <row r="448" spans="1:5" hidden="1" x14ac:dyDescent="0.25">
      <c r="A448" s="15" t="s">
        <v>34</v>
      </c>
      <c r="B448" s="16">
        <v>42088</v>
      </c>
      <c r="C448" s="17">
        <v>-1.4469000000000001</v>
      </c>
      <c r="D448" s="17">
        <v>-0.65810000000000002</v>
      </c>
      <c r="E448" s="11">
        <f t="shared" si="6"/>
        <v>-0.66110000000000002</v>
      </c>
    </row>
    <row r="449" spans="1:5" hidden="1" x14ac:dyDescent="0.25">
      <c r="A449" s="15" t="s">
        <v>34</v>
      </c>
      <c r="B449" s="16">
        <v>42089</v>
      </c>
      <c r="C449" s="17">
        <v>-2.3824000000000001</v>
      </c>
      <c r="D449" s="17">
        <v>-0.50509999999999999</v>
      </c>
      <c r="E449" s="11">
        <f t="shared" si="6"/>
        <v>-0.5081</v>
      </c>
    </row>
    <row r="450" spans="1:5" hidden="1" x14ac:dyDescent="0.25">
      <c r="A450" s="15" t="s">
        <v>34</v>
      </c>
      <c r="B450" s="16">
        <v>42090</v>
      </c>
      <c r="C450" s="17">
        <v>-5.9119000000000002</v>
      </c>
      <c r="D450" s="17">
        <v>-1.2069000000000001</v>
      </c>
      <c r="E450" s="11">
        <f t="shared" si="6"/>
        <v>-1.2099</v>
      </c>
    </row>
    <row r="451" spans="1:5" hidden="1" x14ac:dyDescent="0.25">
      <c r="A451" s="15" t="s">
        <v>34</v>
      </c>
      <c r="B451" s="16">
        <v>42093</v>
      </c>
      <c r="C451" s="17">
        <v>4.2915000000000001</v>
      </c>
      <c r="D451" s="17">
        <v>0.1908</v>
      </c>
      <c r="E451" s="11">
        <f t="shared" ref="E451:E514" si="7">D451-$M$1</f>
        <v>0.18779999999999999</v>
      </c>
    </row>
    <row r="452" spans="1:5" hidden="1" x14ac:dyDescent="0.25">
      <c r="A452" s="15" t="s">
        <v>34</v>
      </c>
      <c r="B452" s="16">
        <v>42094</v>
      </c>
      <c r="C452" s="17">
        <v>-1.4100999999999999</v>
      </c>
      <c r="D452" s="17">
        <v>0.67579999999999996</v>
      </c>
      <c r="E452" s="11">
        <f t="shared" si="7"/>
        <v>0.67279999999999995</v>
      </c>
    </row>
    <row r="453" spans="1:5" hidden="1" x14ac:dyDescent="0.25">
      <c r="A453" s="15" t="s">
        <v>34</v>
      </c>
      <c r="B453" s="16">
        <v>42095</v>
      </c>
      <c r="C453" s="17">
        <v>-0.71260000000000001</v>
      </c>
      <c r="D453" s="17">
        <v>-0.82520000000000004</v>
      </c>
      <c r="E453" s="11">
        <f t="shared" si="7"/>
        <v>-0.82820000000000005</v>
      </c>
    </row>
    <row r="454" spans="1:5" hidden="1" x14ac:dyDescent="0.25">
      <c r="A454" s="15" t="s">
        <v>34</v>
      </c>
      <c r="B454" s="16">
        <v>42096</v>
      </c>
      <c r="C454" s="17">
        <v>1.772</v>
      </c>
      <c r="D454" s="17">
        <v>0.96989999999999998</v>
      </c>
      <c r="E454" s="11">
        <f t="shared" si="7"/>
        <v>0.96689999999999998</v>
      </c>
    </row>
    <row r="455" spans="1:5" hidden="1" x14ac:dyDescent="0.25">
      <c r="A455" s="15" t="s">
        <v>34</v>
      </c>
      <c r="B455" s="16">
        <v>42101</v>
      </c>
      <c r="C455" s="17">
        <v>0.35070000000000001</v>
      </c>
      <c r="D455" s="17">
        <v>0.43219999999999997</v>
      </c>
      <c r="E455" s="11">
        <f t="shared" si="7"/>
        <v>0.42919999999999997</v>
      </c>
    </row>
    <row r="456" spans="1:5" hidden="1" x14ac:dyDescent="0.25">
      <c r="A456" s="15" t="s">
        <v>34</v>
      </c>
      <c r="B456" s="16">
        <v>42102</v>
      </c>
      <c r="C456" s="17">
        <v>-0.1168</v>
      </c>
      <c r="D456" s="17">
        <v>-0.72789999999999999</v>
      </c>
      <c r="E456" s="11">
        <f t="shared" si="7"/>
        <v>-0.73089999999999999</v>
      </c>
    </row>
    <row r="457" spans="1:5" hidden="1" x14ac:dyDescent="0.25">
      <c r="A457" s="15" t="s">
        <v>34</v>
      </c>
      <c r="B457" s="16">
        <v>42103</v>
      </c>
      <c r="C457" s="17">
        <v>1.6223000000000001</v>
      </c>
      <c r="D457" s="17">
        <v>-4.1099999999999998E-2</v>
      </c>
      <c r="E457" s="11">
        <f t="shared" si="7"/>
        <v>-4.41E-2</v>
      </c>
    </row>
    <row r="458" spans="1:5" hidden="1" x14ac:dyDescent="0.25">
      <c r="A458" s="15" t="s">
        <v>34</v>
      </c>
      <c r="B458" s="16">
        <v>42104</v>
      </c>
      <c r="C458" s="17">
        <v>-1.2724</v>
      </c>
      <c r="D458" s="17">
        <v>0.51770000000000005</v>
      </c>
      <c r="E458" s="11">
        <f t="shared" si="7"/>
        <v>0.51470000000000005</v>
      </c>
    </row>
    <row r="459" spans="1:5" hidden="1" x14ac:dyDescent="0.25">
      <c r="A459" s="15" t="s">
        <v>34</v>
      </c>
      <c r="B459" s="16">
        <v>42107</v>
      </c>
      <c r="C459" s="17">
        <v>1.6167</v>
      </c>
      <c r="D459" s="17">
        <v>0.50629999999999997</v>
      </c>
      <c r="E459" s="11">
        <f t="shared" si="7"/>
        <v>0.50329999999999997</v>
      </c>
    </row>
    <row r="460" spans="1:5" hidden="1" x14ac:dyDescent="0.25">
      <c r="A460" s="15" t="s">
        <v>34</v>
      </c>
      <c r="B460" s="16">
        <v>42108</v>
      </c>
      <c r="C460" s="17">
        <v>-1.1520999999999999</v>
      </c>
      <c r="D460" s="17">
        <v>-0.25169999999999998</v>
      </c>
      <c r="E460" s="11">
        <f t="shared" si="7"/>
        <v>-0.25469999999999998</v>
      </c>
    </row>
    <row r="461" spans="1:5" hidden="1" x14ac:dyDescent="0.25">
      <c r="A461" s="15" t="s">
        <v>34</v>
      </c>
      <c r="B461" s="16">
        <v>42109</v>
      </c>
      <c r="C461" s="17">
        <v>-2.7012999999999998</v>
      </c>
      <c r="D461" s="17">
        <v>-1.0651999999999999</v>
      </c>
      <c r="E461" s="11">
        <f t="shared" si="7"/>
        <v>-1.0681999999999998</v>
      </c>
    </row>
    <row r="462" spans="1:5" hidden="1" x14ac:dyDescent="0.25">
      <c r="A462" s="15" t="s">
        <v>34</v>
      </c>
      <c r="B462" s="16">
        <v>42110</v>
      </c>
      <c r="C462" s="17">
        <v>3.0482999999999998</v>
      </c>
      <c r="D462" s="17">
        <v>1.2170000000000001</v>
      </c>
      <c r="E462" s="11">
        <f t="shared" si="7"/>
        <v>1.2140000000000002</v>
      </c>
    </row>
    <row r="463" spans="1:5" hidden="1" x14ac:dyDescent="0.25">
      <c r="A463" s="15" t="s">
        <v>34</v>
      </c>
      <c r="B463" s="16">
        <v>42111</v>
      </c>
      <c r="C463" s="17">
        <v>-0.92810000000000004</v>
      </c>
      <c r="D463" s="17">
        <v>-0.89390000000000003</v>
      </c>
      <c r="E463" s="11">
        <f t="shared" si="7"/>
        <v>-0.89690000000000003</v>
      </c>
    </row>
    <row r="464" spans="1:5" hidden="1" x14ac:dyDescent="0.25">
      <c r="A464" s="15" t="s">
        <v>34</v>
      </c>
      <c r="B464" s="16">
        <v>42114</v>
      </c>
      <c r="C464" s="17">
        <v>-2.5975000000000001</v>
      </c>
      <c r="D464" s="17">
        <v>-0.18909999999999999</v>
      </c>
      <c r="E464" s="11">
        <f t="shared" si="7"/>
        <v>-0.19209999999999999</v>
      </c>
    </row>
    <row r="465" spans="1:5" hidden="1" x14ac:dyDescent="0.25">
      <c r="A465" s="15" t="s">
        <v>34</v>
      </c>
      <c r="B465" s="16">
        <v>42115</v>
      </c>
      <c r="C465" s="17">
        <v>2.4809000000000001</v>
      </c>
      <c r="D465" s="17">
        <v>-0.19769999999999999</v>
      </c>
      <c r="E465" s="11">
        <f t="shared" si="7"/>
        <v>-0.20069999999999999</v>
      </c>
    </row>
    <row r="466" spans="1:5" hidden="1" x14ac:dyDescent="0.25">
      <c r="A466" s="15" t="s">
        <v>34</v>
      </c>
      <c r="B466" s="16">
        <v>42116</v>
      </c>
      <c r="C466" s="17">
        <v>2.3069000000000002</v>
      </c>
      <c r="D466" s="17">
        <v>0.82540000000000002</v>
      </c>
      <c r="E466" s="11">
        <f t="shared" si="7"/>
        <v>0.82240000000000002</v>
      </c>
    </row>
    <row r="467" spans="1:5" hidden="1" x14ac:dyDescent="0.25">
      <c r="A467" s="15" t="s">
        <v>34</v>
      </c>
      <c r="B467" s="16">
        <v>42117</v>
      </c>
      <c r="C467" s="17">
        <v>1.4714</v>
      </c>
      <c r="D467" s="17">
        <v>1.901</v>
      </c>
      <c r="E467" s="11">
        <f t="shared" si="7"/>
        <v>1.8980000000000001</v>
      </c>
    </row>
    <row r="468" spans="1:5" hidden="1" x14ac:dyDescent="0.25">
      <c r="A468" s="15" t="s">
        <v>34</v>
      </c>
      <c r="B468" s="16">
        <v>42118</v>
      </c>
      <c r="C468" s="17">
        <v>2.6608999999999998</v>
      </c>
      <c r="D468" s="17">
        <v>1.1749000000000001</v>
      </c>
      <c r="E468" s="11">
        <f t="shared" si="7"/>
        <v>1.1719000000000002</v>
      </c>
    </row>
    <row r="469" spans="1:5" hidden="1" x14ac:dyDescent="0.25">
      <c r="A469" s="15" t="s">
        <v>34</v>
      </c>
      <c r="B469" s="16">
        <v>42121</v>
      </c>
      <c r="C469" s="17">
        <v>2.0575000000000001</v>
      </c>
      <c r="D469" s="17">
        <v>0.6018</v>
      </c>
      <c r="E469" s="11">
        <f t="shared" si="7"/>
        <v>0.5988</v>
      </c>
    </row>
    <row r="470" spans="1:5" hidden="1" x14ac:dyDescent="0.25">
      <c r="A470" s="15" t="s">
        <v>34</v>
      </c>
      <c r="B470" s="16">
        <v>42122</v>
      </c>
      <c r="C470" s="17">
        <v>-2.9365999999999999</v>
      </c>
      <c r="D470" s="17">
        <v>-0.16350000000000001</v>
      </c>
      <c r="E470" s="11">
        <f t="shared" si="7"/>
        <v>-0.16650000000000001</v>
      </c>
    </row>
    <row r="471" spans="1:5" hidden="1" x14ac:dyDescent="0.25">
      <c r="A471" s="15" t="s">
        <v>34</v>
      </c>
      <c r="B471" s="16">
        <v>42123</v>
      </c>
      <c r="C471" s="17">
        <v>-2.2322000000000002</v>
      </c>
      <c r="D471" s="17">
        <v>-1.0399</v>
      </c>
      <c r="E471" s="11">
        <f t="shared" si="7"/>
        <v>-1.0428999999999999</v>
      </c>
    </row>
    <row r="472" spans="1:5" hidden="1" x14ac:dyDescent="0.25">
      <c r="A472" s="15" t="s">
        <v>34</v>
      </c>
      <c r="B472" s="16">
        <v>42124</v>
      </c>
      <c r="C472" s="17">
        <v>-1.5928</v>
      </c>
      <c r="D472" s="17">
        <v>-0.34339999999999998</v>
      </c>
      <c r="E472" s="11">
        <f t="shared" si="7"/>
        <v>-0.34639999999999999</v>
      </c>
    </row>
    <row r="473" spans="1:5" hidden="1" x14ac:dyDescent="0.25">
      <c r="A473" s="15" t="s">
        <v>34</v>
      </c>
      <c r="B473" s="16">
        <v>42128</v>
      </c>
      <c r="C473" s="17">
        <v>-0.2296</v>
      </c>
      <c r="D473" s="17">
        <v>0.25419999999999998</v>
      </c>
      <c r="E473" s="11">
        <f t="shared" si="7"/>
        <v>0.25119999999999998</v>
      </c>
    </row>
    <row r="474" spans="1:5" hidden="1" x14ac:dyDescent="0.25">
      <c r="A474" s="15" t="s">
        <v>34</v>
      </c>
      <c r="B474" s="16">
        <v>42129</v>
      </c>
      <c r="C474" s="17">
        <v>0.2296</v>
      </c>
      <c r="D474" s="17">
        <v>-0.25330000000000003</v>
      </c>
      <c r="E474" s="11">
        <f t="shared" si="7"/>
        <v>-0.25630000000000003</v>
      </c>
    </row>
    <row r="475" spans="1:5" hidden="1" x14ac:dyDescent="0.25">
      <c r="A475" s="15" t="s">
        <v>34</v>
      </c>
      <c r="B475" s="16">
        <v>42130</v>
      </c>
      <c r="C475" s="17">
        <v>-1.3856999999999999</v>
      </c>
      <c r="D475" s="17">
        <v>-1.9699999999999999E-2</v>
      </c>
      <c r="E475" s="11">
        <f t="shared" si="7"/>
        <v>-2.2699999999999998E-2</v>
      </c>
    </row>
    <row r="476" spans="1:5" hidden="1" x14ac:dyDescent="0.25">
      <c r="A476" s="15" t="s">
        <v>34</v>
      </c>
      <c r="B476" s="16">
        <v>42131</v>
      </c>
      <c r="C476" s="17">
        <v>2.4125000000000001</v>
      </c>
      <c r="D476" s="17">
        <v>-1.1688000000000001</v>
      </c>
      <c r="E476" s="11">
        <f t="shared" si="7"/>
        <v>-1.1718</v>
      </c>
    </row>
    <row r="477" spans="1:5" hidden="1" x14ac:dyDescent="0.25">
      <c r="A477" s="15" t="s">
        <v>34</v>
      </c>
      <c r="B477" s="16">
        <v>42132</v>
      </c>
      <c r="C477" s="17">
        <v>-2.0642999999999998</v>
      </c>
      <c r="D477" s="17">
        <v>-0.1249</v>
      </c>
      <c r="E477" s="11">
        <f t="shared" si="7"/>
        <v>-0.12789999999999999</v>
      </c>
    </row>
    <row r="478" spans="1:5" hidden="1" x14ac:dyDescent="0.25">
      <c r="A478" s="15" t="s">
        <v>34</v>
      </c>
      <c r="B478" s="16">
        <v>42135</v>
      </c>
      <c r="C478" s="17">
        <v>1.9507000000000001</v>
      </c>
      <c r="D478" s="17">
        <v>-0.29220000000000002</v>
      </c>
      <c r="E478" s="11">
        <f t="shared" si="7"/>
        <v>-0.29520000000000002</v>
      </c>
    </row>
    <row r="479" spans="1:5" hidden="1" x14ac:dyDescent="0.25">
      <c r="A479" s="15" t="s">
        <v>34</v>
      </c>
      <c r="B479" s="16">
        <v>42136</v>
      </c>
      <c r="C479" s="17">
        <v>-0.79859999999999998</v>
      </c>
      <c r="D479" s="17">
        <v>0.1759</v>
      </c>
      <c r="E479" s="11">
        <f t="shared" si="7"/>
        <v>0.1729</v>
      </c>
    </row>
    <row r="480" spans="1:5" hidden="1" x14ac:dyDescent="0.25">
      <c r="A480" s="15" t="s">
        <v>34</v>
      </c>
      <c r="B480" s="16">
        <v>42137</v>
      </c>
      <c r="C480" s="17">
        <v>-1.1520999999999999</v>
      </c>
      <c r="D480" s="17">
        <v>0.4471</v>
      </c>
      <c r="E480" s="11">
        <f t="shared" si="7"/>
        <v>0.44409999999999999</v>
      </c>
    </row>
    <row r="481" spans="1:5" hidden="1" x14ac:dyDescent="0.25">
      <c r="A481" s="15" t="s">
        <v>34</v>
      </c>
      <c r="B481" s="16">
        <v>42138</v>
      </c>
      <c r="C481" s="17">
        <v>-0.46460000000000001</v>
      </c>
      <c r="D481" s="17">
        <v>-1.1718</v>
      </c>
      <c r="E481" s="11">
        <f t="shared" si="7"/>
        <v>-1.1747999999999998</v>
      </c>
    </row>
    <row r="482" spans="1:5" hidden="1" x14ac:dyDescent="0.25">
      <c r="A482" s="15" t="s">
        <v>34</v>
      </c>
      <c r="B482" s="16">
        <v>42139</v>
      </c>
      <c r="C482" s="17">
        <v>-1.0532999999999999</v>
      </c>
      <c r="D482" s="17">
        <v>-0.32669999999999999</v>
      </c>
      <c r="E482" s="11">
        <f t="shared" si="7"/>
        <v>-0.32969999999999999</v>
      </c>
    </row>
    <row r="483" spans="1:5" hidden="1" x14ac:dyDescent="0.25">
      <c r="A483" s="15" t="s">
        <v>34</v>
      </c>
      <c r="B483" s="16">
        <v>42142</v>
      </c>
      <c r="C483" s="17">
        <v>2.2107000000000001</v>
      </c>
      <c r="D483" s="17">
        <v>0.27750000000000002</v>
      </c>
      <c r="E483" s="11">
        <f t="shared" si="7"/>
        <v>0.27450000000000002</v>
      </c>
    </row>
    <row r="484" spans="1:5" hidden="1" x14ac:dyDescent="0.25">
      <c r="A484" s="15" t="s">
        <v>34</v>
      </c>
      <c r="B484" s="16">
        <v>42143</v>
      </c>
      <c r="C484" s="17">
        <v>0.22989999999999999</v>
      </c>
      <c r="D484" s="17">
        <v>1.1455</v>
      </c>
      <c r="E484" s="11">
        <f t="shared" si="7"/>
        <v>1.1425000000000001</v>
      </c>
    </row>
    <row r="485" spans="1:5" hidden="1" x14ac:dyDescent="0.25">
      <c r="A485" s="15" t="s">
        <v>34</v>
      </c>
      <c r="B485" s="16">
        <v>42144</v>
      </c>
      <c r="C485" s="17">
        <v>-1.7372000000000001</v>
      </c>
      <c r="D485" s="17">
        <v>-0.32429999999999998</v>
      </c>
      <c r="E485" s="11">
        <f t="shared" si="7"/>
        <v>-0.32729999999999998</v>
      </c>
    </row>
    <row r="486" spans="1:5" hidden="1" x14ac:dyDescent="0.25">
      <c r="A486" s="15" t="s">
        <v>34</v>
      </c>
      <c r="B486" s="16">
        <v>42145</v>
      </c>
      <c r="C486" s="17">
        <v>-1.1751</v>
      </c>
      <c r="D486" s="17">
        <v>-1.1083000000000001</v>
      </c>
      <c r="E486" s="11">
        <f t="shared" si="7"/>
        <v>-1.1113</v>
      </c>
    </row>
    <row r="487" spans="1:5" hidden="1" x14ac:dyDescent="0.25">
      <c r="A487" s="15" t="s">
        <v>34</v>
      </c>
      <c r="B487" s="16">
        <v>42146</v>
      </c>
      <c r="C487" s="17">
        <v>1.6413</v>
      </c>
      <c r="D487" s="17">
        <v>0.62690000000000001</v>
      </c>
      <c r="E487" s="11">
        <f t="shared" si="7"/>
        <v>0.62390000000000001</v>
      </c>
    </row>
    <row r="488" spans="1:5" hidden="1" x14ac:dyDescent="0.25">
      <c r="A488" s="15" t="s">
        <v>34</v>
      </c>
      <c r="B488" s="16">
        <v>42149</v>
      </c>
      <c r="C488" s="17">
        <v>0.23230000000000001</v>
      </c>
      <c r="D488" s="17">
        <v>6.6100000000000006E-2</v>
      </c>
      <c r="E488" s="11">
        <f t="shared" si="7"/>
        <v>6.3100000000000003E-2</v>
      </c>
    </row>
    <row r="489" spans="1:5" hidden="1" x14ac:dyDescent="0.25">
      <c r="A489" s="15" t="s">
        <v>34</v>
      </c>
      <c r="B489" s="16">
        <v>42150</v>
      </c>
      <c r="C489" s="17">
        <v>0.23169999999999999</v>
      </c>
      <c r="D489" s="17">
        <v>0.251</v>
      </c>
      <c r="E489" s="11">
        <f t="shared" si="7"/>
        <v>0.248</v>
      </c>
    </row>
    <row r="490" spans="1:5" hidden="1" x14ac:dyDescent="0.25">
      <c r="A490" s="15" t="s">
        <v>34</v>
      </c>
      <c r="B490" s="16">
        <v>42151</v>
      </c>
      <c r="C490" s="17">
        <v>0.34660000000000002</v>
      </c>
      <c r="D490" s="17">
        <v>0.2492</v>
      </c>
      <c r="E490" s="11">
        <f t="shared" si="7"/>
        <v>0.2462</v>
      </c>
    </row>
    <row r="491" spans="1:5" hidden="1" x14ac:dyDescent="0.25">
      <c r="A491" s="15" t="s">
        <v>34</v>
      </c>
      <c r="B491" s="16">
        <v>42152</v>
      </c>
      <c r="C491" s="17">
        <v>1.8286</v>
      </c>
      <c r="D491" s="17">
        <v>0.19889999999999999</v>
      </c>
      <c r="E491" s="11">
        <f t="shared" si="7"/>
        <v>0.19589999999999999</v>
      </c>
    </row>
    <row r="492" spans="1:5" hidden="1" x14ac:dyDescent="0.25">
      <c r="A492" s="15" t="s">
        <v>34</v>
      </c>
      <c r="B492" s="16">
        <v>42153</v>
      </c>
      <c r="C492" s="17">
        <v>-0.34029999999999999</v>
      </c>
      <c r="D492" s="17">
        <v>-0.12130000000000001</v>
      </c>
      <c r="E492" s="11">
        <f t="shared" si="7"/>
        <v>-0.12430000000000001</v>
      </c>
    </row>
    <row r="493" spans="1:5" hidden="1" x14ac:dyDescent="0.25">
      <c r="A493" s="15" t="s">
        <v>34</v>
      </c>
      <c r="B493" s="16">
        <v>42156</v>
      </c>
      <c r="C493" s="17">
        <v>-1.6036999999999999</v>
      </c>
      <c r="D493" s="17">
        <v>-0.78010000000000002</v>
      </c>
      <c r="E493" s="11">
        <f t="shared" si="7"/>
        <v>-0.78310000000000002</v>
      </c>
    </row>
    <row r="494" spans="1:5" hidden="1" x14ac:dyDescent="0.25">
      <c r="A494" s="15" t="s">
        <v>34</v>
      </c>
      <c r="B494" s="16">
        <v>42157</v>
      </c>
      <c r="C494" s="17">
        <v>0</v>
      </c>
      <c r="D494" s="17">
        <v>-0.1188</v>
      </c>
      <c r="E494" s="11">
        <f t="shared" si="7"/>
        <v>-0.12180000000000001</v>
      </c>
    </row>
    <row r="495" spans="1:5" hidden="1" x14ac:dyDescent="0.25">
      <c r="A495" s="15" t="s">
        <v>34</v>
      </c>
      <c r="B495" s="16">
        <v>42158</v>
      </c>
      <c r="C495" s="17">
        <v>-1.5125</v>
      </c>
      <c r="D495" s="17">
        <v>-0.60240000000000005</v>
      </c>
      <c r="E495" s="11">
        <f t="shared" si="7"/>
        <v>-0.60540000000000005</v>
      </c>
    </row>
    <row r="496" spans="1:5" hidden="1" x14ac:dyDescent="0.25">
      <c r="A496" s="15" t="s">
        <v>34</v>
      </c>
      <c r="B496" s="16">
        <v>42159</v>
      </c>
      <c r="C496" s="17">
        <v>-2.7334000000000001</v>
      </c>
      <c r="D496" s="17">
        <v>-2.1993999999999998</v>
      </c>
      <c r="E496" s="11">
        <f t="shared" si="7"/>
        <v>-2.2023999999999999</v>
      </c>
    </row>
    <row r="497" spans="1:5" hidden="1" x14ac:dyDescent="0.25">
      <c r="A497" s="15" t="s">
        <v>34</v>
      </c>
      <c r="B497" s="16">
        <v>42160</v>
      </c>
      <c r="C497" s="17">
        <v>2.4986000000000002</v>
      </c>
      <c r="D497" s="17">
        <v>-9.0999999999999998E-2</v>
      </c>
      <c r="E497" s="11">
        <f t="shared" si="7"/>
        <v>-9.4E-2</v>
      </c>
    </row>
    <row r="498" spans="1:5" hidden="1" x14ac:dyDescent="0.25">
      <c r="A498" s="15" t="s">
        <v>34</v>
      </c>
      <c r="B498" s="16">
        <v>42163</v>
      </c>
      <c r="C498" s="17">
        <v>0.81920000000000004</v>
      </c>
      <c r="D498" s="17">
        <v>0.30249999999999999</v>
      </c>
      <c r="E498" s="11">
        <f t="shared" si="7"/>
        <v>0.29949999999999999</v>
      </c>
    </row>
    <row r="499" spans="1:5" hidden="1" x14ac:dyDescent="0.25">
      <c r="A499" s="15" t="s">
        <v>34</v>
      </c>
      <c r="B499" s="16">
        <v>42164</v>
      </c>
      <c r="C499" s="17">
        <v>-2.1202000000000001</v>
      </c>
      <c r="D499" s="17">
        <v>-1.9026000000000001</v>
      </c>
      <c r="E499" s="11">
        <f t="shared" si="7"/>
        <v>-1.9056</v>
      </c>
    </row>
    <row r="500" spans="1:5" hidden="1" x14ac:dyDescent="0.25">
      <c r="A500" s="15" t="s">
        <v>34</v>
      </c>
      <c r="B500" s="16">
        <v>42165</v>
      </c>
      <c r="C500" s="17">
        <v>-3.6368</v>
      </c>
      <c r="D500" s="17">
        <v>1.1534</v>
      </c>
      <c r="E500" s="11">
        <f t="shared" si="7"/>
        <v>1.1504000000000001</v>
      </c>
    </row>
    <row r="501" spans="1:5" hidden="1" x14ac:dyDescent="0.25">
      <c r="A501" s="15" t="s">
        <v>34</v>
      </c>
      <c r="B501" s="16">
        <v>42166</v>
      </c>
      <c r="C501" s="17">
        <v>-1.9951000000000001</v>
      </c>
      <c r="D501" s="17">
        <v>4.2900000000000001E-2</v>
      </c>
      <c r="E501" s="11">
        <f t="shared" si="7"/>
        <v>3.9899999999999998E-2</v>
      </c>
    </row>
    <row r="502" spans="1:5" hidden="1" x14ac:dyDescent="0.25">
      <c r="A502" s="15" t="s">
        <v>34</v>
      </c>
      <c r="B502" s="16">
        <v>42167</v>
      </c>
      <c r="C502" s="17">
        <v>1.0024999999999999</v>
      </c>
      <c r="D502" s="17">
        <v>-6.0000000000000001E-3</v>
      </c>
      <c r="E502" s="11">
        <f t="shared" si="7"/>
        <v>-9.0000000000000011E-3</v>
      </c>
    </row>
    <row r="503" spans="1:5" hidden="1" x14ac:dyDescent="0.25">
      <c r="A503" s="15" t="s">
        <v>34</v>
      </c>
      <c r="B503" s="16">
        <v>42170</v>
      </c>
      <c r="C503" s="17">
        <v>2.4632000000000001</v>
      </c>
      <c r="D503" s="17">
        <v>-0.45739999999999997</v>
      </c>
      <c r="E503" s="11">
        <f t="shared" si="7"/>
        <v>-0.46039999999999998</v>
      </c>
    </row>
    <row r="504" spans="1:5" hidden="1" x14ac:dyDescent="0.25">
      <c r="A504" s="15" t="s">
        <v>34</v>
      </c>
      <c r="B504" s="16">
        <v>42171</v>
      </c>
      <c r="C504" s="17">
        <v>-3.0886</v>
      </c>
      <c r="D504" s="17">
        <v>-0.50560000000000005</v>
      </c>
      <c r="E504" s="11">
        <f t="shared" si="7"/>
        <v>-0.50860000000000005</v>
      </c>
    </row>
    <row r="505" spans="1:5" hidden="1" x14ac:dyDescent="0.25">
      <c r="A505" s="15" t="s">
        <v>34</v>
      </c>
      <c r="B505" s="16">
        <v>42172</v>
      </c>
      <c r="C505" s="17">
        <v>1.7413000000000001</v>
      </c>
      <c r="D505" s="17">
        <v>-0.24940000000000001</v>
      </c>
      <c r="E505" s="11">
        <f t="shared" si="7"/>
        <v>-0.25240000000000001</v>
      </c>
    </row>
    <row r="506" spans="1:5" hidden="1" x14ac:dyDescent="0.25">
      <c r="A506" s="15" t="s">
        <v>34</v>
      </c>
      <c r="B506" s="16">
        <v>42173</v>
      </c>
      <c r="C506" s="17">
        <v>1.4688000000000001</v>
      </c>
      <c r="D506" s="17">
        <v>0.31009999999999999</v>
      </c>
      <c r="E506" s="11">
        <f t="shared" si="7"/>
        <v>0.30709999999999998</v>
      </c>
    </row>
    <row r="507" spans="1:5" hidden="1" x14ac:dyDescent="0.25">
      <c r="A507" s="15" t="s">
        <v>34</v>
      </c>
      <c r="B507" s="16">
        <v>42177</v>
      </c>
      <c r="C507" s="17">
        <v>5.6685999999999996</v>
      </c>
      <c r="D507" s="17">
        <v>1.3298000000000001</v>
      </c>
      <c r="E507" s="11">
        <f t="shared" si="7"/>
        <v>1.3268000000000002</v>
      </c>
    </row>
    <row r="508" spans="1:5" hidden="1" x14ac:dyDescent="0.25">
      <c r="A508" s="15" t="s">
        <v>34</v>
      </c>
      <c r="B508" s="16">
        <v>42178</v>
      </c>
      <c r="C508" s="17">
        <v>-1.9711000000000001</v>
      </c>
      <c r="D508" s="17">
        <v>0.52710000000000001</v>
      </c>
      <c r="E508" s="11">
        <f t="shared" si="7"/>
        <v>0.52410000000000001</v>
      </c>
    </row>
    <row r="509" spans="1:5" hidden="1" x14ac:dyDescent="0.25">
      <c r="A509" s="15" t="s">
        <v>34</v>
      </c>
      <c r="B509" s="16">
        <v>42179</v>
      </c>
      <c r="C509" s="17">
        <v>-0.70509999999999995</v>
      </c>
      <c r="D509" s="17">
        <v>6.5699999999999995E-2</v>
      </c>
      <c r="E509" s="11">
        <f t="shared" si="7"/>
        <v>6.2699999999999992E-2</v>
      </c>
    </row>
    <row r="510" spans="1:5" hidden="1" x14ac:dyDescent="0.25">
      <c r="A510" s="15" t="s">
        <v>34</v>
      </c>
      <c r="B510" s="16">
        <v>42180</v>
      </c>
      <c r="C510" s="17">
        <v>1.2887999999999999</v>
      </c>
      <c r="D510" s="17">
        <v>0.83750000000000002</v>
      </c>
      <c r="E510" s="11">
        <f t="shared" si="7"/>
        <v>0.83450000000000002</v>
      </c>
    </row>
    <row r="511" spans="1:5" hidden="1" x14ac:dyDescent="0.25">
      <c r="A511" s="15" t="s">
        <v>34</v>
      </c>
      <c r="B511" s="16">
        <v>42181</v>
      </c>
      <c r="C511" s="17">
        <v>0.81159999999999999</v>
      </c>
      <c r="D511" s="17">
        <v>-0.1454</v>
      </c>
      <c r="E511" s="11">
        <f t="shared" si="7"/>
        <v>-0.1484</v>
      </c>
    </row>
    <row r="512" spans="1:5" hidden="1" x14ac:dyDescent="0.25">
      <c r="A512" s="15" t="s">
        <v>34</v>
      </c>
      <c r="B512" s="16">
        <v>42184</v>
      </c>
      <c r="C512" s="17">
        <v>-4.2458999999999998</v>
      </c>
      <c r="D512" s="17">
        <v>-2.4224000000000001</v>
      </c>
      <c r="E512" s="11">
        <f t="shared" si="7"/>
        <v>-2.4254000000000002</v>
      </c>
    </row>
    <row r="513" spans="1:5" hidden="1" x14ac:dyDescent="0.25">
      <c r="A513" s="15" t="s">
        <v>34</v>
      </c>
      <c r="B513" s="16">
        <v>42185</v>
      </c>
      <c r="C513" s="17">
        <v>0.72030000000000005</v>
      </c>
      <c r="D513" s="17">
        <v>0.93669999999999998</v>
      </c>
      <c r="E513" s="11">
        <f t="shared" si="7"/>
        <v>0.93369999999999997</v>
      </c>
    </row>
    <row r="514" spans="1:5" hidden="1" x14ac:dyDescent="0.25">
      <c r="A514" s="15" t="s">
        <v>34</v>
      </c>
      <c r="B514" s="16">
        <v>42186</v>
      </c>
      <c r="C514" s="17">
        <v>0.71509999999999996</v>
      </c>
      <c r="D514" s="17">
        <v>0.55840000000000001</v>
      </c>
      <c r="E514" s="11">
        <f t="shared" si="7"/>
        <v>0.5554</v>
      </c>
    </row>
    <row r="515" spans="1:5" hidden="1" x14ac:dyDescent="0.25">
      <c r="A515" s="15" t="s">
        <v>34</v>
      </c>
      <c r="B515" s="16">
        <v>42187</v>
      </c>
      <c r="C515" s="17">
        <v>-1.1948000000000001</v>
      </c>
      <c r="D515" s="17">
        <v>4.2799999999999998E-2</v>
      </c>
      <c r="E515" s="11">
        <f t="shared" ref="E515:E578" si="8">D515-$M$1</f>
        <v>3.9799999999999995E-2</v>
      </c>
    </row>
    <row r="516" spans="1:5" hidden="1" x14ac:dyDescent="0.25">
      <c r="A516" s="15" t="s">
        <v>34</v>
      </c>
      <c r="B516" s="16">
        <v>42188</v>
      </c>
      <c r="C516" s="17">
        <v>0.71860000000000002</v>
      </c>
      <c r="D516" s="17">
        <v>-0.2243</v>
      </c>
      <c r="E516" s="11">
        <f t="shared" si="8"/>
        <v>-0.2273</v>
      </c>
    </row>
    <row r="517" spans="1:5" hidden="1" x14ac:dyDescent="0.25">
      <c r="A517" s="15" t="s">
        <v>34</v>
      </c>
      <c r="B517" s="16">
        <v>42191</v>
      </c>
      <c r="C517" s="17">
        <v>-1.4422999999999999</v>
      </c>
      <c r="D517" s="17">
        <v>-1.0989</v>
      </c>
      <c r="E517" s="11">
        <f t="shared" si="8"/>
        <v>-1.1018999999999999</v>
      </c>
    </row>
    <row r="518" spans="1:5" hidden="1" x14ac:dyDescent="0.25">
      <c r="A518" s="15" t="s">
        <v>34</v>
      </c>
      <c r="B518" s="16">
        <v>42192</v>
      </c>
      <c r="C518" s="17">
        <v>0.24179999999999999</v>
      </c>
      <c r="D518" s="17">
        <v>-6.2700000000000006E-2</v>
      </c>
      <c r="E518" s="11">
        <f t="shared" si="8"/>
        <v>-6.5700000000000008E-2</v>
      </c>
    </row>
    <row r="519" spans="1:5" hidden="1" x14ac:dyDescent="0.25">
      <c r="A519" s="15" t="s">
        <v>34</v>
      </c>
      <c r="B519" s="16">
        <v>42193</v>
      </c>
      <c r="C519" s="17">
        <v>-4.6980000000000004</v>
      </c>
      <c r="D519" s="17">
        <v>-3.0074000000000001</v>
      </c>
      <c r="E519" s="11">
        <f t="shared" si="8"/>
        <v>-3.0104000000000002</v>
      </c>
    </row>
    <row r="520" spans="1:5" hidden="1" x14ac:dyDescent="0.25">
      <c r="A520" s="15" t="s">
        <v>34</v>
      </c>
      <c r="B520" s="16">
        <v>42194</v>
      </c>
      <c r="C520" s="17">
        <v>0</v>
      </c>
      <c r="D520" s="17">
        <v>-0.69289999999999996</v>
      </c>
      <c r="E520" s="11">
        <f t="shared" si="8"/>
        <v>-0.69589999999999996</v>
      </c>
    </row>
    <row r="521" spans="1:5" hidden="1" x14ac:dyDescent="0.25">
      <c r="A521" s="15" t="s">
        <v>34</v>
      </c>
      <c r="B521" s="16">
        <v>42198</v>
      </c>
      <c r="C521" s="17">
        <v>2.2528999999999999</v>
      </c>
      <c r="D521" s="17">
        <v>1.3349</v>
      </c>
      <c r="E521" s="11">
        <f t="shared" si="8"/>
        <v>1.3319000000000001</v>
      </c>
    </row>
    <row r="522" spans="1:5" hidden="1" x14ac:dyDescent="0.25">
      <c r="A522" s="15" t="s">
        <v>34</v>
      </c>
      <c r="B522" s="16">
        <v>42199</v>
      </c>
      <c r="C522" s="17">
        <v>1.23</v>
      </c>
      <c r="D522" s="17">
        <v>8.6699999999999999E-2</v>
      </c>
      <c r="E522" s="11">
        <f t="shared" si="8"/>
        <v>8.3699999999999997E-2</v>
      </c>
    </row>
    <row r="523" spans="1:5" hidden="1" x14ac:dyDescent="0.25">
      <c r="A523" s="15" t="s">
        <v>34</v>
      </c>
      <c r="B523" s="16">
        <v>42200</v>
      </c>
      <c r="C523" s="17">
        <v>0.60940000000000005</v>
      </c>
      <c r="D523" s="17">
        <v>0.13750000000000001</v>
      </c>
      <c r="E523" s="11">
        <f t="shared" si="8"/>
        <v>0.13450000000000001</v>
      </c>
    </row>
    <row r="524" spans="1:5" hidden="1" x14ac:dyDescent="0.25">
      <c r="A524" s="15" t="s">
        <v>34</v>
      </c>
      <c r="B524" s="16">
        <v>42201</v>
      </c>
      <c r="C524" s="17">
        <v>-0.9768</v>
      </c>
      <c r="D524" s="17">
        <v>-0.13250000000000001</v>
      </c>
      <c r="E524" s="11">
        <f t="shared" si="8"/>
        <v>-0.13550000000000001</v>
      </c>
    </row>
    <row r="525" spans="1:5" hidden="1" x14ac:dyDescent="0.25">
      <c r="A525" s="15" t="s">
        <v>34</v>
      </c>
      <c r="B525" s="16">
        <v>42202</v>
      </c>
      <c r="C525" s="17">
        <v>-1.9826999999999999</v>
      </c>
      <c r="D525" s="17">
        <v>4.1700000000000001E-2</v>
      </c>
      <c r="E525" s="11">
        <f t="shared" si="8"/>
        <v>3.8699999999999998E-2</v>
      </c>
    </row>
    <row r="526" spans="1:5" hidden="1" x14ac:dyDescent="0.25">
      <c r="A526" s="15" t="s">
        <v>34</v>
      </c>
      <c r="B526" s="16">
        <v>42205</v>
      </c>
      <c r="C526" s="17">
        <v>1.9826999999999999</v>
      </c>
      <c r="D526" s="17">
        <v>-0.78779999999999994</v>
      </c>
      <c r="E526" s="11">
        <f t="shared" si="8"/>
        <v>-0.79079999999999995</v>
      </c>
    </row>
    <row r="527" spans="1:5" hidden="1" x14ac:dyDescent="0.25">
      <c r="A527" s="15" t="s">
        <v>34</v>
      </c>
      <c r="B527" s="16">
        <v>42206</v>
      </c>
      <c r="C527" s="17">
        <v>0.85519999999999996</v>
      </c>
      <c r="D527" s="17">
        <v>0.34439999999999998</v>
      </c>
      <c r="E527" s="11">
        <f t="shared" si="8"/>
        <v>0.34139999999999998</v>
      </c>
    </row>
    <row r="528" spans="1:5" hidden="1" x14ac:dyDescent="0.25">
      <c r="A528" s="15" t="s">
        <v>34</v>
      </c>
      <c r="B528" s="16">
        <v>42207</v>
      </c>
      <c r="C528" s="17">
        <v>-2.7128999999999999</v>
      </c>
      <c r="D528" s="17">
        <v>-0.97360000000000002</v>
      </c>
      <c r="E528" s="11">
        <f t="shared" si="8"/>
        <v>-0.97660000000000002</v>
      </c>
    </row>
    <row r="529" spans="1:5" hidden="1" x14ac:dyDescent="0.25">
      <c r="A529" s="15" t="s">
        <v>34</v>
      </c>
      <c r="B529" s="16">
        <v>42208</v>
      </c>
      <c r="C529" s="17">
        <v>-5.657</v>
      </c>
      <c r="D529" s="17">
        <v>-1.4408000000000001</v>
      </c>
      <c r="E529" s="11">
        <f t="shared" si="8"/>
        <v>-1.4438</v>
      </c>
    </row>
    <row r="530" spans="1:5" hidden="1" x14ac:dyDescent="0.25">
      <c r="A530" s="15" t="s">
        <v>34</v>
      </c>
      <c r="B530" s="16">
        <v>42209</v>
      </c>
      <c r="C530" s="17">
        <v>-4.8789999999999996</v>
      </c>
      <c r="D530" s="17">
        <v>-0.26490000000000002</v>
      </c>
      <c r="E530" s="11">
        <f t="shared" si="8"/>
        <v>-0.26790000000000003</v>
      </c>
    </row>
    <row r="531" spans="1:5" hidden="1" x14ac:dyDescent="0.25">
      <c r="A531" s="15" t="s">
        <v>34</v>
      </c>
      <c r="B531" s="16">
        <v>42212</v>
      </c>
      <c r="C531" s="17">
        <v>-0.69689999999999996</v>
      </c>
      <c r="D531" s="17">
        <v>-2.4380000000000002</v>
      </c>
      <c r="E531" s="11">
        <f t="shared" si="8"/>
        <v>-2.4410000000000003</v>
      </c>
    </row>
    <row r="532" spans="1:5" hidden="1" x14ac:dyDescent="0.25">
      <c r="A532" s="15" t="s">
        <v>34</v>
      </c>
      <c r="B532" s="16">
        <v>42213</v>
      </c>
      <c r="C532" s="17">
        <v>3.9758</v>
      </c>
      <c r="D532" s="17">
        <v>0.30120000000000002</v>
      </c>
      <c r="E532" s="11">
        <f t="shared" si="8"/>
        <v>0.29820000000000002</v>
      </c>
    </row>
    <row r="533" spans="1:5" hidden="1" x14ac:dyDescent="0.25">
      <c r="A533" s="15" t="s">
        <v>34</v>
      </c>
      <c r="B533" s="16">
        <v>42214</v>
      </c>
      <c r="C533" s="17">
        <v>-4.6776</v>
      </c>
      <c r="D533" s="17">
        <v>-0.22170000000000001</v>
      </c>
      <c r="E533" s="11">
        <f t="shared" si="8"/>
        <v>-0.22470000000000001</v>
      </c>
    </row>
    <row r="534" spans="1:5" hidden="1" x14ac:dyDescent="0.25">
      <c r="A534" s="15" t="s">
        <v>34</v>
      </c>
      <c r="B534" s="16">
        <v>42215</v>
      </c>
      <c r="C534" s="17">
        <v>0.84150000000000003</v>
      </c>
      <c r="D534" s="17">
        <v>1.0225</v>
      </c>
      <c r="E534" s="11">
        <f t="shared" si="8"/>
        <v>1.0195000000000001</v>
      </c>
    </row>
    <row r="535" spans="1:5" hidden="1" x14ac:dyDescent="0.25">
      <c r="A535" s="15" t="s">
        <v>34</v>
      </c>
      <c r="B535" s="16">
        <v>42216</v>
      </c>
      <c r="C535" s="17">
        <v>1.9363999999999999</v>
      </c>
      <c r="D535" s="17">
        <v>0.16</v>
      </c>
      <c r="E535" s="11">
        <f t="shared" si="8"/>
        <v>0.157</v>
      </c>
    </row>
    <row r="536" spans="1:5" hidden="1" x14ac:dyDescent="0.25">
      <c r="A536" s="15" t="s">
        <v>34</v>
      </c>
      <c r="B536" s="16">
        <v>42219</v>
      </c>
      <c r="C536" s="17">
        <v>-2.2162000000000002</v>
      </c>
      <c r="D536" s="17">
        <v>-1.6396999999999999</v>
      </c>
      <c r="E536" s="11">
        <f t="shared" si="8"/>
        <v>-1.6426999999999998</v>
      </c>
    </row>
    <row r="537" spans="1:5" hidden="1" x14ac:dyDescent="0.25">
      <c r="A537" s="15" t="s">
        <v>34</v>
      </c>
      <c r="B537" s="16">
        <v>42220</v>
      </c>
      <c r="C537" s="17">
        <v>-4.8789999999999996</v>
      </c>
      <c r="D537" s="17">
        <v>-0.15909999999999999</v>
      </c>
      <c r="E537" s="11">
        <f t="shared" si="8"/>
        <v>-0.16209999999999999</v>
      </c>
    </row>
    <row r="538" spans="1:5" hidden="1" x14ac:dyDescent="0.25">
      <c r="A538" s="15" t="s">
        <v>34</v>
      </c>
      <c r="B538" s="16">
        <v>42221</v>
      </c>
      <c r="C538" s="17">
        <v>-1.0347</v>
      </c>
      <c r="D538" s="17">
        <v>0.36840000000000001</v>
      </c>
      <c r="E538" s="11">
        <f t="shared" si="8"/>
        <v>0.3654</v>
      </c>
    </row>
    <row r="539" spans="1:5" hidden="1" x14ac:dyDescent="0.25">
      <c r="A539" s="15" t="s">
        <v>34</v>
      </c>
      <c r="B539" s="16">
        <v>42222</v>
      </c>
      <c r="C539" s="17">
        <v>1.0347</v>
      </c>
      <c r="D539" s="17">
        <v>-1.0911999999999999</v>
      </c>
      <c r="E539" s="11">
        <f t="shared" si="8"/>
        <v>-1.0941999999999998</v>
      </c>
    </row>
    <row r="540" spans="1:5" hidden="1" x14ac:dyDescent="0.25">
      <c r="A540" s="15" t="s">
        <v>34</v>
      </c>
      <c r="B540" s="16">
        <v>42223</v>
      </c>
      <c r="C540" s="17">
        <v>2.8988</v>
      </c>
      <c r="D540" s="17">
        <v>-8.6099999999999996E-2</v>
      </c>
      <c r="E540" s="11">
        <f t="shared" si="8"/>
        <v>-8.9099999999999999E-2</v>
      </c>
    </row>
    <row r="541" spans="1:5" hidden="1" x14ac:dyDescent="0.25">
      <c r="A541" s="15" t="s">
        <v>34</v>
      </c>
      <c r="B541" s="16">
        <v>42226</v>
      </c>
      <c r="C541" s="17">
        <v>-2.3010999999999999</v>
      </c>
      <c r="D541" s="17">
        <v>0.29039999999999999</v>
      </c>
      <c r="E541" s="11">
        <f t="shared" si="8"/>
        <v>0.28739999999999999</v>
      </c>
    </row>
    <row r="542" spans="1:5" hidden="1" x14ac:dyDescent="0.25">
      <c r="A542" s="15" t="s">
        <v>34</v>
      </c>
      <c r="B542" s="16">
        <v>42227</v>
      </c>
      <c r="C542" s="17">
        <v>1.2345999999999999</v>
      </c>
      <c r="D542" s="17">
        <v>-0.86240000000000006</v>
      </c>
      <c r="E542" s="11">
        <f t="shared" si="8"/>
        <v>-0.86540000000000006</v>
      </c>
    </row>
    <row r="543" spans="1:5" hidden="1" x14ac:dyDescent="0.25">
      <c r="A543" s="15" t="s">
        <v>34</v>
      </c>
      <c r="B543" s="16">
        <v>42228</v>
      </c>
      <c r="C543" s="17">
        <v>0.76390000000000002</v>
      </c>
      <c r="D543" s="17">
        <v>-1.3283</v>
      </c>
      <c r="E543" s="11">
        <f t="shared" si="8"/>
        <v>-1.3312999999999999</v>
      </c>
    </row>
    <row r="544" spans="1:5" hidden="1" x14ac:dyDescent="0.25">
      <c r="A544" s="15" t="s">
        <v>34</v>
      </c>
      <c r="B544" s="16">
        <v>42229</v>
      </c>
      <c r="C544" s="17">
        <v>1.6604000000000001</v>
      </c>
      <c r="D544" s="17">
        <v>0.34179999999999999</v>
      </c>
      <c r="E544" s="11">
        <f t="shared" si="8"/>
        <v>0.33879999999999999</v>
      </c>
    </row>
    <row r="545" spans="1:5" hidden="1" x14ac:dyDescent="0.25">
      <c r="A545" s="15" t="s">
        <v>34</v>
      </c>
      <c r="B545" s="16">
        <v>42230</v>
      </c>
      <c r="C545" s="17">
        <v>0.59699999999999998</v>
      </c>
      <c r="D545" s="17">
        <v>-7.3400000000000007E-2</v>
      </c>
      <c r="E545" s="11">
        <f t="shared" si="8"/>
        <v>-7.640000000000001E-2</v>
      </c>
    </row>
    <row r="546" spans="1:5" hidden="1" x14ac:dyDescent="0.25">
      <c r="A546" s="15" t="s">
        <v>34</v>
      </c>
      <c r="B546" s="16">
        <v>42233</v>
      </c>
      <c r="C546" s="17">
        <v>-4.2560000000000002</v>
      </c>
      <c r="D546" s="17">
        <v>-1.1165</v>
      </c>
      <c r="E546" s="11">
        <f t="shared" si="8"/>
        <v>-1.1194999999999999</v>
      </c>
    </row>
    <row r="547" spans="1:5" hidden="1" x14ac:dyDescent="0.25">
      <c r="A547" s="15" t="s">
        <v>34</v>
      </c>
      <c r="B547" s="16">
        <v>42234</v>
      </c>
      <c r="C547" s="17">
        <v>0.61919999999999997</v>
      </c>
      <c r="D547" s="17">
        <v>-0.44169999999999998</v>
      </c>
      <c r="E547" s="11">
        <f t="shared" si="8"/>
        <v>-0.44469999999999998</v>
      </c>
    </row>
    <row r="548" spans="1:5" hidden="1" x14ac:dyDescent="0.25">
      <c r="A548" s="15" t="s">
        <v>34</v>
      </c>
      <c r="B548" s="16">
        <v>42235</v>
      </c>
      <c r="C548" s="17">
        <v>-4.0951000000000004</v>
      </c>
      <c r="D548" s="17">
        <v>-1.9184000000000001</v>
      </c>
      <c r="E548" s="11">
        <f t="shared" si="8"/>
        <v>-1.9214</v>
      </c>
    </row>
    <row r="549" spans="1:5" hidden="1" x14ac:dyDescent="0.25">
      <c r="A549" s="15" t="s">
        <v>34</v>
      </c>
      <c r="B549" s="16">
        <v>42236</v>
      </c>
      <c r="C549" s="17">
        <v>1.278</v>
      </c>
      <c r="D549" s="17">
        <v>9.9299999999999999E-2</v>
      </c>
      <c r="E549" s="11">
        <f t="shared" si="8"/>
        <v>9.6299999999999997E-2</v>
      </c>
    </row>
    <row r="550" spans="1:5" hidden="1" x14ac:dyDescent="0.25">
      <c r="A550" s="15" t="s">
        <v>34</v>
      </c>
      <c r="B550" s="16">
        <v>42237</v>
      </c>
      <c r="C550" s="17">
        <v>-4.8789999999999996</v>
      </c>
      <c r="D550" s="17">
        <v>-3.0714999999999999</v>
      </c>
      <c r="E550" s="11">
        <f t="shared" si="8"/>
        <v>-3.0745</v>
      </c>
    </row>
    <row r="551" spans="1:5" hidden="1" x14ac:dyDescent="0.25">
      <c r="A551" s="15" t="s">
        <v>34</v>
      </c>
      <c r="B551" s="16">
        <v>42240</v>
      </c>
      <c r="C551" s="17">
        <v>5.8269000000000002</v>
      </c>
      <c r="D551" s="17">
        <v>-4.9569000000000001</v>
      </c>
      <c r="E551" s="11">
        <f t="shared" si="8"/>
        <v>-4.9599000000000002</v>
      </c>
    </row>
    <row r="552" spans="1:5" hidden="1" x14ac:dyDescent="0.25">
      <c r="A552" s="15" t="s">
        <v>34</v>
      </c>
      <c r="B552" s="16">
        <v>42241</v>
      </c>
      <c r="C552" s="17">
        <v>2.4845999999999999</v>
      </c>
      <c r="D552" s="17">
        <v>3.5175000000000001</v>
      </c>
      <c r="E552" s="11">
        <f t="shared" si="8"/>
        <v>3.5145</v>
      </c>
    </row>
    <row r="553" spans="1:5" hidden="1" x14ac:dyDescent="0.25">
      <c r="A553" s="15" t="s">
        <v>34</v>
      </c>
      <c r="B553" s="16">
        <v>42242</v>
      </c>
      <c r="C553" s="17">
        <v>-6.8226000000000004</v>
      </c>
      <c r="D553" s="17">
        <v>0.51910000000000001</v>
      </c>
      <c r="E553" s="11">
        <f t="shared" si="8"/>
        <v>0.5161</v>
      </c>
    </row>
    <row r="554" spans="1:5" hidden="1" x14ac:dyDescent="0.25">
      <c r="A554" s="15" t="s">
        <v>34</v>
      </c>
      <c r="B554" s="16">
        <v>42243</v>
      </c>
      <c r="C554" s="17">
        <v>4.9649999999999999</v>
      </c>
      <c r="D554" s="17">
        <v>1.4023000000000001</v>
      </c>
      <c r="E554" s="11">
        <f t="shared" si="8"/>
        <v>1.3993000000000002</v>
      </c>
    </row>
    <row r="555" spans="1:5" hidden="1" x14ac:dyDescent="0.25">
      <c r="A555" s="15" t="s">
        <v>34</v>
      </c>
      <c r="B555" s="16">
        <v>42244</v>
      </c>
      <c r="C555" s="17">
        <v>4.8789999999999996</v>
      </c>
      <c r="D555" s="17">
        <v>2.4569999999999999</v>
      </c>
      <c r="E555" s="11">
        <f t="shared" si="8"/>
        <v>2.4539999999999997</v>
      </c>
    </row>
    <row r="556" spans="1:5" hidden="1" x14ac:dyDescent="0.25">
      <c r="A556" s="15" t="s">
        <v>34</v>
      </c>
      <c r="B556" s="16">
        <v>42247</v>
      </c>
      <c r="C556" s="17">
        <v>0</v>
      </c>
      <c r="D556" s="17">
        <v>1.9235</v>
      </c>
      <c r="E556" s="11">
        <f t="shared" si="8"/>
        <v>1.9205000000000001</v>
      </c>
    </row>
    <row r="557" spans="1:5" hidden="1" x14ac:dyDescent="0.25">
      <c r="A557" s="15" t="s">
        <v>34</v>
      </c>
      <c r="B557" s="16">
        <v>42248</v>
      </c>
      <c r="C557" s="17">
        <v>-6.4539</v>
      </c>
      <c r="D557" s="17">
        <v>-1.9437</v>
      </c>
      <c r="E557" s="11">
        <f t="shared" si="8"/>
        <v>-1.9466999999999999</v>
      </c>
    </row>
    <row r="558" spans="1:5" hidden="1" x14ac:dyDescent="0.25">
      <c r="A558" s="15" t="s">
        <v>34</v>
      </c>
      <c r="B558" s="16">
        <v>42249</v>
      </c>
      <c r="C558" s="17">
        <v>0.79049999999999998</v>
      </c>
      <c r="D558" s="17">
        <v>0.22090000000000001</v>
      </c>
      <c r="E558" s="11">
        <f t="shared" si="8"/>
        <v>0.21790000000000001</v>
      </c>
    </row>
    <row r="559" spans="1:5" hidden="1" x14ac:dyDescent="0.25">
      <c r="A559" s="15" t="s">
        <v>34</v>
      </c>
      <c r="B559" s="16">
        <v>42250</v>
      </c>
      <c r="C559" s="17">
        <v>0.15740000000000001</v>
      </c>
      <c r="D559" s="17">
        <v>0.75209999999999999</v>
      </c>
      <c r="E559" s="11">
        <f t="shared" si="8"/>
        <v>0.74909999999999999</v>
      </c>
    </row>
    <row r="560" spans="1:5" hidden="1" x14ac:dyDescent="0.25">
      <c r="A560" s="15" t="s">
        <v>34</v>
      </c>
      <c r="B560" s="16">
        <v>42251</v>
      </c>
      <c r="C560" s="17">
        <v>0</v>
      </c>
      <c r="D560" s="17">
        <v>-1.1847000000000001</v>
      </c>
      <c r="E560" s="11">
        <f t="shared" si="8"/>
        <v>-1.1877</v>
      </c>
    </row>
    <row r="561" spans="1:5" hidden="1" x14ac:dyDescent="0.25">
      <c r="A561" s="15" t="s">
        <v>34</v>
      </c>
      <c r="B561" s="16">
        <v>42254</v>
      </c>
      <c r="C561" s="17">
        <v>-1.1067</v>
      </c>
      <c r="D561" s="17">
        <v>-0.17560000000000001</v>
      </c>
      <c r="E561" s="11">
        <f t="shared" si="8"/>
        <v>-0.17860000000000001</v>
      </c>
    </row>
    <row r="562" spans="1:5" hidden="1" x14ac:dyDescent="0.25">
      <c r="A562" s="15" t="s">
        <v>34</v>
      </c>
      <c r="B562" s="16">
        <v>42255</v>
      </c>
      <c r="C562" s="17">
        <v>2.5118999999999998</v>
      </c>
      <c r="D562" s="17">
        <v>0.18690000000000001</v>
      </c>
      <c r="E562" s="11">
        <f t="shared" si="8"/>
        <v>0.18390000000000001</v>
      </c>
    </row>
    <row r="563" spans="1:5" hidden="1" x14ac:dyDescent="0.25">
      <c r="A563" s="15" t="s">
        <v>34</v>
      </c>
      <c r="B563" s="16">
        <v>42256</v>
      </c>
      <c r="C563" s="17">
        <v>9.4604999999999997</v>
      </c>
      <c r="D563" s="17">
        <v>3.5049000000000001</v>
      </c>
      <c r="E563" s="11">
        <f t="shared" si="8"/>
        <v>3.5019</v>
      </c>
    </row>
    <row r="564" spans="1:5" hidden="1" x14ac:dyDescent="0.25">
      <c r="A564" s="15" t="s">
        <v>34</v>
      </c>
      <c r="B564" s="16">
        <v>42257</v>
      </c>
      <c r="C564" s="17">
        <v>2.9188999999999998</v>
      </c>
      <c r="D564" s="17">
        <v>-0.2203</v>
      </c>
      <c r="E564" s="11">
        <f t="shared" si="8"/>
        <v>-0.2233</v>
      </c>
    </row>
    <row r="565" spans="1:5" hidden="1" x14ac:dyDescent="0.25">
      <c r="A565" s="15" t="s">
        <v>34</v>
      </c>
      <c r="B565" s="16">
        <v>42258</v>
      </c>
      <c r="C565" s="17">
        <v>0</v>
      </c>
      <c r="D565" s="17">
        <v>0.44819999999999999</v>
      </c>
      <c r="E565" s="11">
        <f t="shared" si="8"/>
        <v>0.44519999999999998</v>
      </c>
    </row>
    <row r="566" spans="1:5" hidden="1" x14ac:dyDescent="0.25">
      <c r="A566" s="15" t="s">
        <v>34</v>
      </c>
      <c r="B566" s="16">
        <v>42261</v>
      </c>
      <c r="C566" s="17">
        <v>-0.82530000000000003</v>
      </c>
      <c r="D566" s="17">
        <v>1.77E-2</v>
      </c>
      <c r="E566" s="11">
        <f t="shared" si="8"/>
        <v>1.4700000000000001E-2</v>
      </c>
    </row>
    <row r="567" spans="1:5" hidden="1" x14ac:dyDescent="0.25">
      <c r="A567" s="15" t="s">
        <v>34</v>
      </c>
      <c r="B567" s="16">
        <v>42262</v>
      </c>
      <c r="C567" s="17">
        <v>-1.1111</v>
      </c>
      <c r="D567" s="17">
        <v>-0.57099999999999995</v>
      </c>
      <c r="E567" s="11">
        <f t="shared" si="8"/>
        <v>-0.57399999999999995</v>
      </c>
    </row>
    <row r="568" spans="1:5" hidden="1" x14ac:dyDescent="0.25">
      <c r="A568" s="15" t="s">
        <v>34</v>
      </c>
      <c r="B568" s="16">
        <v>42263</v>
      </c>
      <c r="C568" s="17">
        <v>0.83450000000000002</v>
      </c>
      <c r="D568" s="17">
        <v>0.88349999999999995</v>
      </c>
      <c r="E568" s="11">
        <f t="shared" si="8"/>
        <v>0.88049999999999995</v>
      </c>
    </row>
    <row r="569" spans="1:5" hidden="1" x14ac:dyDescent="0.25">
      <c r="A569" s="15" t="s">
        <v>34</v>
      </c>
      <c r="B569" s="16">
        <v>42264</v>
      </c>
      <c r="C569" s="17">
        <v>3.1358999999999999</v>
      </c>
      <c r="D569" s="17">
        <v>1.3374999999999999</v>
      </c>
      <c r="E569" s="11">
        <f t="shared" si="8"/>
        <v>1.3345</v>
      </c>
    </row>
    <row r="570" spans="1:5" hidden="1" x14ac:dyDescent="0.25">
      <c r="A570" s="15" t="s">
        <v>34</v>
      </c>
      <c r="B570" s="16">
        <v>42265</v>
      </c>
      <c r="C570" s="17">
        <v>-0.94399999999999995</v>
      </c>
      <c r="D570" s="17">
        <v>0.1968</v>
      </c>
      <c r="E570" s="11">
        <f t="shared" si="8"/>
        <v>0.1938</v>
      </c>
    </row>
    <row r="571" spans="1:5" hidden="1" x14ac:dyDescent="0.25">
      <c r="A571" s="15" t="s">
        <v>34</v>
      </c>
      <c r="B571" s="16">
        <v>42268</v>
      </c>
      <c r="C571" s="17">
        <v>-3.1661000000000001</v>
      </c>
      <c r="D571" s="17">
        <v>-1.8499000000000001</v>
      </c>
      <c r="E571" s="11">
        <f t="shared" si="8"/>
        <v>-1.8529</v>
      </c>
    </row>
    <row r="572" spans="1:5" hidden="1" x14ac:dyDescent="0.25">
      <c r="A572" s="15" t="s">
        <v>34</v>
      </c>
      <c r="B572" s="16">
        <v>42269</v>
      </c>
      <c r="C572" s="17">
        <v>0.41870000000000002</v>
      </c>
      <c r="D572" s="17">
        <v>0.70630000000000004</v>
      </c>
      <c r="E572" s="11">
        <f t="shared" si="8"/>
        <v>0.70330000000000004</v>
      </c>
    </row>
    <row r="573" spans="1:5" hidden="1" x14ac:dyDescent="0.25">
      <c r="A573" s="15" t="s">
        <v>34</v>
      </c>
      <c r="B573" s="16">
        <v>42270</v>
      </c>
      <c r="C573" s="17">
        <v>-3.544</v>
      </c>
      <c r="D573" s="17">
        <v>-2.0834999999999999</v>
      </c>
      <c r="E573" s="11">
        <f t="shared" si="8"/>
        <v>-2.0865</v>
      </c>
    </row>
    <row r="574" spans="1:5" hidden="1" x14ac:dyDescent="0.25">
      <c r="A574" s="15" t="s">
        <v>34</v>
      </c>
      <c r="B574" s="16">
        <v>42271</v>
      </c>
      <c r="C574" s="17">
        <v>-1.4535</v>
      </c>
      <c r="D574" s="17">
        <v>-0.86199999999999999</v>
      </c>
      <c r="E574" s="11">
        <f t="shared" si="8"/>
        <v>-0.86499999999999999</v>
      </c>
    </row>
    <row r="575" spans="1:5" hidden="1" x14ac:dyDescent="0.25">
      <c r="A575" s="15" t="s">
        <v>34</v>
      </c>
      <c r="B575" s="16">
        <v>42272</v>
      </c>
      <c r="C575" s="17">
        <v>1.1645000000000001</v>
      </c>
      <c r="D575" s="17">
        <v>0.1138</v>
      </c>
      <c r="E575" s="11">
        <f t="shared" si="8"/>
        <v>0.1108</v>
      </c>
    </row>
    <row r="576" spans="1:5" hidden="1" x14ac:dyDescent="0.25">
      <c r="A576" s="15" t="s">
        <v>34</v>
      </c>
      <c r="B576" s="16">
        <v>42277</v>
      </c>
      <c r="C576" s="17">
        <v>2.1475</v>
      </c>
      <c r="D576" s="17">
        <v>0.59940000000000004</v>
      </c>
      <c r="E576" s="11">
        <f t="shared" si="8"/>
        <v>0.59640000000000004</v>
      </c>
    </row>
    <row r="577" spans="1:5" hidden="1" x14ac:dyDescent="0.25">
      <c r="A577" s="15" t="s">
        <v>34</v>
      </c>
      <c r="B577" s="16">
        <v>42278</v>
      </c>
      <c r="C577" s="17">
        <v>1.9636</v>
      </c>
      <c r="D577" s="17">
        <v>1.3923000000000001</v>
      </c>
      <c r="E577" s="11">
        <f t="shared" si="8"/>
        <v>1.3893000000000002</v>
      </c>
    </row>
    <row r="578" spans="1:5" hidden="1" x14ac:dyDescent="0.25">
      <c r="A578" s="15" t="s">
        <v>34</v>
      </c>
      <c r="B578" s="16">
        <v>42279</v>
      </c>
      <c r="C578" s="17">
        <v>-0.83679999999999999</v>
      </c>
      <c r="D578" s="17">
        <v>0.1095</v>
      </c>
      <c r="E578" s="11">
        <f t="shared" si="8"/>
        <v>0.1065</v>
      </c>
    </row>
    <row r="579" spans="1:5" hidden="1" x14ac:dyDescent="0.25">
      <c r="A579" s="15" t="s">
        <v>34</v>
      </c>
      <c r="B579" s="16">
        <v>42282</v>
      </c>
      <c r="C579" s="17">
        <v>-0.42109999999999997</v>
      </c>
      <c r="D579" s="17">
        <v>0.56830000000000003</v>
      </c>
      <c r="E579" s="11">
        <f t="shared" ref="E579:E642" si="9">D579-$M$1</f>
        <v>0.56530000000000002</v>
      </c>
    </row>
    <row r="580" spans="1:5" hidden="1" x14ac:dyDescent="0.25">
      <c r="A580" s="15" t="s">
        <v>34</v>
      </c>
      <c r="B580" s="16">
        <v>42283</v>
      </c>
      <c r="C580" s="17">
        <v>-2.5642</v>
      </c>
      <c r="D580" s="17">
        <v>0.4985</v>
      </c>
      <c r="E580" s="11">
        <f t="shared" si="9"/>
        <v>0.4955</v>
      </c>
    </row>
    <row r="581" spans="1:5" hidden="1" x14ac:dyDescent="0.25">
      <c r="A581" s="15" t="s">
        <v>34</v>
      </c>
      <c r="B581" s="16">
        <v>42284</v>
      </c>
      <c r="C581" s="17">
        <v>1.2903</v>
      </c>
      <c r="D581" s="17">
        <v>1.1976</v>
      </c>
      <c r="E581" s="11">
        <f t="shared" si="9"/>
        <v>1.1946000000000001</v>
      </c>
    </row>
    <row r="582" spans="1:5" hidden="1" x14ac:dyDescent="0.25">
      <c r="A582" s="15" t="s">
        <v>34</v>
      </c>
      <c r="B582" s="16">
        <v>42285</v>
      </c>
      <c r="C582" s="17">
        <v>-1.7242</v>
      </c>
      <c r="D582" s="17">
        <v>-0.58169999999999999</v>
      </c>
      <c r="E582" s="11">
        <f t="shared" si="9"/>
        <v>-0.5847</v>
      </c>
    </row>
    <row r="583" spans="1:5" hidden="1" x14ac:dyDescent="0.25">
      <c r="A583" s="15" t="s">
        <v>34</v>
      </c>
      <c r="B583" s="16">
        <v>42289</v>
      </c>
      <c r="C583" s="17">
        <v>1.2959000000000001</v>
      </c>
      <c r="D583" s="17">
        <v>1.5013000000000001</v>
      </c>
      <c r="E583" s="11">
        <f t="shared" si="9"/>
        <v>1.4983000000000002</v>
      </c>
    </row>
    <row r="584" spans="1:5" hidden="1" x14ac:dyDescent="0.25">
      <c r="A584" s="15" t="s">
        <v>34</v>
      </c>
      <c r="B584" s="16">
        <v>42290</v>
      </c>
      <c r="C584" s="17">
        <v>-1.2959000000000001</v>
      </c>
      <c r="D584" s="17">
        <v>-6.7699999999999996E-2</v>
      </c>
      <c r="E584" s="11">
        <f t="shared" si="9"/>
        <v>-7.0699999999999999E-2</v>
      </c>
    </row>
    <row r="585" spans="1:5" hidden="1" x14ac:dyDescent="0.25">
      <c r="A585" s="15" t="s">
        <v>34</v>
      </c>
      <c r="B585" s="16">
        <v>42291</v>
      </c>
      <c r="C585" s="17">
        <v>1.4389000000000001</v>
      </c>
      <c r="D585" s="17">
        <v>-0.53139999999999998</v>
      </c>
      <c r="E585" s="11">
        <f t="shared" si="9"/>
        <v>-0.53439999999999999</v>
      </c>
    </row>
    <row r="586" spans="1:5" hidden="1" x14ac:dyDescent="0.25">
      <c r="A586" s="15" t="s">
        <v>34</v>
      </c>
      <c r="B586" s="16">
        <v>42292</v>
      </c>
      <c r="C586" s="17">
        <v>7.0324999999999998</v>
      </c>
      <c r="D586" s="17">
        <v>0.92279999999999995</v>
      </c>
      <c r="E586" s="11">
        <f t="shared" si="9"/>
        <v>0.91979999999999995</v>
      </c>
    </row>
    <row r="587" spans="1:5" hidden="1" x14ac:dyDescent="0.25">
      <c r="A587" s="15" t="s">
        <v>34</v>
      </c>
      <c r="B587" s="16">
        <v>42293</v>
      </c>
      <c r="C587" s="17">
        <v>2.4984999999999999</v>
      </c>
      <c r="D587" s="17">
        <v>3.9899999999999998E-2</v>
      </c>
      <c r="E587" s="11">
        <f t="shared" si="9"/>
        <v>3.6899999999999995E-2</v>
      </c>
    </row>
    <row r="588" spans="1:5" hidden="1" x14ac:dyDescent="0.25">
      <c r="A588" s="15" t="s">
        <v>34</v>
      </c>
      <c r="B588" s="16">
        <v>42296</v>
      </c>
      <c r="C588" s="17">
        <v>-1.4389000000000001</v>
      </c>
      <c r="D588" s="17">
        <v>0.30809999999999998</v>
      </c>
      <c r="E588" s="11">
        <f t="shared" si="9"/>
        <v>0.30509999999999998</v>
      </c>
    </row>
    <row r="589" spans="1:5" hidden="1" x14ac:dyDescent="0.25">
      <c r="A589" s="15" t="s">
        <v>34</v>
      </c>
      <c r="B589" s="16">
        <v>42297</v>
      </c>
      <c r="C589" s="17">
        <v>0.13170000000000001</v>
      </c>
      <c r="D589" s="17">
        <v>0.25569999999999998</v>
      </c>
      <c r="E589" s="11">
        <f t="shared" si="9"/>
        <v>0.25269999999999998</v>
      </c>
    </row>
    <row r="590" spans="1:5" hidden="1" x14ac:dyDescent="0.25">
      <c r="A590" s="15" t="s">
        <v>34</v>
      </c>
      <c r="B590" s="16">
        <v>42298</v>
      </c>
      <c r="C590" s="17">
        <v>-0.79259999999999997</v>
      </c>
      <c r="D590" s="17">
        <v>-0.5141</v>
      </c>
      <c r="E590" s="11">
        <f t="shared" si="9"/>
        <v>-0.5171</v>
      </c>
    </row>
    <row r="591" spans="1:5" hidden="1" x14ac:dyDescent="0.25">
      <c r="A591" s="15" t="s">
        <v>34</v>
      </c>
      <c r="B591" s="16">
        <v>42299</v>
      </c>
      <c r="C591" s="17">
        <v>0</v>
      </c>
      <c r="D591" s="17">
        <v>-8.8999999999999999E-3</v>
      </c>
      <c r="E591" s="11">
        <f t="shared" si="9"/>
        <v>-1.1900000000000001E-2</v>
      </c>
    </row>
    <row r="592" spans="1:5" hidden="1" x14ac:dyDescent="0.25">
      <c r="A592" s="15" t="s">
        <v>34</v>
      </c>
      <c r="B592" s="16">
        <v>42300</v>
      </c>
      <c r="C592" s="17">
        <v>1.1866000000000001</v>
      </c>
      <c r="D592" s="17">
        <v>0.75629999999999997</v>
      </c>
      <c r="E592" s="11">
        <f t="shared" si="9"/>
        <v>0.75329999999999997</v>
      </c>
    </row>
    <row r="593" spans="1:5" hidden="1" x14ac:dyDescent="0.25">
      <c r="A593" s="15" t="s">
        <v>34</v>
      </c>
      <c r="B593" s="16">
        <v>42303</v>
      </c>
      <c r="C593" s="17">
        <v>2.2035999999999998</v>
      </c>
      <c r="D593" s="17">
        <v>0.82150000000000001</v>
      </c>
      <c r="E593" s="11">
        <f t="shared" si="9"/>
        <v>0.81850000000000001</v>
      </c>
    </row>
    <row r="594" spans="1:5" hidden="1" x14ac:dyDescent="0.25">
      <c r="A594" s="15" t="s">
        <v>34</v>
      </c>
      <c r="B594" s="16">
        <v>42304</v>
      </c>
      <c r="C594" s="17">
        <v>-2.2035999999999998</v>
      </c>
      <c r="D594" s="17">
        <v>-0.50490000000000002</v>
      </c>
      <c r="E594" s="11">
        <f t="shared" si="9"/>
        <v>-0.50790000000000002</v>
      </c>
    </row>
    <row r="595" spans="1:5" hidden="1" x14ac:dyDescent="0.25">
      <c r="A595" s="15" t="s">
        <v>34</v>
      </c>
      <c r="B595" s="16">
        <v>42305</v>
      </c>
      <c r="C595" s="17">
        <v>0.26179999999999998</v>
      </c>
      <c r="D595" s="17">
        <v>-0.40689999999999998</v>
      </c>
      <c r="E595" s="11">
        <f t="shared" si="9"/>
        <v>-0.40989999999999999</v>
      </c>
    </row>
    <row r="596" spans="1:5" hidden="1" x14ac:dyDescent="0.25">
      <c r="A596" s="15" t="s">
        <v>34</v>
      </c>
      <c r="B596" s="16">
        <v>42306</v>
      </c>
      <c r="C596" s="17">
        <v>-2.5150000000000001</v>
      </c>
      <c r="D596" s="17">
        <v>-1.1012</v>
      </c>
      <c r="E596" s="11">
        <f t="shared" si="9"/>
        <v>-1.1041999999999998</v>
      </c>
    </row>
    <row r="597" spans="1:5" hidden="1" x14ac:dyDescent="0.25">
      <c r="A597" s="15" t="s">
        <v>34</v>
      </c>
      <c r="B597" s="16">
        <v>42307</v>
      </c>
      <c r="C597" s="17">
        <v>1.3315999999999999</v>
      </c>
      <c r="D597" s="17">
        <v>-0.1958</v>
      </c>
      <c r="E597" s="11">
        <f t="shared" si="9"/>
        <v>-0.1988</v>
      </c>
    </row>
    <row r="598" spans="1:5" hidden="1" x14ac:dyDescent="0.25">
      <c r="A598" s="15" t="s">
        <v>34</v>
      </c>
      <c r="B598" s="16">
        <v>42310</v>
      </c>
      <c r="C598" s="17">
        <v>-1.4657</v>
      </c>
      <c r="D598" s="17">
        <v>0.70430000000000004</v>
      </c>
      <c r="E598" s="11">
        <f t="shared" si="9"/>
        <v>0.70130000000000003</v>
      </c>
    </row>
    <row r="599" spans="1:5" hidden="1" x14ac:dyDescent="0.25">
      <c r="A599" s="15" t="s">
        <v>34</v>
      </c>
      <c r="B599" s="16">
        <v>42311</v>
      </c>
      <c r="C599" s="17">
        <v>0.66890000000000005</v>
      </c>
      <c r="D599" s="17">
        <v>1.1359999999999999</v>
      </c>
      <c r="E599" s="11">
        <f t="shared" si="9"/>
        <v>1.133</v>
      </c>
    </row>
    <row r="600" spans="1:5" hidden="1" x14ac:dyDescent="0.25">
      <c r="A600" s="15" t="s">
        <v>34</v>
      </c>
      <c r="B600" s="16">
        <v>42312</v>
      </c>
      <c r="C600" s="17">
        <v>1.7184999999999999</v>
      </c>
      <c r="D600" s="17">
        <v>1.6372</v>
      </c>
      <c r="E600" s="11">
        <f t="shared" si="9"/>
        <v>1.6342000000000001</v>
      </c>
    </row>
    <row r="601" spans="1:5" hidden="1" x14ac:dyDescent="0.25">
      <c r="A601" s="15" t="s">
        <v>34</v>
      </c>
      <c r="B601" s="16">
        <v>42313</v>
      </c>
      <c r="C601" s="17">
        <v>0.6532</v>
      </c>
      <c r="D601" s="17">
        <v>-7.7299999999999994E-2</v>
      </c>
      <c r="E601" s="11">
        <f t="shared" si="9"/>
        <v>-8.0299999999999996E-2</v>
      </c>
    </row>
    <row r="602" spans="1:5" hidden="1" x14ac:dyDescent="0.25">
      <c r="A602" s="15" t="s">
        <v>34</v>
      </c>
      <c r="B602" s="16">
        <v>42314</v>
      </c>
      <c r="C602" s="17">
        <v>-3.1749000000000001</v>
      </c>
      <c r="D602" s="17">
        <v>-1.7854000000000001</v>
      </c>
      <c r="E602" s="11">
        <f t="shared" si="9"/>
        <v>-1.7884</v>
      </c>
    </row>
    <row r="603" spans="1:5" hidden="1" x14ac:dyDescent="0.25">
      <c r="A603" s="15" t="s">
        <v>34</v>
      </c>
      <c r="B603" s="16">
        <v>42317</v>
      </c>
      <c r="C603" s="17">
        <v>-0.26919999999999999</v>
      </c>
      <c r="D603" s="17">
        <v>-0.58940000000000003</v>
      </c>
      <c r="E603" s="11">
        <f t="shared" si="9"/>
        <v>-0.59240000000000004</v>
      </c>
    </row>
    <row r="604" spans="1:5" hidden="1" x14ac:dyDescent="0.25">
      <c r="A604" s="15" t="s">
        <v>34</v>
      </c>
      <c r="B604" s="16">
        <v>42318</v>
      </c>
      <c r="C604" s="17">
        <v>0.26919999999999999</v>
      </c>
      <c r="D604" s="17">
        <v>-1.2292000000000001</v>
      </c>
      <c r="E604" s="11">
        <f t="shared" si="9"/>
        <v>-1.2322</v>
      </c>
    </row>
    <row r="605" spans="1:5" hidden="1" x14ac:dyDescent="0.25">
      <c r="A605" s="15" t="s">
        <v>34</v>
      </c>
      <c r="B605" s="16">
        <v>42319</v>
      </c>
      <c r="C605" s="17">
        <v>-3.1402000000000001</v>
      </c>
      <c r="D605" s="17">
        <v>-1.4380999999999999</v>
      </c>
      <c r="E605" s="11">
        <f t="shared" si="9"/>
        <v>-1.4410999999999998</v>
      </c>
    </row>
    <row r="606" spans="1:5" hidden="1" x14ac:dyDescent="0.25">
      <c r="A606" s="15" t="s">
        <v>34</v>
      </c>
      <c r="B606" s="16">
        <v>42320</v>
      </c>
      <c r="C606" s="17">
        <v>0.27700000000000002</v>
      </c>
      <c r="D606" s="17">
        <v>0.15529999999999999</v>
      </c>
      <c r="E606" s="11">
        <f t="shared" si="9"/>
        <v>0.15229999999999999</v>
      </c>
    </row>
    <row r="607" spans="1:5" hidden="1" x14ac:dyDescent="0.25">
      <c r="A607" s="15" t="s">
        <v>34</v>
      </c>
      <c r="B607" s="16">
        <v>42321</v>
      </c>
      <c r="C607" s="17">
        <v>-1.8144</v>
      </c>
      <c r="D607" s="17">
        <v>-1.1767000000000001</v>
      </c>
      <c r="E607" s="11">
        <f t="shared" si="9"/>
        <v>-1.1797</v>
      </c>
    </row>
    <row r="608" spans="1:5" hidden="1" x14ac:dyDescent="0.25">
      <c r="A608" s="15" t="s">
        <v>34</v>
      </c>
      <c r="B608" s="16">
        <v>42324</v>
      </c>
      <c r="C608" s="17">
        <v>-0.56499999999999995</v>
      </c>
      <c r="D608" s="17">
        <v>-0.41020000000000001</v>
      </c>
      <c r="E608" s="11">
        <f t="shared" si="9"/>
        <v>-0.41320000000000001</v>
      </c>
    </row>
    <row r="609" spans="1:5" hidden="1" x14ac:dyDescent="0.25">
      <c r="A609" s="15" t="s">
        <v>34</v>
      </c>
      <c r="B609" s="16">
        <v>42325</v>
      </c>
      <c r="C609" s="17">
        <v>2.6556000000000002</v>
      </c>
      <c r="D609" s="17">
        <v>1.484</v>
      </c>
      <c r="E609" s="11">
        <f t="shared" si="9"/>
        <v>1.4810000000000001</v>
      </c>
    </row>
    <row r="610" spans="1:5" hidden="1" x14ac:dyDescent="0.25">
      <c r="A610" s="15" t="s">
        <v>34</v>
      </c>
      <c r="B610" s="16">
        <v>42326</v>
      </c>
      <c r="C610" s="17">
        <v>-1.2491000000000001</v>
      </c>
      <c r="D610" s="17">
        <v>-0.94210000000000005</v>
      </c>
      <c r="E610" s="11">
        <f t="shared" si="9"/>
        <v>-0.94510000000000005</v>
      </c>
    </row>
    <row r="611" spans="1:5" hidden="1" x14ac:dyDescent="0.25">
      <c r="A611" s="15" t="s">
        <v>34</v>
      </c>
      <c r="B611" s="16">
        <v>42327</v>
      </c>
      <c r="C611" s="17">
        <v>1.9363999999999999</v>
      </c>
      <c r="D611" s="17">
        <v>1.6261000000000001</v>
      </c>
      <c r="E611" s="11">
        <f t="shared" si="9"/>
        <v>1.6231000000000002</v>
      </c>
    </row>
    <row r="612" spans="1:5" hidden="1" x14ac:dyDescent="0.25">
      <c r="A612" s="15" t="s">
        <v>34</v>
      </c>
      <c r="B612" s="16">
        <v>42328</v>
      </c>
      <c r="C612" s="17">
        <v>-1.2404999999999999</v>
      </c>
      <c r="D612" s="17">
        <v>-0.13869999999999999</v>
      </c>
      <c r="E612" s="11">
        <f t="shared" si="9"/>
        <v>-0.14169999999999999</v>
      </c>
    </row>
    <row r="613" spans="1:5" hidden="1" x14ac:dyDescent="0.25">
      <c r="A613" s="15" t="s">
        <v>34</v>
      </c>
      <c r="B613" s="16">
        <v>42331</v>
      </c>
      <c r="C613" s="17">
        <v>0.27700000000000002</v>
      </c>
      <c r="D613" s="17">
        <v>0.23930000000000001</v>
      </c>
      <c r="E613" s="11">
        <f t="shared" si="9"/>
        <v>0.23630000000000001</v>
      </c>
    </row>
    <row r="614" spans="1:5" hidden="1" x14ac:dyDescent="0.25">
      <c r="A614" s="15" t="s">
        <v>34</v>
      </c>
      <c r="B614" s="16">
        <v>42332</v>
      </c>
      <c r="C614" s="17">
        <v>-1.8144</v>
      </c>
      <c r="D614" s="17">
        <v>-1.0138</v>
      </c>
      <c r="E614" s="11">
        <f t="shared" si="9"/>
        <v>-1.0167999999999999</v>
      </c>
    </row>
    <row r="615" spans="1:5" hidden="1" x14ac:dyDescent="0.25">
      <c r="A615" s="15" t="s">
        <v>34</v>
      </c>
      <c r="B615" s="16">
        <v>42333</v>
      </c>
      <c r="C615" s="17">
        <v>-1.1332</v>
      </c>
      <c r="D615" s="17">
        <v>-0.16689999999999999</v>
      </c>
      <c r="E615" s="11">
        <f t="shared" si="9"/>
        <v>-0.1699</v>
      </c>
    </row>
    <row r="616" spans="1:5" hidden="1" x14ac:dyDescent="0.25">
      <c r="A616" s="15" t="s">
        <v>34</v>
      </c>
      <c r="B616" s="16">
        <v>42334</v>
      </c>
      <c r="C616" s="17">
        <v>3.0857999999999999</v>
      </c>
      <c r="D616" s="17">
        <v>1.1709000000000001</v>
      </c>
      <c r="E616" s="11">
        <f t="shared" si="9"/>
        <v>1.1679000000000002</v>
      </c>
    </row>
    <row r="617" spans="1:5" hidden="1" x14ac:dyDescent="0.25">
      <c r="A617" s="15" t="s">
        <v>34</v>
      </c>
      <c r="B617" s="16">
        <v>42335</v>
      </c>
      <c r="C617" s="17">
        <v>-2.8012999999999999</v>
      </c>
      <c r="D617" s="17">
        <v>-1.0246999999999999</v>
      </c>
      <c r="E617" s="11">
        <f t="shared" si="9"/>
        <v>-1.0276999999999998</v>
      </c>
    </row>
    <row r="618" spans="1:5" hidden="1" x14ac:dyDescent="0.25">
      <c r="A618" s="15" t="s">
        <v>34</v>
      </c>
      <c r="B618" s="16">
        <v>42338</v>
      </c>
      <c r="C618" s="17">
        <v>-2.4443999999999999</v>
      </c>
      <c r="D618" s="17">
        <v>-0.93059999999999998</v>
      </c>
      <c r="E618" s="11">
        <f t="shared" si="9"/>
        <v>-0.93359999999999999</v>
      </c>
    </row>
    <row r="619" spans="1:5" hidden="1" x14ac:dyDescent="0.25">
      <c r="A619" s="15" t="s">
        <v>34</v>
      </c>
      <c r="B619" s="16">
        <v>42339</v>
      </c>
      <c r="C619" s="17">
        <v>4.8304999999999998</v>
      </c>
      <c r="D619" s="17">
        <v>1.7003999999999999</v>
      </c>
      <c r="E619" s="11">
        <f t="shared" si="9"/>
        <v>1.6974</v>
      </c>
    </row>
    <row r="620" spans="1:5" hidden="1" x14ac:dyDescent="0.25">
      <c r="A620" s="15" t="s">
        <v>34</v>
      </c>
      <c r="B620" s="16">
        <v>42340</v>
      </c>
      <c r="C620" s="17">
        <v>0.96619999999999995</v>
      </c>
      <c r="D620" s="17">
        <v>-6.9699999999999998E-2</v>
      </c>
      <c r="E620" s="11">
        <f t="shared" si="9"/>
        <v>-7.2700000000000001E-2</v>
      </c>
    </row>
    <row r="621" spans="1:5" hidden="1" x14ac:dyDescent="0.25">
      <c r="A621" s="15" t="s">
        <v>34</v>
      </c>
      <c r="B621" s="16">
        <v>42341</v>
      </c>
      <c r="C621" s="17">
        <v>-0.13750000000000001</v>
      </c>
      <c r="D621" s="17">
        <v>-1.5800000000000002E-2</v>
      </c>
      <c r="E621" s="11">
        <f t="shared" si="9"/>
        <v>-1.8800000000000001E-2</v>
      </c>
    </row>
    <row r="622" spans="1:5" hidden="1" x14ac:dyDescent="0.25">
      <c r="A622" s="15" t="s">
        <v>34</v>
      </c>
      <c r="B622" s="16">
        <v>42342</v>
      </c>
      <c r="C622" s="17">
        <v>0.4118</v>
      </c>
      <c r="D622" s="17">
        <v>-0.68179999999999996</v>
      </c>
      <c r="E622" s="11">
        <f t="shared" si="9"/>
        <v>-0.68479999999999996</v>
      </c>
    </row>
    <row r="623" spans="1:5" hidden="1" x14ac:dyDescent="0.25">
      <c r="A623" s="15" t="s">
        <v>34</v>
      </c>
      <c r="B623" s="16">
        <v>42345</v>
      </c>
      <c r="C623" s="17">
        <v>0.41010000000000002</v>
      </c>
      <c r="D623" s="17">
        <v>0.66069999999999995</v>
      </c>
      <c r="E623" s="11">
        <f t="shared" si="9"/>
        <v>0.65769999999999995</v>
      </c>
    </row>
    <row r="624" spans="1:5" hidden="1" x14ac:dyDescent="0.25">
      <c r="A624" s="15" t="s">
        <v>34</v>
      </c>
      <c r="B624" s="16">
        <v>42346</v>
      </c>
      <c r="C624" s="17">
        <v>-2.0676000000000001</v>
      </c>
      <c r="D624" s="17">
        <v>-1.3146</v>
      </c>
      <c r="E624" s="11">
        <f t="shared" si="9"/>
        <v>-1.3175999999999999</v>
      </c>
    </row>
    <row r="625" spans="1:5" hidden="1" x14ac:dyDescent="0.25">
      <c r="A625" s="15" t="s">
        <v>34</v>
      </c>
      <c r="B625" s="16">
        <v>42347</v>
      </c>
      <c r="C625" s="17">
        <v>-1.6854</v>
      </c>
      <c r="D625" s="17">
        <v>-1.3786</v>
      </c>
      <c r="E625" s="11">
        <f t="shared" si="9"/>
        <v>-1.3815999999999999</v>
      </c>
    </row>
    <row r="626" spans="1:5" hidden="1" x14ac:dyDescent="0.25">
      <c r="A626" s="15" t="s">
        <v>34</v>
      </c>
      <c r="B626" s="16">
        <v>42348</v>
      </c>
      <c r="C626" s="17">
        <v>1.1268</v>
      </c>
      <c r="D626" s="17">
        <v>-0.1636</v>
      </c>
      <c r="E626" s="11">
        <f t="shared" si="9"/>
        <v>-0.1666</v>
      </c>
    </row>
    <row r="627" spans="1:5" hidden="1" x14ac:dyDescent="0.25">
      <c r="A627" s="15" t="s">
        <v>34</v>
      </c>
      <c r="B627" s="16">
        <v>42349</v>
      </c>
      <c r="C627" s="17">
        <v>-1.1268</v>
      </c>
      <c r="D627" s="17">
        <v>-1.228</v>
      </c>
      <c r="E627" s="11">
        <f t="shared" si="9"/>
        <v>-1.2309999999999999</v>
      </c>
    </row>
    <row r="628" spans="1:5" hidden="1" x14ac:dyDescent="0.25">
      <c r="A628" s="15" t="s">
        <v>34</v>
      </c>
      <c r="B628" s="16">
        <v>42352</v>
      </c>
      <c r="C628" s="17">
        <v>-5.5327000000000002</v>
      </c>
      <c r="D628" s="17">
        <v>-0.9375</v>
      </c>
      <c r="E628" s="11">
        <f t="shared" si="9"/>
        <v>-0.9405</v>
      </c>
    </row>
    <row r="629" spans="1:5" hidden="1" x14ac:dyDescent="0.25">
      <c r="A629" s="15" t="s">
        <v>34</v>
      </c>
      <c r="B629" s="16">
        <v>42353</v>
      </c>
      <c r="C629" s="17">
        <v>2.5131000000000001</v>
      </c>
      <c r="D629" s="17">
        <v>0.41199999999999998</v>
      </c>
      <c r="E629" s="11">
        <f t="shared" si="9"/>
        <v>0.40899999999999997</v>
      </c>
    </row>
    <row r="630" spans="1:5" hidden="1" x14ac:dyDescent="0.25">
      <c r="A630" s="15" t="s">
        <v>34</v>
      </c>
      <c r="B630" s="16">
        <v>42354</v>
      </c>
      <c r="C630" s="17">
        <v>3.5846</v>
      </c>
      <c r="D630" s="17">
        <v>1.3693</v>
      </c>
      <c r="E630" s="11">
        <f t="shared" si="9"/>
        <v>1.3663000000000001</v>
      </c>
    </row>
    <row r="631" spans="1:5" hidden="1" x14ac:dyDescent="0.25">
      <c r="A631" s="15" t="s">
        <v>34</v>
      </c>
      <c r="B631" s="16">
        <v>42355</v>
      </c>
      <c r="C631" s="17">
        <v>2.3662000000000001</v>
      </c>
      <c r="D631" s="17">
        <v>1.6361000000000001</v>
      </c>
      <c r="E631" s="11">
        <f t="shared" si="9"/>
        <v>1.6331000000000002</v>
      </c>
    </row>
    <row r="632" spans="1:5" hidden="1" x14ac:dyDescent="0.25">
      <c r="A632" s="15" t="s">
        <v>34</v>
      </c>
      <c r="B632" s="16">
        <v>42356</v>
      </c>
      <c r="C632" s="17">
        <v>-0.55169999999999997</v>
      </c>
      <c r="D632" s="17">
        <v>-0.75229999999999997</v>
      </c>
      <c r="E632" s="11">
        <f t="shared" si="9"/>
        <v>-0.75529999999999997</v>
      </c>
    </row>
    <row r="633" spans="1:5" hidden="1" x14ac:dyDescent="0.25">
      <c r="A633" s="15" t="s">
        <v>34</v>
      </c>
      <c r="B633" s="16">
        <v>42359</v>
      </c>
      <c r="C633" s="17">
        <v>2.1888999999999998</v>
      </c>
      <c r="D633" s="17">
        <v>0.30049999999999999</v>
      </c>
      <c r="E633" s="11">
        <f t="shared" si="9"/>
        <v>0.29749999999999999</v>
      </c>
    </row>
    <row r="634" spans="1:5" hidden="1" x14ac:dyDescent="0.25">
      <c r="A634" s="15" t="s">
        <v>34</v>
      </c>
      <c r="B634" s="16">
        <v>42360</v>
      </c>
      <c r="C634" s="17">
        <v>-0.95169999999999999</v>
      </c>
      <c r="D634" s="17">
        <v>0.1275</v>
      </c>
      <c r="E634" s="11">
        <f t="shared" si="9"/>
        <v>0.1245</v>
      </c>
    </row>
    <row r="635" spans="1:5" hidden="1" x14ac:dyDescent="0.25">
      <c r="A635" s="15" t="s">
        <v>34</v>
      </c>
      <c r="B635" s="16">
        <v>42361</v>
      </c>
      <c r="C635" s="17">
        <v>5.0609999999999999</v>
      </c>
      <c r="D635" s="17">
        <v>0.27650000000000002</v>
      </c>
      <c r="E635" s="11">
        <f t="shared" si="9"/>
        <v>0.27350000000000002</v>
      </c>
    </row>
    <row r="636" spans="1:5" hidden="1" x14ac:dyDescent="0.25">
      <c r="A636" s="15" t="s">
        <v>34</v>
      </c>
      <c r="B636" s="16">
        <v>42362</v>
      </c>
      <c r="C636" s="17">
        <v>-1.3071999999999999</v>
      </c>
      <c r="D636" s="17">
        <v>0.1041</v>
      </c>
      <c r="E636" s="11">
        <f t="shared" si="9"/>
        <v>0.1011</v>
      </c>
    </row>
    <row r="637" spans="1:5" hidden="1" x14ac:dyDescent="0.25">
      <c r="A637" s="15" t="s">
        <v>34</v>
      </c>
      <c r="B637" s="16">
        <v>42363</v>
      </c>
      <c r="C637" s="17">
        <v>1.1773</v>
      </c>
      <c r="D637" s="17">
        <v>0.46650000000000003</v>
      </c>
      <c r="E637" s="11">
        <f t="shared" si="9"/>
        <v>0.46350000000000002</v>
      </c>
    </row>
    <row r="638" spans="1:5" hidden="1" x14ac:dyDescent="0.25">
      <c r="A638" s="15" t="s">
        <v>34</v>
      </c>
      <c r="B638" s="16">
        <v>42366</v>
      </c>
      <c r="C638" s="17">
        <v>-0.26040000000000002</v>
      </c>
      <c r="D638" s="17">
        <v>-5.7299999999999997E-2</v>
      </c>
      <c r="E638" s="11">
        <f t="shared" si="9"/>
        <v>-6.0299999999999999E-2</v>
      </c>
    </row>
    <row r="639" spans="1:5" hidden="1" x14ac:dyDescent="0.25">
      <c r="A639" s="15" t="s">
        <v>34</v>
      </c>
      <c r="B639" s="16">
        <v>42367</v>
      </c>
      <c r="C639" s="17">
        <v>-1.1802999999999999</v>
      </c>
      <c r="D639" s="17">
        <v>-0.77559999999999996</v>
      </c>
      <c r="E639" s="11">
        <f t="shared" si="9"/>
        <v>-0.77859999999999996</v>
      </c>
    </row>
    <row r="640" spans="1:5" hidden="1" x14ac:dyDescent="0.25">
      <c r="A640" s="15" t="s">
        <v>34</v>
      </c>
      <c r="B640" s="16">
        <v>42368</v>
      </c>
      <c r="C640" s="17">
        <v>-1.9986999999999999</v>
      </c>
      <c r="D640" s="17">
        <v>-0.16800000000000001</v>
      </c>
      <c r="E640" s="11">
        <f t="shared" si="9"/>
        <v>-0.17100000000000001</v>
      </c>
    </row>
    <row r="641" spans="1:5" hidden="1" x14ac:dyDescent="0.25">
      <c r="A641" s="15" t="s">
        <v>34</v>
      </c>
      <c r="B641" s="16">
        <v>42369</v>
      </c>
      <c r="C641" s="17">
        <v>2.2622</v>
      </c>
      <c r="D641" s="17">
        <v>0.69889999999999997</v>
      </c>
      <c r="E641" s="11">
        <f t="shared" si="9"/>
        <v>0.69589999999999996</v>
      </c>
    </row>
    <row r="642" spans="1:5" hidden="1" x14ac:dyDescent="0.25">
      <c r="A642" s="15" t="s">
        <v>34</v>
      </c>
      <c r="B642" s="16">
        <v>42373</v>
      </c>
      <c r="C642" s="17">
        <v>-3.7538</v>
      </c>
      <c r="D642" s="17">
        <v>-2.7208000000000001</v>
      </c>
      <c r="E642" s="11">
        <f t="shared" si="9"/>
        <v>-2.7238000000000002</v>
      </c>
    </row>
    <row r="643" spans="1:5" hidden="1" x14ac:dyDescent="0.25">
      <c r="A643" s="15" t="s">
        <v>34</v>
      </c>
      <c r="B643" s="16">
        <v>42374</v>
      </c>
      <c r="C643" s="17">
        <v>-0.54790000000000005</v>
      </c>
      <c r="D643" s="17">
        <v>-0.48370000000000002</v>
      </c>
      <c r="E643" s="11">
        <f t="shared" ref="E643:E706" si="10">D643-$M$1</f>
        <v>-0.48670000000000002</v>
      </c>
    </row>
    <row r="644" spans="1:5" hidden="1" x14ac:dyDescent="0.25">
      <c r="A644" s="15" t="s">
        <v>34</v>
      </c>
      <c r="B644" s="16">
        <v>42375</v>
      </c>
      <c r="C644" s="17">
        <v>-0.8276</v>
      </c>
      <c r="D644" s="17">
        <v>-1.0547</v>
      </c>
      <c r="E644" s="11">
        <f t="shared" si="10"/>
        <v>-1.0576999999999999</v>
      </c>
    </row>
    <row r="645" spans="1:5" hidden="1" x14ac:dyDescent="0.25">
      <c r="A645" s="15" t="s">
        <v>34</v>
      </c>
      <c r="B645" s="16">
        <v>42376</v>
      </c>
      <c r="C645" s="17">
        <v>-0.69489999999999996</v>
      </c>
      <c r="D645" s="17">
        <v>-1.7464</v>
      </c>
      <c r="E645" s="11">
        <f t="shared" si="10"/>
        <v>-1.7493999999999998</v>
      </c>
    </row>
    <row r="646" spans="1:5" hidden="1" x14ac:dyDescent="0.25">
      <c r="A646" s="15" t="s">
        <v>34</v>
      </c>
      <c r="B646" s="16">
        <v>42377</v>
      </c>
      <c r="C646" s="17">
        <v>-2.6857000000000002</v>
      </c>
      <c r="D646" s="17">
        <v>0.5323</v>
      </c>
      <c r="E646" s="11">
        <f t="shared" si="10"/>
        <v>0.52929999999999999</v>
      </c>
    </row>
    <row r="647" spans="1:5" hidden="1" x14ac:dyDescent="0.25">
      <c r="A647" s="15" t="s">
        <v>34</v>
      </c>
      <c r="B647" s="16">
        <v>42380</v>
      </c>
      <c r="C647" s="17">
        <v>-1.0079</v>
      </c>
      <c r="D647" s="17">
        <v>-1.3461000000000001</v>
      </c>
      <c r="E647" s="11">
        <f t="shared" si="10"/>
        <v>-1.3491</v>
      </c>
    </row>
    <row r="648" spans="1:5" hidden="1" x14ac:dyDescent="0.25">
      <c r="A648" s="15" t="s">
        <v>34</v>
      </c>
      <c r="B648" s="16">
        <v>42381</v>
      </c>
      <c r="C648" s="17">
        <v>0.14460000000000001</v>
      </c>
      <c r="D648" s="17">
        <v>-0.25669999999999998</v>
      </c>
      <c r="E648" s="11">
        <f t="shared" si="10"/>
        <v>-0.25969999999999999</v>
      </c>
    </row>
    <row r="649" spans="1:5" hidden="1" x14ac:dyDescent="0.25">
      <c r="A649" s="15" t="s">
        <v>34</v>
      </c>
      <c r="B649" s="16">
        <v>42382</v>
      </c>
      <c r="C649" s="17">
        <v>1.0065</v>
      </c>
      <c r="D649" s="17">
        <v>0.72030000000000005</v>
      </c>
      <c r="E649" s="11">
        <f t="shared" si="10"/>
        <v>0.71730000000000005</v>
      </c>
    </row>
    <row r="650" spans="1:5" hidden="1" x14ac:dyDescent="0.25">
      <c r="A650" s="15" t="s">
        <v>34</v>
      </c>
      <c r="B650" s="16">
        <v>42383</v>
      </c>
      <c r="C650" s="17">
        <v>-0.14319999999999999</v>
      </c>
      <c r="D650" s="17">
        <v>-1.05</v>
      </c>
      <c r="E650" s="11">
        <f t="shared" si="10"/>
        <v>-1.0529999999999999</v>
      </c>
    </row>
    <row r="651" spans="1:5" hidden="1" x14ac:dyDescent="0.25">
      <c r="A651" s="15" t="s">
        <v>34</v>
      </c>
      <c r="B651" s="16">
        <v>42384</v>
      </c>
      <c r="C651" s="17">
        <v>-1.1528</v>
      </c>
      <c r="D651" s="17">
        <v>0.24679999999999999</v>
      </c>
      <c r="E651" s="11">
        <f t="shared" si="10"/>
        <v>0.24379999999999999</v>
      </c>
    </row>
    <row r="652" spans="1:5" hidden="1" x14ac:dyDescent="0.25">
      <c r="A652" s="15" t="s">
        <v>34</v>
      </c>
      <c r="B652" s="16">
        <v>42387</v>
      </c>
      <c r="C652" s="17">
        <v>1.5815999999999999</v>
      </c>
      <c r="D652" s="17">
        <v>0.63149999999999995</v>
      </c>
      <c r="E652" s="11">
        <f t="shared" si="10"/>
        <v>0.62849999999999995</v>
      </c>
    </row>
    <row r="653" spans="1:5" hidden="1" x14ac:dyDescent="0.25">
      <c r="A653" s="15" t="s">
        <v>34</v>
      </c>
      <c r="B653" s="16">
        <v>42388</v>
      </c>
      <c r="C653" s="17">
        <v>-2.0173999999999999</v>
      </c>
      <c r="D653" s="17">
        <v>0.55789999999999995</v>
      </c>
      <c r="E653" s="11">
        <f t="shared" si="10"/>
        <v>0.55489999999999995</v>
      </c>
    </row>
    <row r="654" spans="1:5" hidden="1" x14ac:dyDescent="0.25">
      <c r="A654" s="15" t="s">
        <v>34</v>
      </c>
      <c r="B654" s="16">
        <v>42389</v>
      </c>
      <c r="C654" s="17">
        <v>-1.7622</v>
      </c>
      <c r="D654" s="17">
        <v>-2.0028999999999999</v>
      </c>
      <c r="E654" s="11">
        <f t="shared" si="10"/>
        <v>-2.0059</v>
      </c>
    </row>
    <row r="655" spans="1:5" hidden="1" x14ac:dyDescent="0.25">
      <c r="A655" s="15" t="s">
        <v>34</v>
      </c>
      <c r="B655" s="16">
        <v>42390</v>
      </c>
      <c r="C655" s="17">
        <v>1.7622</v>
      </c>
      <c r="D655" s="17">
        <v>-0.45710000000000001</v>
      </c>
      <c r="E655" s="11">
        <f t="shared" si="10"/>
        <v>-0.46010000000000001</v>
      </c>
    </row>
    <row r="656" spans="1:5" hidden="1" x14ac:dyDescent="0.25">
      <c r="A656" s="15" t="s">
        <v>34</v>
      </c>
      <c r="B656" s="16">
        <v>42391</v>
      </c>
      <c r="C656" s="17">
        <v>-1.1713</v>
      </c>
      <c r="D656" s="17">
        <v>1.1955</v>
      </c>
      <c r="E656" s="11">
        <f t="shared" si="10"/>
        <v>1.1925000000000001</v>
      </c>
    </row>
    <row r="657" spans="1:5" hidden="1" x14ac:dyDescent="0.25">
      <c r="A657" s="15" t="s">
        <v>34</v>
      </c>
      <c r="B657" s="16">
        <v>42394</v>
      </c>
      <c r="C657" s="17">
        <v>2.4729000000000001</v>
      </c>
      <c r="D657" s="17">
        <v>1.7632000000000001</v>
      </c>
      <c r="E657" s="11">
        <f t="shared" si="10"/>
        <v>1.7602000000000002</v>
      </c>
    </row>
    <row r="658" spans="1:5" hidden="1" x14ac:dyDescent="0.25">
      <c r="A658" s="15" t="s">
        <v>34</v>
      </c>
      <c r="B658" s="16">
        <v>42395</v>
      </c>
      <c r="C658" s="17">
        <v>-1.8855</v>
      </c>
      <c r="D658" s="17">
        <v>-0.83289999999999997</v>
      </c>
      <c r="E658" s="11">
        <f t="shared" si="10"/>
        <v>-0.83589999999999998</v>
      </c>
    </row>
    <row r="659" spans="1:5" hidden="1" x14ac:dyDescent="0.25">
      <c r="A659" s="15" t="s">
        <v>34</v>
      </c>
      <c r="B659" s="16">
        <v>42396</v>
      </c>
      <c r="C659" s="17">
        <v>2.0291000000000001</v>
      </c>
      <c r="D659" s="17">
        <v>0.26989999999999997</v>
      </c>
      <c r="E659" s="11">
        <f t="shared" si="10"/>
        <v>0.26689999999999997</v>
      </c>
    </row>
    <row r="660" spans="1:5" hidden="1" x14ac:dyDescent="0.25">
      <c r="A660" s="15" t="s">
        <v>34</v>
      </c>
      <c r="B660" s="16">
        <v>42397</v>
      </c>
      <c r="C660" s="17">
        <v>0.42949999999999999</v>
      </c>
      <c r="D660" s="17">
        <v>0.7016</v>
      </c>
      <c r="E660" s="11">
        <f t="shared" si="10"/>
        <v>0.6986</v>
      </c>
    </row>
    <row r="661" spans="1:5" hidden="1" x14ac:dyDescent="0.25">
      <c r="A661" s="15" t="s">
        <v>34</v>
      </c>
      <c r="B661" s="16">
        <v>42398</v>
      </c>
      <c r="C661" s="17">
        <v>1.8401000000000001</v>
      </c>
      <c r="D661" s="17">
        <v>2.1958000000000002</v>
      </c>
      <c r="E661" s="11">
        <f t="shared" si="10"/>
        <v>2.1928000000000001</v>
      </c>
    </row>
    <row r="662" spans="1:5" hidden="1" x14ac:dyDescent="0.25">
      <c r="A662" s="15" t="s">
        <v>34</v>
      </c>
      <c r="B662" s="16">
        <v>42399</v>
      </c>
      <c r="C662" s="17">
        <v>-0.42159999999999997</v>
      </c>
      <c r="D662" s="17">
        <v>0.7964</v>
      </c>
      <c r="E662" s="11">
        <f t="shared" si="10"/>
        <v>0.79339999999999999</v>
      </c>
    </row>
    <row r="663" spans="1:5" hidden="1" x14ac:dyDescent="0.25">
      <c r="A663" s="15" t="s">
        <v>34</v>
      </c>
      <c r="B663" s="16">
        <v>42401</v>
      </c>
      <c r="C663" s="17">
        <v>-2.4235000000000002</v>
      </c>
      <c r="D663" s="17">
        <v>0.14419999999999999</v>
      </c>
      <c r="E663" s="11">
        <f t="shared" si="10"/>
        <v>0.14119999999999999</v>
      </c>
    </row>
    <row r="664" spans="1:5" hidden="1" x14ac:dyDescent="0.25">
      <c r="A664" s="15" t="s">
        <v>34</v>
      </c>
      <c r="B664" s="16">
        <v>42402</v>
      </c>
      <c r="C664" s="17">
        <v>1.4327000000000001</v>
      </c>
      <c r="D664" s="17">
        <v>-0.31580000000000003</v>
      </c>
      <c r="E664" s="11">
        <f t="shared" si="10"/>
        <v>-0.31880000000000003</v>
      </c>
    </row>
    <row r="665" spans="1:5" hidden="1" x14ac:dyDescent="0.25">
      <c r="A665" s="15" t="s">
        <v>34</v>
      </c>
      <c r="B665" s="16">
        <v>42403</v>
      </c>
      <c r="C665" s="17">
        <v>-2.4479000000000002</v>
      </c>
      <c r="D665" s="17">
        <v>-0.84279999999999999</v>
      </c>
      <c r="E665" s="11">
        <f t="shared" si="10"/>
        <v>-0.8458</v>
      </c>
    </row>
    <row r="666" spans="1:5" hidden="1" x14ac:dyDescent="0.25">
      <c r="A666" s="15" t="s">
        <v>34</v>
      </c>
      <c r="B666" s="16">
        <v>42415</v>
      </c>
      <c r="C666" s="17">
        <v>-0.29199999999999998</v>
      </c>
      <c r="D666" s="17">
        <v>4.3499999999999997E-2</v>
      </c>
      <c r="E666" s="11">
        <f t="shared" si="10"/>
        <v>4.0499999999999994E-2</v>
      </c>
    </row>
    <row r="667" spans="1:5" hidden="1" x14ac:dyDescent="0.25">
      <c r="A667" s="15" t="s">
        <v>34</v>
      </c>
      <c r="B667" s="16">
        <v>42416</v>
      </c>
      <c r="C667" s="17">
        <v>0.29199999999999998</v>
      </c>
      <c r="D667" s="17">
        <v>1.7884</v>
      </c>
      <c r="E667" s="11">
        <f t="shared" si="10"/>
        <v>1.7854000000000001</v>
      </c>
    </row>
    <row r="668" spans="1:5" hidden="1" x14ac:dyDescent="0.25">
      <c r="A668" s="15" t="s">
        <v>34</v>
      </c>
      <c r="B668" s="16">
        <v>42417</v>
      </c>
      <c r="C668" s="17">
        <v>9.1859000000000002</v>
      </c>
      <c r="D668" s="17">
        <v>2.6499999999999999E-2</v>
      </c>
      <c r="E668" s="11">
        <f t="shared" si="10"/>
        <v>2.35E-2</v>
      </c>
    </row>
    <row r="669" spans="1:5" hidden="1" x14ac:dyDescent="0.25">
      <c r="A669" s="15" t="s">
        <v>34</v>
      </c>
      <c r="B669" s="16">
        <v>42418</v>
      </c>
      <c r="C669" s="17">
        <v>-0.80110000000000003</v>
      </c>
      <c r="D669" s="17">
        <v>1.2151000000000001</v>
      </c>
      <c r="E669" s="11">
        <f t="shared" si="10"/>
        <v>1.2121000000000002</v>
      </c>
    </row>
    <row r="670" spans="1:5" hidden="1" x14ac:dyDescent="0.25">
      <c r="A670" s="15" t="s">
        <v>34</v>
      </c>
      <c r="B670" s="16">
        <v>42419</v>
      </c>
      <c r="C670" s="17">
        <v>0.53480000000000005</v>
      </c>
      <c r="D670" s="17">
        <v>0.1246</v>
      </c>
      <c r="E670" s="11">
        <f t="shared" si="10"/>
        <v>0.1216</v>
      </c>
    </row>
    <row r="671" spans="1:5" hidden="1" x14ac:dyDescent="0.25">
      <c r="A671" s="15" t="s">
        <v>34</v>
      </c>
      <c r="B671" s="16">
        <v>42422</v>
      </c>
      <c r="C671" s="17">
        <v>-2.7029000000000001</v>
      </c>
      <c r="D671" s="17">
        <v>1.9699999999999999E-2</v>
      </c>
      <c r="E671" s="11">
        <f t="shared" si="10"/>
        <v>1.67E-2</v>
      </c>
    </row>
    <row r="672" spans="1:5" hidden="1" x14ac:dyDescent="0.25">
      <c r="A672" s="15" t="s">
        <v>34</v>
      </c>
      <c r="B672" s="16">
        <v>42423</v>
      </c>
      <c r="C672" s="17">
        <v>1.8996999999999999</v>
      </c>
      <c r="D672" s="17">
        <v>9.5600000000000004E-2</v>
      </c>
      <c r="E672" s="11">
        <f t="shared" si="10"/>
        <v>9.2600000000000002E-2</v>
      </c>
    </row>
    <row r="673" spans="1:5" hidden="1" x14ac:dyDescent="0.25">
      <c r="A673" s="15" t="s">
        <v>34</v>
      </c>
      <c r="B673" s="16">
        <v>42424</v>
      </c>
      <c r="C673" s="17">
        <v>-0.80969999999999998</v>
      </c>
      <c r="D673" s="17">
        <v>-0.62319999999999998</v>
      </c>
      <c r="E673" s="11">
        <f t="shared" si="10"/>
        <v>-0.62619999999999998</v>
      </c>
    </row>
    <row r="674" spans="1:5" hidden="1" x14ac:dyDescent="0.25">
      <c r="A674" s="15" t="s">
        <v>34</v>
      </c>
      <c r="B674" s="16">
        <v>42425</v>
      </c>
      <c r="C674" s="17">
        <v>1.4795</v>
      </c>
      <c r="D674" s="17">
        <v>0.99709999999999999</v>
      </c>
      <c r="E674" s="11">
        <f t="shared" si="10"/>
        <v>0.99409999999999998</v>
      </c>
    </row>
    <row r="675" spans="1:5" hidden="1" x14ac:dyDescent="0.25">
      <c r="A675" s="15" t="s">
        <v>34</v>
      </c>
      <c r="B675" s="16">
        <v>42426</v>
      </c>
      <c r="C675" s="17">
        <v>1.3263</v>
      </c>
      <c r="D675" s="17">
        <v>0.54</v>
      </c>
      <c r="E675" s="11">
        <f t="shared" si="10"/>
        <v>0.53700000000000003</v>
      </c>
    </row>
    <row r="676" spans="1:5" hidden="1" x14ac:dyDescent="0.25">
      <c r="A676" s="15" t="s">
        <v>34</v>
      </c>
      <c r="B676" s="16">
        <v>42430</v>
      </c>
      <c r="C676" s="17">
        <v>-1.1929000000000001</v>
      </c>
      <c r="D676" s="17">
        <v>0.88219999999999998</v>
      </c>
      <c r="E676" s="11">
        <f t="shared" si="10"/>
        <v>0.87919999999999998</v>
      </c>
    </row>
    <row r="677" spans="1:5" hidden="1" x14ac:dyDescent="0.25">
      <c r="A677" s="15" t="s">
        <v>34</v>
      </c>
      <c r="B677" s="16">
        <v>42431</v>
      </c>
      <c r="C677" s="17">
        <v>2.1109</v>
      </c>
      <c r="D677" s="17">
        <v>0.68540000000000001</v>
      </c>
      <c r="E677" s="11">
        <f t="shared" si="10"/>
        <v>0.68240000000000001</v>
      </c>
    </row>
    <row r="678" spans="1:5" hidden="1" x14ac:dyDescent="0.25">
      <c r="A678" s="15" t="s">
        <v>34</v>
      </c>
      <c r="B678" s="16">
        <v>42432</v>
      </c>
      <c r="C678" s="17">
        <v>-0.13059999999999999</v>
      </c>
      <c r="D678" s="17">
        <v>0.78969999999999996</v>
      </c>
      <c r="E678" s="11">
        <f t="shared" si="10"/>
        <v>0.78669999999999995</v>
      </c>
    </row>
    <row r="679" spans="1:5" hidden="1" x14ac:dyDescent="0.25">
      <c r="A679" s="15" t="s">
        <v>34</v>
      </c>
      <c r="B679" s="16">
        <v>42433</v>
      </c>
      <c r="C679" s="17">
        <v>-0.65569999999999995</v>
      </c>
      <c r="D679" s="17">
        <v>0.36809999999999998</v>
      </c>
      <c r="E679" s="11">
        <f t="shared" si="10"/>
        <v>0.36509999999999998</v>
      </c>
    </row>
    <row r="680" spans="1:5" hidden="1" x14ac:dyDescent="0.25">
      <c r="A680" s="15" t="s">
        <v>34</v>
      </c>
      <c r="B680" s="16">
        <v>42436</v>
      </c>
      <c r="C680" s="17">
        <v>-0.52769999999999995</v>
      </c>
      <c r="D680" s="17">
        <v>0.18490000000000001</v>
      </c>
      <c r="E680" s="11">
        <f t="shared" si="10"/>
        <v>0.18190000000000001</v>
      </c>
    </row>
    <row r="681" spans="1:5" hidden="1" x14ac:dyDescent="0.25">
      <c r="A681" s="15" t="s">
        <v>34</v>
      </c>
      <c r="B681" s="16">
        <v>42437</v>
      </c>
      <c r="C681" s="17">
        <v>1.0526</v>
      </c>
      <c r="D681" s="17">
        <v>5.5E-2</v>
      </c>
      <c r="E681" s="11">
        <f t="shared" si="10"/>
        <v>5.1999999999999998E-2</v>
      </c>
    </row>
    <row r="682" spans="1:5" hidden="1" x14ac:dyDescent="0.25">
      <c r="A682" s="15" t="s">
        <v>34</v>
      </c>
      <c r="B682" s="16">
        <v>42438</v>
      </c>
      <c r="C682" s="17">
        <v>-2.1164999999999998</v>
      </c>
      <c r="D682" s="17">
        <v>-0.34920000000000001</v>
      </c>
      <c r="E682" s="11">
        <f t="shared" si="10"/>
        <v>-0.35220000000000001</v>
      </c>
    </row>
    <row r="683" spans="1:5" hidden="1" x14ac:dyDescent="0.25">
      <c r="A683" s="15" t="s">
        <v>34</v>
      </c>
      <c r="B683" s="16">
        <v>42439</v>
      </c>
      <c r="C683" s="17">
        <v>-0.8054</v>
      </c>
      <c r="D683" s="17">
        <v>0.3075</v>
      </c>
      <c r="E683" s="11">
        <f t="shared" si="10"/>
        <v>0.30449999999999999</v>
      </c>
    </row>
    <row r="684" spans="1:5" hidden="1" x14ac:dyDescent="0.25">
      <c r="A684" s="15" t="s">
        <v>34</v>
      </c>
      <c r="B684" s="16">
        <v>42440</v>
      </c>
      <c r="C684" s="17">
        <v>1.0724</v>
      </c>
      <c r="D684" s="17">
        <v>0.52329999999999999</v>
      </c>
      <c r="E684" s="11">
        <f t="shared" si="10"/>
        <v>0.52029999999999998</v>
      </c>
    </row>
    <row r="685" spans="1:5" hidden="1" x14ac:dyDescent="0.25">
      <c r="A685" s="15" t="s">
        <v>34</v>
      </c>
      <c r="B685" s="16">
        <v>42443</v>
      </c>
      <c r="C685" s="17">
        <v>-0.93769999999999998</v>
      </c>
      <c r="D685" s="17">
        <v>0.47849999999999998</v>
      </c>
      <c r="E685" s="11">
        <f t="shared" si="10"/>
        <v>0.47549999999999998</v>
      </c>
    </row>
    <row r="686" spans="1:5" hidden="1" x14ac:dyDescent="0.25">
      <c r="A686" s="15" t="s">
        <v>34</v>
      </c>
      <c r="B686" s="16">
        <v>42444</v>
      </c>
      <c r="C686" s="17">
        <v>-2.5905</v>
      </c>
      <c r="D686" s="17">
        <v>-1.5751999999999999</v>
      </c>
      <c r="E686" s="11">
        <f t="shared" si="10"/>
        <v>-1.5781999999999998</v>
      </c>
    </row>
    <row r="687" spans="1:5" hidden="1" x14ac:dyDescent="0.25">
      <c r="A687" s="15" t="s">
        <v>34</v>
      </c>
      <c r="B687" s="16">
        <v>42445</v>
      </c>
      <c r="C687" s="17">
        <v>-0.97160000000000002</v>
      </c>
      <c r="D687" s="17">
        <v>1.0163</v>
      </c>
      <c r="E687" s="11">
        <f t="shared" si="10"/>
        <v>1.0133000000000001</v>
      </c>
    </row>
    <row r="688" spans="1:5" hidden="1" x14ac:dyDescent="0.25">
      <c r="A688" s="15" t="s">
        <v>34</v>
      </c>
      <c r="B688" s="16">
        <v>42446</v>
      </c>
      <c r="C688" s="17">
        <v>1.7968999999999999</v>
      </c>
      <c r="D688" s="17">
        <v>0.40610000000000002</v>
      </c>
      <c r="E688" s="11">
        <f t="shared" si="10"/>
        <v>0.40310000000000001</v>
      </c>
    </row>
    <row r="689" spans="1:5" hidden="1" x14ac:dyDescent="0.25">
      <c r="A689" s="15" t="s">
        <v>34</v>
      </c>
      <c r="B689" s="16">
        <v>42447</v>
      </c>
      <c r="C689" s="17">
        <v>1.0899000000000001</v>
      </c>
      <c r="D689" s="17">
        <v>0.86829999999999996</v>
      </c>
      <c r="E689" s="11">
        <f t="shared" si="10"/>
        <v>0.86529999999999996</v>
      </c>
    </row>
    <row r="690" spans="1:5" hidden="1" x14ac:dyDescent="0.25">
      <c r="A690" s="15" t="s">
        <v>34</v>
      </c>
      <c r="B690" s="16">
        <v>42450</v>
      </c>
      <c r="C690" s="17">
        <v>0.13539999999999999</v>
      </c>
      <c r="D690" s="17">
        <v>2.2599999999999999E-2</v>
      </c>
      <c r="E690" s="11">
        <f t="shared" si="10"/>
        <v>1.9599999999999999E-2</v>
      </c>
    </row>
    <row r="691" spans="1:5" hidden="1" x14ac:dyDescent="0.25">
      <c r="A691" s="15" t="s">
        <v>34</v>
      </c>
      <c r="B691" s="16">
        <v>42451</v>
      </c>
      <c r="C691" s="17">
        <v>-1.2253000000000001</v>
      </c>
      <c r="D691" s="17">
        <v>-0.30709999999999998</v>
      </c>
      <c r="E691" s="11">
        <f t="shared" si="10"/>
        <v>-0.31009999999999999</v>
      </c>
    </row>
    <row r="692" spans="1:5" hidden="1" x14ac:dyDescent="0.25">
      <c r="A692" s="15" t="s">
        <v>34</v>
      </c>
      <c r="B692" s="16">
        <v>42452</v>
      </c>
      <c r="C692" s="17">
        <v>1.2253000000000001</v>
      </c>
      <c r="D692" s="17">
        <v>-0.22320000000000001</v>
      </c>
      <c r="E692" s="11">
        <f t="shared" si="10"/>
        <v>-0.22620000000000001</v>
      </c>
    </row>
    <row r="693" spans="1:5" hidden="1" x14ac:dyDescent="0.25">
      <c r="A693" s="15" t="s">
        <v>34</v>
      </c>
      <c r="B693" s="16">
        <v>42453</v>
      </c>
      <c r="C693" s="17">
        <v>-0.67889999999999995</v>
      </c>
      <c r="D693" s="17">
        <v>-0.25940000000000002</v>
      </c>
      <c r="E693" s="11">
        <f t="shared" si="10"/>
        <v>-0.26240000000000002</v>
      </c>
    </row>
    <row r="694" spans="1:5" hidden="1" x14ac:dyDescent="0.25">
      <c r="A694" s="15" t="s">
        <v>34</v>
      </c>
      <c r="B694" s="16">
        <v>42454</v>
      </c>
      <c r="C694" s="17">
        <v>0</v>
      </c>
      <c r="D694" s="17">
        <v>-0.44030000000000002</v>
      </c>
      <c r="E694" s="11">
        <f t="shared" si="10"/>
        <v>-0.44330000000000003</v>
      </c>
    </row>
    <row r="695" spans="1:5" hidden="1" x14ac:dyDescent="0.25">
      <c r="A695" s="15" t="s">
        <v>34</v>
      </c>
      <c r="B695" s="16">
        <v>42457</v>
      </c>
      <c r="C695" s="17">
        <v>0.27210000000000001</v>
      </c>
      <c r="D695" s="17">
        <v>-0.16689999999999999</v>
      </c>
      <c r="E695" s="11">
        <f t="shared" si="10"/>
        <v>-0.1699</v>
      </c>
    </row>
    <row r="696" spans="1:5" hidden="1" x14ac:dyDescent="0.25">
      <c r="A696" s="15" t="s">
        <v>34</v>
      </c>
      <c r="B696" s="16">
        <v>42458</v>
      </c>
      <c r="C696" s="17">
        <v>0.1358</v>
      </c>
      <c r="D696" s="17">
        <v>-0.84470000000000001</v>
      </c>
      <c r="E696" s="11">
        <f t="shared" si="10"/>
        <v>-0.84770000000000001</v>
      </c>
    </row>
    <row r="697" spans="1:5" hidden="1" x14ac:dyDescent="0.25">
      <c r="A697" s="15" t="s">
        <v>34</v>
      </c>
      <c r="B697" s="16">
        <v>42459</v>
      </c>
      <c r="C697" s="17">
        <v>-0.1358</v>
      </c>
      <c r="D697" s="17">
        <v>1.3794</v>
      </c>
      <c r="E697" s="11">
        <f t="shared" si="10"/>
        <v>1.3764000000000001</v>
      </c>
    </row>
    <row r="698" spans="1:5" hidden="1" x14ac:dyDescent="0.25">
      <c r="A698" s="15" t="s">
        <v>34</v>
      </c>
      <c r="B698" s="16">
        <v>42460</v>
      </c>
      <c r="C698" s="17">
        <v>1.7508999999999999</v>
      </c>
      <c r="D698" s="17">
        <v>8.9099999999999999E-2</v>
      </c>
      <c r="E698" s="11">
        <f t="shared" si="10"/>
        <v>8.6099999999999996E-2</v>
      </c>
    </row>
    <row r="699" spans="1:5" hidden="1" x14ac:dyDescent="0.25">
      <c r="A699" s="15" t="s">
        <v>34</v>
      </c>
      <c r="B699" s="16">
        <v>42461</v>
      </c>
      <c r="C699" s="17">
        <v>-2.9813000000000001</v>
      </c>
      <c r="D699" s="17">
        <v>-1.0031000000000001</v>
      </c>
      <c r="E699" s="11">
        <f t="shared" si="10"/>
        <v>-1.0061</v>
      </c>
    </row>
    <row r="700" spans="1:5" hidden="1" x14ac:dyDescent="0.25">
      <c r="A700" s="15" t="s">
        <v>34</v>
      </c>
      <c r="B700" s="16">
        <v>42466</v>
      </c>
      <c r="C700" s="17">
        <v>-2.9310999999999998</v>
      </c>
      <c r="D700" s="17">
        <v>-1.6801999999999999</v>
      </c>
      <c r="E700" s="11">
        <f t="shared" si="10"/>
        <v>-1.6831999999999998</v>
      </c>
    </row>
    <row r="701" spans="1:5" hidden="1" x14ac:dyDescent="0.25">
      <c r="A701" s="15" t="s">
        <v>34</v>
      </c>
      <c r="B701" s="16">
        <v>42467</v>
      </c>
      <c r="C701" s="17">
        <v>-1.7142999999999999</v>
      </c>
      <c r="D701" s="17">
        <v>-0.27110000000000001</v>
      </c>
      <c r="E701" s="11">
        <f t="shared" si="10"/>
        <v>-0.27410000000000001</v>
      </c>
    </row>
    <row r="702" spans="1:5" hidden="1" x14ac:dyDescent="0.25">
      <c r="A702" s="15" t="s">
        <v>34</v>
      </c>
      <c r="B702" s="16">
        <v>42468</v>
      </c>
      <c r="C702" s="17">
        <v>0</v>
      </c>
      <c r="D702" s="17">
        <v>0.6018</v>
      </c>
      <c r="E702" s="11">
        <f t="shared" si="10"/>
        <v>0.5988</v>
      </c>
    </row>
    <row r="703" spans="1:5" hidden="1" x14ac:dyDescent="0.25">
      <c r="A703" s="15" t="s">
        <v>34</v>
      </c>
      <c r="B703" s="16">
        <v>42471</v>
      </c>
      <c r="C703" s="17">
        <v>1.9972000000000001</v>
      </c>
      <c r="D703" s="17">
        <v>0.24660000000000001</v>
      </c>
      <c r="E703" s="11">
        <f t="shared" si="10"/>
        <v>0.24360000000000001</v>
      </c>
    </row>
    <row r="704" spans="1:5" hidden="1" x14ac:dyDescent="0.25">
      <c r="A704" s="15" t="s">
        <v>34</v>
      </c>
      <c r="B704" s="16">
        <v>42472</v>
      </c>
      <c r="C704" s="17">
        <v>-2.2858000000000001</v>
      </c>
      <c r="D704" s="17">
        <v>-0.36749999999999999</v>
      </c>
      <c r="E704" s="11">
        <f t="shared" si="10"/>
        <v>-0.3705</v>
      </c>
    </row>
    <row r="705" spans="1:5" hidden="1" x14ac:dyDescent="0.25">
      <c r="A705" s="15" t="s">
        <v>34</v>
      </c>
      <c r="B705" s="16">
        <v>42473</v>
      </c>
      <c r="C705" s="17">
        <v>1.2922</v>
      </c>
      <c r="D705" s="17">
        <v>1.4072</v>
      </c>
      <c r="E705" s="11">
        <f t="shared" si="10"/>
        <v>1.4042000000000001</v>
      </c>
    </row>
    <row r="706" spans="1:5" hidden="1" x14ac:dyDescent="0.25">
      <c r="A706" s="15" t="s">
        <v>34</v>
      </c>
      <c r="B706" s="16">
        <v>42474</v>
      </c>
      <c r="C706" s="17">
        <v>-0.28570000000000001</v>
      </c>
      <c r="D706" s="17">
        <v>0.18049999999999999</v>
      </c>
      <c r="E706" s="11">
        <f t="shared" si="10"/>
        <v>0.17749999999999999</v>
      </c>
    </row>
    <row r="707" spans="1:5" hidden="1" x14ac:dyDescent="0.25">
      <c r="A707" s="15" t="s">
        <v>34</v>
      </c>
      <c r="B707" s="16">
        <v>42475</v>
      </c>
      <c r="C707" s="17">
        <v>-1.1511</v>
      </c>
      <c r="D707" s="17">
        <v>0.37630000000000002</v>
      </c>
      <c r="E707" s="11">
        <f t="shared" ref="E707:E745" si="11">D707-$M$1</f>
        <v>0.37330000000000002</v>
      </c>
    </row>
    <row r="708" spans="1:5" hidden="1" x14ac:dyDescent="0.25">
      <c r="A708" s="15" t="s">
        <v>34</v>
      </c>
      <c r="B708" s="16">
        <v>42478</v>
      </c>
      <c r="C708" s="17">
        <v>-0.72619999999999996</v>
      </c>
      <c r="D708" s="17">
        <v>-0.39589999999999997</v>
      </c>
      <c r="E708" s="11">
        <f t="shared" si="11"/>
        <v>-0.39889999999999998</v>
      </c>
    </row>
    <row r="709" spans="1:5" hidden="1" x14ac:dyDescent="0.25">
      <c r="A709" s="15" t="s">
        <v>34</v>
      </c>
      <c r="B709" s="16">
        <v>42479</v>
      </c>
      <c r="C709" s="17">
        <v>2.7320000000000002</v>
      </c>
      <c r="D709" s="17">
        <v>-0.37330000000000002</v>
      </c>
      <c r="E709" s="11">
        <f t="shared" si="11"/>
        <v>-0.37630000000000002</v>
      </c>
    </row>
    <row r="710" spans="1:5" hidden="1" x14ac:dyDescent="0.25">
      <c r="A710" s="15" t="s">
        <v>34</v>
      </c>
      <c r="B710" s="16">
        <v>42480</v>
      </c>
      <c r="C710" s="17">
        <v>-2.5863999999999998</v>
      </c>
      <c r="D710" s="17">
        <v>-1.3907</v>
      </c>
      <c r="E710" s="11">
        <f t="shared" si="11"/>
        <v>-1.3936999999999999</v>
      </c>
    </row>
    <row r="711" spans="1:5" hidden="1" x14ac:dyDescent="0.25">
      <c r="A711" s="15" t="s">
        <v>34</v>
      </c>
      <c r="B711" s="16">
        <v>42481</v>
      </c>
      <c r="C711" s="17">
        <v>0.43569999999999998</v>
      </c>
      <c r="D711" s="17">
        <v>0.63419999999999999</v>
      </c>
      <c r="E711" s="11">
        <f t="shared" si="11"/>
        <v>0.63119999999999998</v>
      </c>
    </row>
    <row r="712" spans="1:5" hidden="1" x14ac:dyDescent="0.25">
      <c r="A712" s="15" t="s">
        <v>34</v>
      </c>
      <c r="B712" s="16">
        <v>42482</v>
      </c>
      <c r="C712" s="17">
        <v>-1.7544</v>
      </c>
      <c r="D712" s="17">
        <v>-0.38469999999999999</v>
      </c>
      <c r="E712" s="11">
        <f t="shared" si="11"/>
        <v>-0.38769999999999999</v>
      </c>
    </row>
    <row r="713" spans="1:5" hidden="1" x14ac:dyDescent="0.25">
      <c r="A713" s="15" t="s">
        <v>34</v>
      </c>
      <c r="B713" s="16">
        <v>42485</v>
      </c>
      <c r="C713" s="17">
        <v>-3.2986</v>
      </c>
      <c r="D713" s="17">
        <v>0.28699999999999998</v>
      </c>
      <c r="E713" s="11">
        <f t="shared" si="11"/>
        <v>0.28399999999999997</v>
      </c>
    </row>
    <row r="714" spans="1:5" hidden="1" x14ac:dyDescent="0.25">
      <c r="A714" s="15" t="s">
        <v>34</v>
      </c>
      <c r="B714" s="16">
        <v>42486</v>
      </c>
      <c r="C714" s="17">
        <v>1.5128999999999999</v>
      </c>
      <c r="D714" s="17">
        <v>0.24840000000000001</v>
      </c>
      <c r="E714" s="11">
        <f t="shared" si="11"/>
        <v>0.24540000000000001</v>
      </c>
    </row>
    <row r="715" spans="1:5" hidden="1" x14ac:dyDescent="0.25">
      <c r="A715" s="15" t="s">
        <v>34</v>
      </c>
      <c r="B715" s="16">
        <v>42487</v>
      </c>
      <c r="C715" s="17">
        <v>-1.6654</v>
      </c>
      <c r="D715" s="17">
        <v>-0.216</v>
      </c>
      <c r="E715" s="11">
        <f t="shared" si="11"/>
        <v>-0.219</v>
      </c>
    </row>
    <row r="716" spans="1:5" hidden="1" x14ac:dyDescent="0.25">
      <c r="A716" s="15" t="s">
        <v>34</v>
      </c>
      <c r="B716" s="16">
        <v>42488</v>
      </c>
      <c r="C716" s="17">
        <v>-1.6937</v>
      </c>
      <c r="D716" s="17">
        <v>-1.0468999999999999</v>
      </c>
      <c r="E716" s="11">
        <f t="shared" si="11"/>
        <v>-1.0498999999999998</v>
      </c>
    </row>
    <row r="717" spans="1:5" hidden="1" x14ac:dyDescent="0.25">
      <c r="A717" s="15" t="s">
        <v>34</v>
      </c>
      <c r="B717" s="16">
        <v>42489</v>
      </c>
      <c r="C717" s="17">
        <v>-5.9169999999999998</v>
      </c>
      <c r="D717" s="17">
        <v>-1.139</v>
      </c>
      <c r="E717" s="11">
        <f t="shared" si="11"/>
        <v>-1.1419999999999999</v>
      </c>
    </row>
    <row r="718" spans="1:5" hidden="1" x14ac:dyDescent="0.25">
      <c r="A718" s="15" t="s">
        <v>34</v>
      </c>
      <c r="B718" s="16">
        <v>42493</v>
      </c>
      <c r="C718" s="17">
        <v>2.2801999999999998</v>
      </c>
      <c r="D718" s="17">
        <v>-1.0049999999999999</v>
      </c>
      <c r="E718" s="11">
        <f t="shared" si="11"/>
        <v>-1.0079999999999998</v>
      </c>
    </row>
    <row r="719" spans="1:5" hidden="1" x14ac:dyDescent="0.25">
      <c r="A719" s="15" t="s">
        <v>34</v>
      </c>
      <c r="B719" s="16">
        <v>42494</v>
      </c>
      <c r="C719" s="17">
        <v>-2.2801999999999998</v>
      </c>
      <c r="D719" s="17">
        <v>-1.3186</v>
      </c>
      <c r="E719" s="11">
        <f t="shared" si="11"/>
        <v>-1.3215999999999999</v>
      </c>
    </row>
    <row r="720" spans="1:5" hidden="1" x14ac:dyDescent="0.25">
      <c r="A720" s="15" t="s">
        <v>34</v>
      </c>
      <c r="B720" s="16">
        <v>42495</v>
      </c>
      <c r="C720" s="17">
        <v>-3.3504</v>
      </c>
      <c r="D720" s="17">
        <v>-0.21410000000000001</v>
      </c>
      <c r="E720" s="11">
        <f t="shared" si="11"/>
        <v>-0.21710000000000002</v>
      </c>
    </row>
    <row r="721" spans="1:9" hidden="1" x14ac:dyDescent="0.25">
      <c r="A721" s="15" t="s">
        <v>34</v>
      </c>
      <c r="B721" s="16">
        <v>42496</v>
      </c>
      <c r="C721" s="17">
        <v>0.17019999999999999</v>
      </c>
      <c r="D721" s="17">
        <v>-0.26390000000000002</v>
      </c>
      <c r="E721" s="11">
        <f t="shared" si="11"/>
        <v>-0.26690000000000003</v>
      </c>
    </row>
    <row r="722" spans="1:9" hidden="1" x14ac:dyDescent="0.25">
      <c r="A722" s="15" t="s">
        <v>34</v>
      </c>
      <c r="B722" s="16">
        <v>42499</v>
      </c>
      <c r="C722" s="17">
        <v>0.1699</v>
      </c>
      <c r="D722" s="17">
        <v>-0.1794</v>
      </c>
      <c r="E722" s="11">
        <f t="shared" si="11"/>
        <v>-0.18240000000000001</v>
      </c>
    </row>
    <row r="723" spans="1:9" hidden="1" x14ac:dyDescent="0.25">
      <c r="A723" s="15" t="s">
        <v>34</v>
      </c>
      <c r="B723" s="16">
        <v>42500</v>
      </c>
      <c r="C723" s="17">
        <v>1.0135000000000001</v>
      </c>
      <c r="D723" s="17">
        <v>0.30030000000000001</v>
      </c>
      <c r="E723" s="11">
        <f t="shared" si="11"/>
        <v>0.29730000000000001</v>
      </c>
    </row>
    <row r="724" spans="1:9" hidden="1" x14ac:dyDescent="0.25">
      <c r="A724" s="15" t="s">
        <v>34</v>
      </c>
      <c r="B724" s="16">
        <v>42501</v>
      </c>
      <c r="C724" s="17">
        <v>0.50290000000000001</v>
      </c>
      <c r="D724" s="17">
        <v>-0.2545</v>
      </c>
      <c r="E724" s="11">
        <f t="shared" si="11"/>
        <v>-0.25750000000000001</v>
      </c>
    </row>
    <row r="725" spans="1:9" x14ac:dyDescent="0.25">
      <c r="A725" s="77" t="s">
        <v>34</v>
      </c>
      <c r="B725" s="78">
        <v>42502</v>
      </c>
      <c r="C725" s="79">
        <v>-2.0270999999999999</v>
      </c>
      <c r="D725" s="79">
        <v>-0.3387</v>
      </c>
      <c r="E725" s="11">
        <f t="shared" si="11"/>
        <v>-0.3417</v>
      </c>
      <c r="F725" s="13">
        <f>M$2+M$3*$E725</f>
        <v>-0.35928644887596745</v>
      </c>
      <c r="G725" s="13">
        <f>C725-F725</f>
        <v>-1.6678135511240324</v>
      </c>
      <c r="H725" s="13">
        <f>H724+G725</f>
        <v>-1.6678135511240324</v>
      </c>
      <c r="I725" s="13">
        <f>F725/$M$4</f>
        <v>-0.20684058493558635</v>
      </c>
    </row>
    <row r="726" spans="1:9" x14ac:dyDescent="0.25">
      <c r="A726" s="77" t="s">
        <v>34</v>
      </c>
      <c r="B726" s="78">
        <v>42503</v>
      </c>
      <c r="C726" s="79">
        <v>-2.2433999999999998</v>
      </c>
      <c r="D726" s="79">
        <v>-0.67269999999999996</v>
      </c>
      <c r="E726" s="11">
        <f t="shared" si="11"/>
        <v>-0.67569999999999997</v>
      </c>
      <c r="F726" s="13">
        <f t="shared" ref="F726:F745" si="12">M$2+M$3*$E726</f>
        <v>-0.75492586019312247</v>
      </c>
      <c r="G726" s="13">
        <f t="shared" ref="G726:G745" si="13">C726-F726</f>
        <v>-1.4884741398068773</v>
      </c>
      <c r="H726" s="13">
        <f t="shared" ref="H726:H745" si="14">H725+G726</f>
        <v>-3.1562876909309097</v>
      </c>
      <c r="I726" s="13">
        <f t="shared" ref="I726:I745" si="15">F726/$M$4</f>
        <v>-0.43460950724376435</v>
      </c>
    </row>
    <row r="727" spans="1:9" x14ac:dyDescent="0.25">
      <c r="A727" s="77" t="s">
        <v>34</v>
      </c>
      <c r="B727" s="78">
        <v>42506</v>
      </c>
      <c r="C727" s="79">
        <v>2.5840999999999998</v>
      </c>
      <c r="D727" s="79">
        <v>0.1726</v>
      </c>
      <c r="E727" s="11">
        <f t="shared" si="11"/>
        <v>0.1696</v>
      </c>
      <c r="F727" s="13">
        <f t="shared" si="12"/>
        <v>0.24637352419727013</v>
      </c>
      <c r="G727" s="13">
        <f t="shared" si="13"/>
        <v>2.3377264758027296</v>
      </c>
      <c r="H727" s="13">
        <f t="shared" si="14"/>
        <v>-0.81856121512818003</v>
      </c>
      <c r="I727" s="13">
        <f t="shared" si="15"/>
        <v>0.14183681020265135</v>
      </c>
    </row>
    <row r="728" spans="1:9" x14ac:dyDescent="0.25">
      <c r="A728" s="77" t="s">
        <v>34</v>
      </c>
      <c r="B728" s="78">
        <v>42507</v>
      </c>
      <c r="C728" s="79">
        <v>-0.51149999999999995</v>
      </c>
      <c r="D728" s="79">
        <v>0.89929999999999999</v>
      </c>
      <c r="E728" s="11">
        <f t="shared" si="11"/>
        <v>0.89629999999999999</v>
      </c>
      <c r="F728" s="13">
        <f t="shared" si="12"/>
        <v>1.1071853810960022</v>
      </c>
      <c r="G728" s="13">
        <f t="shared" si="13"/>
        <v>-1.618685381096002</v>
      </c>
      <c r="H728" s="13">
        <f t="shared" si="14"/>
        <v>-2.437246596224182</v>
      </c>
      <c r="I728" s="13">
        <f t="shared" si="15"/>
        <v>0.63740470194322896</v>
      </c>
    </row>
    <row r="729" spans="1:9" x14ac:dyDescent="0.25">
      <c r="A729" s="77" t="s">
        <v>34</v>
      </c>
      <c r="B729" s="78">
        <v>42508</v>
      </c>
      <c r="C729" s="79">
        <v>0</v>
      </c>
      <c r="D729" s="79">
        <v>0.2356</v>
      </c>
      <c r="E729" s="11">
        <f t="shared" si="11"/>
        <v>0.2326</v>
      </c>
      <c r="F729" s="13">
        <f t="shared" si="12"/>
        <v>0.32100011974511672</v>
      </c>
      <c r="G729" s="13">
        <f t="shared" si="13"/>
        <v>-0.32100011974511672</v>
      </c>
      <c r="H729" s="13">
        <f t="shared" si="14"/>
        <v>-2.7582467159692987</v>
      </c>
      <c r="I729" s="13">
        <f t="shared" si="15"/>
        <v>0.18479921171587055</v>
      </c>
    </row>
    <row r="730" spans="1:9" x14ac:dyDescent="0.25">
      <c r="A730" s="77" t="s">
        <v>34</v>
      </c>
      <c r="B730" s="78">
        <v>42509</v>
      </c>
      <c r="C730" s="79">
        <v>-0.85840000000000005</v>
      </c>
      <c r="D730" s="79">
        <v>-0.78369999999999995</v>
      </c>
      <c r="E730" s="11">
        <f t="shared" si="11"/>
        <v>-0.78669999999999995</v>
      </c>
      <c r="F730" s="13">
        <f t="shared" si="12"/>
        <v>-0.88641081425361412</v>
      </c>
      <c r="G730" s="13">
        <f t="shared" si="13"/>
        <v>2.8010814253614069E-2</v>
      </c>
      <c r="H730" s="13">
        <f t="shared" si="14"/>
        <v>-2.7302359017156848</v>
      </c>
      <c r="I730" s="13">
        <f t="shared" si="15"/>
        <v>-0.51030516705276963</v>
      </c>
    </row>
    <row r="731" spans="1:9" x14ac:dyDescent="0.25">
      <c r="A731" s="77" t="s">
        <v>34</v>
      </c>
      <c r="B731" s="78">
        <v>42510</v>
      </c>
      <c r="C731" s="79">
        <v>0</v>
      </c>
      <c r="D731" s="79">
        <v>0.43480000000000002</v>
      </c>
      <c r="E731" s="11">
        <f t="shared" si="11"/>
        <v>0.43180000000000002</v>
      </c>
      <c r="F731" s="13">
        <f t="shared" si="12"/>
        <v>0.55696230757259357</v>
      </c>
      <c r="G731" s="13">
        <f t="shared" si="13"/>
        <v>-0.55696230757259357</v>
      </c>
      <c r="H731" s="13">
        <f t="shared" si="14"/>
        <v>-3.2871982092882783</v>
      </c>
      <c r="I731" s="13">
        <f t="shared" si="15"/>
        <v>0.32064223364338268</v>
      </c>
    </row>
    <row r="732" spans="1:9" x14ac:dyDescent="0.25">
      <c r="A732" s="77" t="s">
        <v>34</v>
      </c>
      <c r="B732" s="78">
        <v>42513</v>
      </c>
      <c r="C732" s="79">
        <v>7.4724000000000004</v>
      </c>
      <c r="D732" s="79">
        <v>2.5880000000000001</v>
      </c>
      <c r="E732" s="11">
        <f t="shared" si="11"/>
        <v>2.585</v>
      </c>
      <c r="F732" s="13">
        <f t="shared" si="12"/>
        <v>3.1075335065189953</v>
      </c>
      <c r="G732" s="13">
        <f t="shared" si="13"/>
        <v>4.3648664934810046</v>
      </c>
      <c r="H732" s="13">
        <f t="shared" si="14"/>
        <v>1.0776682841927263</v>
      </c>
      <c r="I732" s="13">
        <f t="shared" si="15"/>
        <v>1.7890016453618522</v>
      </c>
    </row>
    <row r="733" spans="1:9" x14ac:dyDescent="0.25">
      <c r="A733" s="77" t="s">
        <v>34</v>
      </c>
      <c r="B733" s="78">
        <v>42514</v>
      </c>
      <c r="C733" s="79">
        <v>3.7681</v>
      </c>
      <c r="D733" s="79">
        <v>-0.52600000000000002</v>
      </c>
      <c r="E733" s="11">
        <f t="shared" si="11"/>
        <v>-0.52900000000000003</v>
      </c>
      <c r="F733" s="13">
        <f t="shared" si="12"/>
        <v>-0.58115250198885116</v>
      </c>
      <c r="G733" s="13">
        <f t="shared" si="13"/>
        <v>4.3492525019888513</v>
      </c>
      <c r="H733" s="13">
        <f t="shared" si="14"/>
        <v>5.4269207861815776</v>
      </c>
      <c r="I733" s="13">
        <f t="shared" si="15"/>
        <v>-0.33456848657726823</v>
      </c>
    </row>
    <row r="734" spans="1:9" x14ac:dyDescent="0.25">
      <c r="A734" s="77" t="s">
        <v>34</v>
      </c>
      <c r="B734" s="78">
        <v>42515</v>
      </c>
      <c r="C734" s="79">
        <v>1.8321000000000001</v>
      </c>
      <c r="D734" s="79">
        <v>1.1444000000000001</v>
      </c>
      <c r="E734" s="11">
        <f t="shared" si="11"/>
        <v>1.1414000000000002</v>
      </c>
      <c r="F734" s="13">
        <f t="shared" si="12"/>
        <v>1.3975183742511961</v>
      </c>
      <c r="G734" s="13">
        <f t="shared" si="13"/>
        <v>0.43458162574880399</v>
      </c>
      <c r="H734" s="13">
        <f t="shared" si="14"/>
        <v>5.8615024119303811</v>
      </c>
      <c r="I734" s="13">
        <f t="shared" si="15"/>
        <v>0.80454890211608665</v>
      </c>
    </row>
    <row r="735" spans="1:9" x14ac:dyDescent="0.25">
      <c r="A735" s="80" t="s">
        <v>34</v>
      </c>
      <c r="B735" s="81">
        <v>42516</v>
      </c>
      <c r="C735" s="82">
        <v>0</v>
      </c>
      <c r="D735" s="82">
        <v>-2.4799999999999999E-2</v>
      </c>
      <c r="E735" s="11">
        <f t="shared" si="11"/>
        <v>-2.7799999999999998E-2</v>
      </c>
      <c r="F735" s="13">
        <f t="shared" si="12"/>
        <v>1.254352481401743E-2</v>
      </c>
      <c r="G735" s="13">
        <f t="shared" si="13"/>
        <v>-1.254352481401743E-2</v>
      </c>
      <c r="H735" s="13">
        <f t="shared" si="14"/>
        <v>5.848958887116364</v>
      </c>
      <c r="I735" s="13">
        <f t="shared" si="15"/>
        <v>7.2212854612311913E-3</v>
      </c>
    </row>
    <row r="736" spans="1:9" x14ac:dyDescent="0.25">
      <c r="A736" s="77" t="s">
        <v>34</v>
      </c>
      <c r="B736" s="78">
        <v>42517</v>
      </c>
      <c r="C736" s="79">
        <v>9.5173000000000005</v>
      </c>
      <c r="D736" s="79">
        <v>0.82440000000000002</v>
      </c>
      <c r="E736" s="11">
        <f t="shared" si="11"/>
        <v>0.82140000000000002</v>
      </c>
      <c r="F736" s="13">
        <f t="shared" si="12"/>
        <v>1.0184626508335624</v>
      </c>
      <c r="G736" s="13">
        <f t="shared" si="13"/>
        <v>8.498837349166438</v>
      </c>
      <c r="H736" s="13">
        <f t="shared" si="14"/>
        <v>14.347796236282802</v>
      </c>
      <c r="I736" s="13">
        <f t="shared" si="15"/>
        <v>0.58632718014417951</v>
      </c>
    </row>
    <row r="737" spans="1:15" x14ac:dyDescent="0.25">
      <c r="A737" s="77" t="s">
        <v>34</v>
      </c>
      <c r="B737" s="78">
        <v>42520</v>
      </c>
      <c r="C737" s="79">
        <v>1.5017</v>
      </c>
      <c r="D737" s="79">
        <v>0.85009999999999997</v>
      </c>
      <c r="E737" s="11">
        <f t="shared" si="11"/>
        <v>0.84709999999999996</v>
      </c>
      <c r="F737" s="13">
        <f t="shared" si="12"/>
        <v>1.0489055636205411</v>
      </c>
      <c r="G737" s="13">
        <f t="shared" si="13"/>
        <v>0.45279443637945893</v>
      </c>
      <c r="H737" s="13">
        <f t="shared" si="14"/>
        <v>14.800590672662262</v>
      </c>
      <c r="I737" s="13">
        <f t="shared" si="15"/>
        <v>0.60385311219004834</v>
      </c>
    </row>
    <row r="738" spans="1:15" x14ac:dyDescent="0.25">
      <c r="A738" s="77" t="s">
        <v>34</v>
      </c>
      <c r="B738" s="78">
        <v>42521</v>
      </c>
      <c r="C738" s="79">
        <v>0</v>
      </c>
      <c r="D738" s="79">
        <v>-3.3E-3</v>
      </c>
      <c r="E738" s="11">
        <f t="shared" si="11"/>
        <v>-6.3E-3</v>
      </c>
      <c r="F738" s="13">
        <f t="shared" si="12"/>
        <v>3.8011331231139679E-2</v>
      </c>
      <c r="G738" s="13">
        <f t="shared" si="13"/>
        <v>-3.8011331231139679E-2</v>
      </c>
      <c r="H738" s="13">
        <f t="shared" si="14"/>
        <v>14.762579341431122</v>
      </c>
      <c r="I738" s="13">
        <f t="shared" si="15"/>
        <v>2.1883057406218695E-2</v>
      </c>
    </row>
    <row r="739" spans="1:15" x14ac:dyDescent="0.25">
      <c r="A739" s="77" t="s">
        <v>34</v>
      </c>
      <c r="B739" s="78">
        <v>42522</v>
      </c>
      <c r="C739" s="79">
        <v>-1.5017</v>
      </c>
      <c r="D739" s="79">
        <v>0.71870000000000001</v>
      </c>
      <c r="E739" s="11">
        <f t="shared" si="11"/>
        <v>0.7157</v>
      </c>
      <c r="F739" s="13">
        <f t="shared" si="12"/>
        <v>0.89325580719217523</v>
      </c>
      <c r="G739" s="13">
        <f t="shared" si="13"/>
        <v>-2.3949558071921753</v>
      </c>
      <c r="H739" s="13">
        <f t="shared" si="14"/>
        <v>12.367623534238946</v>
      </c>
      <c r="I739" s="13">
        <f t="shared" si="15"/>
        <v>0.51424581760533394</v>
      </c>
    </row>
    <row r="740" spans="1:15" x14ac:dyDescent="0.25">
      <c r="A740" s="77" t="s">
        <v>34</v>
      </c>
      <c r="B740" s="78">
        <v>42523</v>
      </c>
      <c r="C740" s="79">
        <v>0.95830000000000004</v>
      </c>
      <c r="D740" s="79">
        <v>-0.47970000000000002</v>
      </c>
      <c r="E740" s="11">
        <f t="shared" si="11"/>
        <v>-0.48270000000000002</v>
      </c>
      <c r="F740" s="13">
        <f t="shared" si="12"/>
        <v>-0.52630787700686232</v>
      </c>
      <c r="G740" s="13">
        <f t="shared" si="13"/>
        <v>1.4846078770068623</v>
      </c>
      <c r="H740" s="13">
        <f t="shared" si="14"/>
        <v>13.852231411245809</v>
      </c>
      <c r="I740" s="13">
        <f t="shared" si="15"/>
        <v>-0.30299453117945796</v>
      </c>
    </row>
    <row r="741" spans="1:15" x14ac:dyDescent="0.25">
      <c r="A741" s="77" t="s">
        <v>34</v>
      </c>
      <c r="B741" s="78">
        <v>42524</v>
      </c>
      <c r="C741" s="79">
        <v>0.67889999999999995</v>
      </c>
      <c r="D741" s="79">
        <v>0.36559999999999998</v>
      </c>
      <c r="E741" s="11">
        <f t="shared" si="11"/>
        <v>0.36259999999999998</v>
      </c>
      <c r="F741" s="13">
        <f t="shared" si="12"/>
        <v>0.4749915073835303</v>
      </c>
      <c r="G741" s="13">
        <f t="shared" si="13"/>
        <v>0.20390849261646965</v>
      </c>
      <c r="H741" s="13">
        <f t="shared" si="14"/>
        <v>14.056139903862279</v>
      </c>
      <c r="I741" s="13">
        <f t="shared" si="15"/>
        <v>0.27345178626695776</v>
      </c>
    </row>
    <row r="742" spans="1:15" x14ac:dyDescent="0.25">
      <c r="A742" s="77" t="s">
        <v>34</v>
      </c>
      <c r="B742" s="78">
        <v>42525</v>
      </c>
      <c r="C742" s="79">
        <v>-1.3624000000000001</v>
      </c>
      <c r="D742" s="79">
        <v>4.9000000000000002E-2</v>
      </c>
      <c r="E742" s="11">
        <f t="shared" si="11"/>
        <v>4.5999999999999999E-2</v>
      </c>
      <c r="F742" s="13">
        <f t="shared" si="12"/>
        <v>9.9963251027209155E-2</v>
      </c>
      <c r="G742" s="13">
        <f t="shared" si="13"/>
        <v>-1.4623632510272091</v>
      </c>
      <c r="H742" s="13">
        <f t="shared" si="14"/>
        <v>12.59377665283507</v>
      </c>
      <c r="I742" s="13">
        <f t="shared" si="15"/>
        <v>5.7548670091002251E-2</v>
      </c>
    </row>
    <row r="743" spans="1:15" x14ac:dyDescent="0.25">
      <c r="A743" s="77" t="s">
        <v>34</v>
      </c>
      <c r="B743" s="78">
        <v>42527</v>
      </c>
      <c r="C743" s="79">
        <v>0</v>
      </c>
      <c r="D743" s="79">
        <v>6.4500000000000002E-2</v>
      </c>
      <c r="E743" s="11">
        <f t="shared" si="11"/>
        <v>6.1499999999999999E-2</v>
      </c>
      <c r="F743" s="13">
        <f t="shared" si="12"/>
        <v>0.11832376263025079</v>
      </c>
      <c r="G743" s="13">
        <f t="shared" si="13"/>
        <v>-0.11832376263025079</v>
      </c>
      <c r="H743" s="13">
        <f t="shared" si="14"/>
        <v>12.475452890204819</v>
      </c>
      <c r="I743" s="13">
        <f t="shared" si="15"/>
        <v>6.8118784749016503E-2</v>
      </c>
    </row>
    <row r="744" spans="1:15" x14ac:dyDescent="0.25">
      <c r="A744" s="77" t="s">
        <v>34</v>
      </c>
      <c r="B744" s="78">
        <v>42528</v>
      </c>
      <c r="C744" s="79">
        <v>1.3624000000000001</v>
      </c>
      <c r="D744" s="79">
        <v>0.95840000000000003</v>
      </c>
      <c r="E744" s="11">
        <f t="shared" si="11"/>
        <v>0.95540000000000003</v>
      </c>
      <c r="F744" s="13">
        <f t="shared" si="12"/>
        <v>1.1771922350146964</v>
      </c>
      <c r="G744" s="13">
        <f t="shared" si="13"/>
        <v>0.18520776498530367</v>
      </c>
      <c r="H744" s="13">
        <f t="shared" si="14"/>
        <v>12.660660655190123</v>
      </c>
      <c r="I744" s="13">
        <f t="shared" si="15"/>
        <v>0.67770752621991559</v>
      </c>
    </row>
    <row r="745" spans="1:15" ht="17.25" thickBot="1" x14ac:dyDescent="0.3">
      <c r="A745" s="83" t="s">
        <v>34</v>
      </c>
      <c r="B745" s="84">
        <v>42529</v>
      </c>
      <c r="C745" s="85">
        <v>0</v>
      </c>
      <c r="D745" s="85">
        <v>0.40910000000000002</v>
      </c>
      <c r="E745" s="11">
        <f t="shared" si="11"/>
        <v>0.40610000000000002</v>
      </c>
      <c r="F745" s="13">
        <f t="shared" si="12"/>
        <v>0.52651939478561494</v>
      </c>
      <c r="G745" s="13">
        <f t="shared" si="13"/>
        <v>-0.52651939478561494</v>
      </c>
      <c r="H745" s="13">
        <f t="shared" si="14"/>
        <v>12.134141260404508</v>
      </c>
      <c r="I745" s="13">
        <f t="shared" si="15"/>
        <v>0.3031163015975139</v>
      </c>
      <c r="L745" s="13" t="s">
        <v>153</v>
      </c>
      <c r="M745" s="13" t="s">
        <v>154</v>
      </c>
      <c r="N745" s="13" t="s">
        <v>59</v>
      </c>
      <c r="O745" s="13" t="s">
        <v>152</v>
      </c>
    </row>
    <row r="746" spans="1:15" x14ac:dyDescent="0.25">
      <c r="M746" s="13" t="s">
        <v>155</v>
      </c>
    </row>
  </sheetData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小考 </vt:lpstr>
      <vt:lpstr>期中</vt:lpstr>
      <vt:lpstr>平時練習</vt:lpstr>
      <vt:lpstr>效率前緣</vt:lpstr>
      <vt:lpstr>CAPM</vt:lpstr>
      <vt:lpstr>SML</vt:lpstr>
      <vt:lpstr>敏感性分析</vt:lpstr>
      <vt:lpstr>回歸分析</vt:lpstr>
      <vt:lpstr>CAR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JerryChien</cp:lastModifiedBy>
  <dcterms:created xsi:type="dcterms:W3CDTF">2017-03-22T18:16:13Z</dcterms:created>
  <dcterms:modified xsi:type="dcterms:W3CDTF">2017-06-18T07:37:35Z</dcterms:modified>
</cp:coreProperties>
</file>