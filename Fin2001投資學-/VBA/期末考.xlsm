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12705" windowHeight="4620"/>
  </bookViews>
  <sheets>
    <sheet name="期末考題目" sheetId="1" r:id="rId1"/>
    <sheet name="題目 (一) " sheetId="2" r:id="rId2"/>
    <sheet name="題目(二)" sheetId="3" r:id="rId3"/>
    <sheet name="工作表3" sheetId="4" r:id="rId4"/>
  </sheets>
  <definedNames>
    <definedName name="XX_TEJ1">'題目 (一) '!$A$1:$C$245</definedName>
    <definedName name="XX_TEJ2">'題目(二)'!$A$1:$C$245</definedName>
    <definedName name="XX_TEJ3">'題目(二)'!$A$1:$C$737</definedName>
    <definedName name="XX_TEJ4">工作表3!$A$1:$C$737</definedName>
    <definedName name="XX_TEJ5">'題目(二)'!$A$1:$C$1473</definedName>
    <definedName name="XX_TEJ6">'題目(二)'!$A$1:$D$737</definedName>
    <definedName name="XX_TEJ7">工作表3!$A$1:$D$737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H4" i="4"/>
  <c r="H5" i="4" s="1"/>
  <c r="H6" i="4" s="1"/>
  <c r="H7" i="4" s="1"/>
  <c r="H8" i="4" s="1"/>
  <c r="H9" i="4"/>
  <c r="H10" i="4"/>
  <c r="H11" i="4"/>
  <c r="H12" i="4" s="1"/>
  <c r="H13" i="4" s="1"/>
  <c r="H14" i="4"/>
  <c r="H15" i="4" s="1"/>
  <c r="H16" i="4"/>
  <c r="H17" i="4" s="1"/>
  <c r="H18" i="4" s="1"/>
  <c r="H19" i="4" s="1"/>
  <c r="H20" i="4" s="1"/>
  <c r="H21" i="4" s="1"/>
  <c r="H22" i="4"/>
  <c r="H23" i="4" s="1"/>
  <c r="H24" i="4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54" i="4" s="1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0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44" i="4" s="1"/>
  <c r="H345" i="4" s="1"/>
  <c r="H346" i="4" s="1"/>
  <c r="H347" i="4" s="1"/>
  <c r="H348" i="4" s="1"/>
  <c r="H349" i="4" s="1"/>
  <c r="H350" i="4" s="1"/>
  <c r="H351" i="4" s="1"/>
  <c r="H352" i="4" s="1"/>
  <c r="H353" i="4" s="1"/>
  <c r="H354" i="4" s="1"/>
  <c r="H355" i="4" s="1"/>
  <c r="H356" i="4" s="1"/>
  <c r="H357" i="4" s="1"/>
  <c r="H358" i="4" s="1"/>
  <c r="H359" i="4" s="1"/>
  <c r="H360" i="4" s="1"/>
  <c r="H361" i="4" s="1"/>
  <c r="H362" i="4" s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s="1"/>
  <c r="H379" i="4" s="1"/>
  <c r="H380" i="4" s="1"/>
  <c r="H381" i="4" s="1"/>
  <c r="H382" i="4" s="1"/>
  <c r="H383" i="4" s="1"/>
  <c r="H384" i="4" s="1"/>
  <c r="H385" i="4" s="1"/>
  <c r="H386" i="4" s="1"/>
  <c r="H387" i="4" s="1"/>
  <c r="H388" i="4" s="1"/>
  <c r="H389" i="4" s="1"/>
  <c r="H390" i="4" s="1"/>
  <c r="H391" i="4" s="1"/>
  <c r="H392" i="4" s="1"/>
  <c r="H393" i="4" s="1"/>
  <c r="H394" i="4" s="1"/>
  <c r="H395" i="4" s="1"/>
  <c r="H396" i="4" s="1"/>
  <c r="H397" i="4" s="1"/>
  <c r="H398" i="4" s="1"/>
  <c r="H399" i="4" s="1"/>
  <c r="H400" i="4" s="1"/>
  <c r="H401" i="4" s="1"/>
  <c r="H402" i="4" s="1"/>
  <c r="H403" i="4" s="1"/>
  <c r="H404" i="4" s="1"/>
  <c r="H405" i="4" s="1"/>
  <c r="H406" i="4" s="1"/>
  <c r="H407" i="4" s="1"/>
  <c r="H408" i="4" s="1"/>
  <c r="H409" i="4" s="1"/>
  <c r="H410" i="4" s="1"/>
  <c r="H411" i="4" s="1"/>
  <c r="H412" i="4" s="1"/>
  <c r="H413" i="4" s="1"/>
  <c r="H414" i="4" s="1"/>
  <c r="H415" i="4" s="1"/>
  <c r="H416" i="4" s="1"/>
  <c r="H417" i="4" s="1"/>
  <c r="H418" i="4" s="1"/>
  <c r="H419" i="4" s="1"/>
  <c r="H420" i="4" s="1"/>
  <c r="H421" i="4" s="1"/>
  <c r="H422" i="4" s="1"/>
  <c r="H423" i="4" s="1"/>
  <c r="H424" i="4" s="1"/>
  <c r="H425" i="4" s="1"/>
  <c r="H426" i="4" s="1"/>
  <c r="H427" i="4" s="1"/>
  <c r="H428" i="4" s="1"/>
  <c r="H429" i="4" s="1"/>
  <c r="H430" i="4" s="1"/>
  <c r="H431" i="4" s="1"/>
  <c r="H432" i="4" s="1"/>
  <c r="H433" i="4" s="1"/>
  <c r="H434" i="4" s="1"/>
  <c r="H435" i="4" s="1"/>
  <c r="H436" i="4" s="1"/>
  <c r="H437" i="4" s="1"/>
  <c r="H438" i="4" s="1"/>
  <c r="H439" i="4" s="1"/>
  <c r="H440" i="4" s="1"/>
  <c r="H441" i="4" s="1"/>
  <c r="H442" i="4" s="1"/>
  <c r="H443" i="4" s="1"/>
  <c r="H444" i="4" s="1"/>
  <c r="H445" i="4" s="1"/>
  <c r="H446" i="4" s="1"/>
  <c r="H447" i="4" s="1"/>
  <c r="H448" i="4" s="1"/>
  <c r="H449" i="4" s="1"/>
  <c r="H450" i="4" s="1"/>
  <c r="H451" i="4" s="1"/>
  <c r="H452" i="4" s="1"/>
  <c r="H453" i="4" s="1"/>
  <c r="H454" i="4" s="1"/>
  <c r="H455" i="4" s="1"/>
  <c r="H456" i="4" s="1"/>
  <c r="H457" i="4" s="1"/>
  <c r="H458" i="4" s="1"/>
  <c r="H459" i="4" s="1"/>
  <c r="H460" i="4" s="1"/>
  <c r="H461" i="4" s="1"/>
  <c r="H462" i="4" s="1"/>
  <c r="H463" i="4" s="1"/>
  <c r="H464" i="4" s="1"/>
  <c r="H465" i="4" s="1"/>
  <c r="H466" i="4" s="1"/>
  <c r="H467" i="4" s="1"/>
  <c r="H468" i="4" s="1"/>
  <c r="H469" i="4" s="1"/>
  <c r="H470" i="4" s="1"/>
  <c r="H471" i="4" s="1"/>
  <c r="H472" i="4" s="1"/>
  <c r="H473" i="4" s="1"/>
  <c r="H474" i="4" s="1"/>
  <c r="H475" i="4" s="1"/>
  <c r="H476" i="4" s="1"/>
  <c r="H477" i="4" s="1"/>
  <c r="H478" i="4" s="1"/>
  <c r="H479" i="4" s="1"/>
  <c r="H480" i="4" s="1"/>
  <c r="H481" i="4" s="1"/>
  <c r="H482" i="4" s="1"/>
  <c r="H483" i="4" s="1"/>
  <c r="H484" i="4" s="1"/>
  <c r="H485" i="4" s="1"/>
  <c r="H486" i="4" s="1"/>
  <c r="H487" i="4" s="1"/>
  <c r="H488" i="4" s="1"/>
  <c r="H489" i="4" s="1"/>
  <c r="H490" i="4" s="1"/>
  <c r="H491" i="4" s="1"/>
  <c r="H492" i="4" s="1"/>
  <c r="H493" i="4" s="1"/>
  <c r="H494" i="4" s="1"/>
  <c r="H495" i="4" s="1"/>
  <c r="H496" i="4" s="1"/>
  <c r="H497" i="4" s="1"/>
  <c r="H498" i="4" s="1"/>
  <c r="H499" i="4" s="1"/>
  <c r="H500" i="4" s="1"/>
  <c r="H501" i="4" s="1"/>
  <c r="H502" i="4" s="1"/>
  <c r="H503" i="4" s="1"/>
  <c r="H504" i="4" s="1"/>
  <c r="H505" i="4" s="1"/>
  <c r="H506" i="4" s="1"/>
  <c r="H507" i="4" s="1"/>
  <c r="H508" i="4" s="1"/>
  <c r="H509" i="4" s="1"/>
  <c r="H510" i="4" s="1"/>
  <c r="H511" i="4" s="1"/>
  <c r="H512" i="4" s="1"/>
  <c r="H513" i="4" s="1"/>
  <c r="H514" i="4" s="1"/>
  <c r="H515" i="4" s="1"/>
  <c r="H516" i="4" s="1"/>
  <c r="H517" i="4" s="1"/>
  <c r="H518" i="4" s="1"/>
  <c r="H519" i="4" s="1"/>
  <c r="H520" i="4" s="1"/>
  <c r="H521" i="4" s="1"/>
  <c r="H522" i="4" s="1"/>
  <c r="H523" i="4" s="1"/>
  <c r="H524" i="4" s="1"/>
  <c r="H525" i="4" s="1"/>
  <c r="H526" i="4" s="1"/>
  <c r="H527" i="4" s="1"/>
  <c r="H528" i="4" s="1"/>
  <c r="H529" i="4" s="1"/>
  <c r="H530" i="4" s="1"/>
  <c r="H531" i="4" s="1"/>
  <c r="H532" i="4" s="1"/>
  <c r="H533" i="4" s="1"/>
  <c r="H534" i="4" s="1"/>
  <c r="H535" i="4" s="1"/>
  <c r="H536" i="4" s="1"/>
  <c r="H537" i="4" s="1"/>
  <c r="H538" i="4" s="1"/>
  <c r="H539" i="4" s="1"/>
  <c r="H540" i="4" s="1"/>
  <c r="H541" i="4" s="1"/>
  <c r="H542" i="4" s="1"/>
  <c r="H543" i="4" s="1"/>
  <c r="H544" i="4" s="1"/>
  <c r="H545" i="4" s="1"/>
  <c r="H546" i="4" s="1"/>
  <c r="H547" i="4" s="1"/>
  <c r="H548" i="4" s="1"/>
  <c r="H549" i="4" s="1"/>
  <c r="H550" i="4" s="1"/>
  <c r="H551" i="4" s="1"/>
  <c r="H552" i="4" s="1"/>
  <c r="H553" i="4" s="1"/>
  <c r="H554" i="4" s="1"/>
  <c r="H555" i="4" s="1"/>
  <c r="H556" i="4" s="1"/>
  <c r="H557" i="4" s="1"/>
  <c r="H558" i="4" s="1"/>
  <c r="H559" i="4" s="1"/>
  <c r="H560" i="4" s="1"/>
  <c r="H561" i="4" s="1"/>
  <c r="H562" i="4" s="1"/>
  <c r="H563" i="4" s="1"/>
  <c r="H564" i="4" s="1"/>
  <c r="H565" i="4" s="1"/>
  <c r="H566" i="4" s="1"/>
  <c r="H567" i="4" s="1"/>
  <c r="H568" i="4" s="1"/>
  <c r="H569" i="4" s="1"/>
  <c r="H570" i="4" s="1"/>
  <c r="H571" i="4" s="1"/>
  <c r="H572" i="4" s="1"/>
  <c r="H573" i="4" s="1"/>
  <c r="H574" i="4" s="1"/>
  <c r="H575" i="4" s="1"/>
  <c r="H576" i="4" s="1"/>
  <c r="H577" i="4" s="1"/>
  <c r="H578" i="4" s="1"/>
  <c r="H579" i="4" s="1"/>
  <c r="H580" i="4" s="1"/>
  <c r="H581" i="4" s="1"/>
  <c r="H582" i="4" s="1"/>
  <c r="H583" i="4" s="1"/>
  <c r="H584" i="4" s="1"/>
  <c r="H585" i="4" s="1"/>
  <c r="H586" i="4" s="1"/>
  <c r="H587" i="4" s="1"/>
  <c r="H588" i="4" s="1"/>
  <c r="H589" i="4" s="1"/>
  <c r="H590" i="4" s="1"/>
  <c r="H591" i="4" s="1"/>
  <c r="H592" i="4" s="1"/>
  <c r="H593" i="4" s="1"/>
  <c r="H594" i="4" s="1"/>
  <c r="H595" i="4" s="1"/>
  <c r="H596" i="4" s="1"/>
  <c r="H597" i="4" s="1"/>
  <c r="H598" i="4" s="1"/>
  <c r="H599" i="4" s="1"/>
  <c r="H600" i="4" s="1"/>
  <c r="H601" i="4" s="1"/>
  <c r="H602" i="4" s="1"/>
  <c r="H603" i="4" s="1"/>
  <c r="H604" i="4" s="1"/>
  <c r="H605" i="4" s="1"/>
  <c r="H606" i="4" s="1"/>
  <c r="H607" i="4" s="1"/>
  <c r="H608" i="4" s="1"/>
  <c r="H609" i="4" s="1"/>
  <c r="H610" i="4" s="1"/>
  <c r="H611" i="4" s="1"/>
  <c r="H612" i="4" s="1"/>
  <c r="H613" i="4" s="1"/>
  <c r="H614" i="4" s="1"/>
  <c r="H615" i="4" s="1"/>
  <c r="H616" i="4" s="1"/>
  <c r="H617" i="4" s="1"/>
  <c r="H618" i="4" s="1"/>
  <c r="H619" i="4" s="1"/>
  <c r="H620" i="4" s="1"/>
  <c r="H621" i="4" s="1"/>
  <c r="H622" i="4" s="1"/>
  <c r="H623" i="4" s="1"/>
  <c r="H624" i="4" s="1"/>
  <c r="H625" i="4" s="1"/>
  <c r="H626" i="4" s="1"/>
  <c r="H627" i="4" s="1"/>
  <c r="H628" i="4" s="1"/>
  <c r="H629" i="4" s="1"/>
  <c r="H630" i="4" s="1"/>
  <c r="H631" i="4" s="1"/>
  <c r="H632" i="4" s="1"/>
  <c r="H633" i="4" s="1"/>
  <c r="H634" i="4" s="1"/>
  <c r="H635" i="4" s="1"/>
  <c r="H636" i="4" s="1"/>
  <c r="H637" i="4" s="1"/>
  <c r="H638" i="4" s="1"/>
  <c r="H639" i="4" s="1"/>
  <c r="H640" i="4" s="1"/>
  <c r="H641" i="4" s="1"/>
  <c r="H642" i="4" s="1"/>
  <c r="H643" i="4" s="1"/>
  <c r="H644" i="4" s="1"/>
  <c r="H645" i="4" s="1"/>
  <c r="H646" i="4" s="1"/>
  <c r="H647" i="4" s="1"/>
  <c r="H648" i="4" s="1"/>
  <c r="H649" i="4" s="1"/>
  <c r="H650" i="4" s="1"/>
  <c r="H651" i="4" s="1"/>
  <c r="H652" i="4" s="1"/>
  <c r="H653" i="4" s="1"/>
  <c r="H654" i="4" s="1"/>
  <c r="H655" i="4" s="1"/>
  <c r="H656" i="4" s="1"/>
  <c r="H657" i="4" s="1"/>
  <c r="H658" i="4" s="1"/>
  <c r="H659" i="4" s="1"/>
  <c r="H660" i="4" s="1"/>
  <c r="H661" i="4" s="1"/>
  <c r="H662" i="4" s="1"/>
  <c r="H663" i="4" s="1"/>
  <c r="H664" i="4" s="1"/>
  <c r="H665" i="4" s="1"/>
  <c r="H666" i="4" s="1"/>
  <c r="H667" i="4" s="1"/>
  <c r="H668" i="4" s="1"/>
  <c r="H669" i="4" s="1"/>
  <c r="H670" i="4" s="1"/>
  <c r="H671" i="4" s="1"/>
  <c r="H672" i="4" s="1"/>
  <c r="H673" i="4" s="1"/>
  <c r="H674" i="4" s="1"/>
  <c r="H675" i="4" s="1"/>
  <c r="H676" i="4" s="1"/>
  <c r="H677" i="4" s="1"/>
  <c r="H678" i="4" s="1"/>
  <c r="H679" i="4" s="1"/>
  <c r="H680" i="4" s="1"/>
  <c r="H681" i="4" s="1"/>
  <c r="H682" i="4" s="1"/>
  <c r="H683" i="4" s="1"/>
  <c r="H684" i="4" s="1"/>
  <c r="H685" i="4" s="1"/>
  <c r="H686" i="4" s="1"/>
  <c r="H687" i="4" s="1"/>
  <c r="H688" i="4" s="1"/>
  <c r="H689" i="4" s="1"/>
  <c r="H690" i="4" s="1"/>
  <c r="H691" i="4" s="1"/>
  <c r="H692" i="4" s="1"/>
  <c r="H693" i="4" s="1"/>
  <c r="H694" i="4" s="1"/>
  <c r="H695" i="4" s="1"/>
  <c r="H696" i="4" s="1"/>
  <c r="H697" i="4" s="1"/>
  <c r="H698" i="4" s="1"/>
  <c r="H699" i="4" s="1"/>
  <c r="H700" i="4" s="1"/>
  <c r="H701" i="4" s="1"/>
  <c r="H702" i="4" s="1"/>
  <c r="H703" i="4" s="1"/>
  <c r="H704" i="4" s="1"/>
  <c r="H705" i="4" s="1"/>
  <c r="H706" i="4" s="1"/>
  <c r="H707" i="4" s="1"/>
  <c r="H708" i="4" s="1"/>
  <c r="H709" i="4" s="1"/>
  <c r="H710" i="4" s="1"/>
  <c r="H711" i="4" s="1"/>
  <c r="H712" i="4" s="1"/>
  <c r="H713" i="4" s="1"/>
  <c r="H714" i="4" s="1"/>
  <c r="H715" i="4" s="1"/>
  <c r="H716" i="4" s="1"/>
  <c r="H717" i="4" s="1"/>
  <c r="H718" i="4" s="1"/>
  <c r="H719" i="4" s="1"/>
  <c r="H720" i="4" s="1"/>
  <c r="H721" i="4" s="1"/>
  <c r="H722" i="4" s="1"/>
  <c r="H723" i="4" s="1"/>
  <c r="H724" i="4" s="1"/>
  <c r="H725" i="4" s="1"/>
  <c r="H726" i="4" s="1"/>
  <c r="H727" i="4" s="1"/>
  <c r="H728" i="4" s="1"/>
  <c r="H729" i="4" s="1"/>
  <c r="H730" i="4" s="1"/>
  <c r="H731" i="4" s="1"/>
  <c r="H732" i="4" s="1"/>
  <c r="H733" i="4" s="1"/>
  <c r="H734" i="4" s="1"/>
  <c r="H735" i="4" s="1"/>
  <c r="H736" i="4" s="1"/>
  <c r="H737" i="4" s="1"/>
  <c r="H2" i="4"/>
  <c r="H3" i="4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2" i="4"/>
  <c r="K4" i="4"/>
  <c r="L3" i="3"/>
  <c r="K3" i="4"/>
  <c r="L2" i="3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2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2" i="3"/>
  <c r="F72" i="3"/>
  <c r="G72" i="3" s="1"/>
  <c r="G13" i="2"/>
  <c r="F712" i="3" l="1"/>
  <c r="G712" i="3" s="1"/>
  <c r="F636" i="3"/>
  <c r="G636" i="3" s="1"/>
  <c r="F538" i="3"/>
  <c r="G538" i="3" s="1"/>
  <c r="F427" i="3"/>
  <c r="G427" i="3" s="1"/>
  <c r="F315" i="3"/>
  <c r="G315" i="3" s="1"/>
  <c r="F199" i="3"/>
  <c r="G199" i="3" s="1"/>
  <c r="F15" i="3"/>
  <c r="G15" i="3" s="1"/>
  <c r="F711" i="3"/>
  <c r="G711" i="3" s="1"/>
  <c r="F635" i="3"/>
  <c r="G635" i="3" s="1"/>
  <c r="F536" i="3"/>
  <c r="G536" i="3" s="1"/>
  <c r="F370" i="3"/>
  <c r="G370" i="3" s="1"/>
  <c r="F314" i="3"/>
  <c r="G314" i="3" s="1"/>
  <c r="F128" i="3"/>
  <c r="G128" i="3" s="1"/>
  <c r="F734" i="3"/>
  <c r="G734" i="3" s="1"/>
  <c r="F622" i="3"/>
  <c r="G622" i="3" s="1"/>
  <c r="F469" i="3"/>
  <c r="G469" i="3" s="1"/>
  <c r="F357" i="3"/>
  <c r="G357" i="3" s="1"/>
  <c r="F243" i="3"/>
  <c r="G243" i="3" s="1"/>
  <c r="F185" i="3"/>
  <c r="G185" i="3" s="1"/>
  <c r="F733" i="3"/>
  <c r="G733" i="3" s="1"/>
  <c r="F702" i="3"/>
  <c r="G702" i="3" s="1"/>
  <c r="F669" i="3"/>
  <c r="G669" i="3" s="1"/>
  <c r="F621" i="3"/>
  <c r="G621" i="3" s="1"/>
  <c r="F573" i="3"/>
  <c r="G573" i="3" s="1"/>
  <c r="F525" i="3"/>
  <c r="G525" i="3" s="1"/>
  <c r="F468" i="3"/>
  <c r="G468" i="3" s="1"/>
  <c r="F412" i="3"/>
  <c r="G412" i="3" s="1"/>
  <c r="F356" i="3"/>
  <c r="G356" i="3" s="1"/>
  <c r="F298" i="3"/>
  <c r="G298" i="3" s="1"/>
  <c r="F242" i="3"/>
  <c r="G242" i="3" s="1"/>
  <c r="F184" i="3"/>
  <c r="G184" i="3" s="1"/>
  <c r="F96" i="3"/>
  <c r="G96" i="3" s="1"/>
  <c r="F680" i="3"/>
  <c r="G680" i="3" s="1"/>
  <c r="F586" i="3"/>
  <c r="G586" i="3" s="1"/>
  <c r="F485" i="3"/>
  <c r="G485" i="3" s="1"/>
  <c r="F371" i="3"/>
  <c r="G371" i="3" s="1"/>
  <c r="F255" i="3"/>
  <c r="G255" i="3" s="1"/>
  <c r="F133" i="3"/>
  <c r="G133" i="3" s="1"/>
  <c r="F679" i="3"/>
  <c r="G679" i="3" s="1"/>
  <c r="F584" i="3"/>
  <c r="G584" i="3" s="1"/>
  <c r="F426" i="3"/>
  <c r="G426" i="3" s="1"/>
  <c r="F254" i="3"/>
  <c r="G254" i="3" s="1"/>
  <c r="F14" i="3"/>
  <c r="G14" i="3" s="1"/>
  <c r="F670" i="3"/>
  <c r="G670" i="3" s="1"/>
  <c r="F526" i="3"/>
  <c r="G526" i="3" s="1"/>
  <c r="F299" i="3"/>
  <c r="G299" i="3" s="1"/>
  <c r="F730" i="3"/>
  <c r="G730" i="3" s="1"/>
  <c r="F701" i="3"/>
  <c r="G701" i="3" s="1"/>
  <c r="F658" i="3"/>
  <c r="G658" i="3" s="1"/>
  <c r="F611" i="3"/>
  <c r="G611" i="3" s="1"/>
  <c r="F563" i="3"/>
  <c r="G563" i="3" s="1"/>
  <c r="F511" i="3"/>
  <c r="G511" i="3" s="1"/>
  <c r="F455" i="3"/>
  <c r="G455" i="3" s="1"/>
  <c r="F399" i="3"/>
  <c r="G399" i="3" s="1"/>
  <c r="F341" i="3"/>
  <c r="G341" i="3" s="1"/>
  <c r="F285" i="3"/>
  <c r="G285" i="3" s="1"/>
  <c r="F229" i="3"/>
  <c r="G229" i="3" s="1"/>
  <c r="F167" i="3"/>
  <c r="G167" i="3" s="1"/>
  <c r="F77" i="3"/>
  <c r="G77" i="3" s="1"/>
  <c r="F710" i="3"/>
  <c r="G710" i="3" s="1"/>
  <c r="F574" i="3"/>
  <c r="G574" i="3" s="1"/>
  <c r="F413" i="3"/>
  <c r="G413" i="3" s="1"/>
  <c r="F101" i="3"/>
  <c r="G101" i="3" s="1"/>
  <c r="F722" i="3"/>
  <c r="G722" i="3" s="1"/>
  <c r="F698" i="3"/>
  <c r="G698" i="3" s="1"/>
  <c r="F657" i="3"/>
  <c r="G657" i="3" s="1"/>
  <c r="F610" i="3"/>
  <c r="G610" i="3" s="1"/>
  <c r="F562" i="3"/>
  <c r="G562" i="3" s="1"/>
  <c r="F510" i="3"/>
  <c r="G510" i="3" s="1"/>
  <c r="F454" i="3"/>
  <c r="G454" i="3" s="1"/>
  <c r="F398" i="3"/>
  <c r="G398" i="3" s="1"/>
  <c r="F340" i="3"/>
  <c r="G340" i="3" s="1"/>
  <c r="F284" i="3"/>
  <c r="G284" i="3" s="1"/>
  <c r="F228" i="3"/>
  <c r="G228" i="3" s="1"/>
  <c r="F166" i="3"/>
  <c r="G166" i="3" s="1"/>
  <c r="F24" i="3"/>
  <c r="G24" i="3" s="1"/>
  <c r="F48" i="3"/>
  <c r="G48" i="3" s="1"/>
  <c r="F78" i="3"/>
  <c r="G78" i="3" s="1"/>
  <c r="F110" i="3"/>
  <c r="G110" i="3" s="1"/>
  <c r="F136" i="3"/>
  <c r="G136" i="3" s="1"/>
  <c r="F152" i="3"/>
  <c r="G152" i="3" s="1"/>
  <c r="F170" i="3"/>
  <c r="G170" i="3" s="1"/>
  <c r="F186" i="3"/>
  <c r="G186" i="3" s="1"/>
  <c r="F202" i="3"/>
  <c r="G202" i="3" s="1"/>
  <c r="F218" i="3"/>
  <c r="G218" i="3" s="1"/>
  <c r="F230" i="3"/>
  <c r="G230" i="3" s="1"/>
  <c r="F244" i="3"/>
  <c r="G244" i="3" s="1"/>
  <c r="F260" i="3"/>
  <c r="G260" i="3" s="1"/>
  <c r="F274" i="3"/>
  <c r="G274" i="3" s="1"/>
  <c r="F286" i="3"/>
  <c r="G286" i="3" s="1"/>
  <c r="F302" i="3"/>
  <c r="G302" i="3" s="1"/>
  <c r="F316" i="3"/>
  <c r="G316" i="3" s="1"/>
  <c r="F330" i="3"/>
  <c r="G330" i="3" s="1"/>
  <c r="F346" i="3"/>
  <c r="G346" i="3" s="1"/>
  <c r="F358" i="3"/>
  <c r="G358" i="3" s="1"/>
  <c r="F372" i="3"/>
  <c r="G372" i="3" s="1"/>
  <c r="F388" i="3"/>
  <c r="G388" i="3" s="1"/>
  <c r="F402" i="3"/>
  <c r="G402" i="3" s="1"/>
  <c r="F414" i="3"/>
  <c r="G414" i="3" s="1"/>
  <c r="F430" i="3"/>
  <c r="G430" i="3" s="1"/>
  <c r="F444" i="3"/>
  <c r="G444" i="3" s="1"/>
  <c r="F458" i="3"/>
  <c r="G458" i="3" s="1"/>
  <c r="F474" i="3"/>
  <c r="G474" i="3" s="1"/>
  <c r="F486" i="3"/>
  <c r="G486" i="3" s="1"/>
  <c r="F500" i="3"/>
  <c r="G500" i="3" s="1"/>
  <c r="F516" i="3"/>
  <c r="G516" i="3" s="1"/>
  <c r="F527" i="3"/>
  <c r="G527" i="3" s="1"/>
  <c r="F539" i="3"/>
  <c r="G539" i="3" s="1"/>
  <c r="F552" i="3"/>
  <c r="G552" i="3" s="1"/>
  <c r="F564" i="3"/>
  <c r="G564" i="3" s="1"/>
  <c r="F575" i="3"/>
  <c r="G575" i="3" s="1"/>
  <c r="F589" i="3"/>
  <c r="G589" i="3" s="1"/>
  <c r="F600" i="3"/>
  <c r="G600" i="3" s="1"/>
  <c r="F612" i="3"/>
  <c r="G612" i="3" s="1"/>
  <c r="F626" i="3"/>
  <c r="G626" i="3" s="1"/>
  <c r="F637" i="3"/>
  <c r="G637" i="3" s="1"/>
  <c r="F648" i="3"/>
  <c r="G648" i="3" s="1"/>
  <c r="F661" i="3"/>
  <c r="G661" i="3" s="1"/>
  <c r="F671" i="3"/>
  <c r="G671" i="3" s="1"/>
  <c r="F681" i="3"/>
  <c r="G681" i="3" s="1"/>
  <c r="F693" i="3"/>
  <c r="G693" i="3" s="1"/>
  <c r="F703" i="3"/>
  <c r="G703" i="3" s="1"/>
  <c r="F713" i="3"/>
  <c r="G713" i="3" s="1"/>
  <c r="F725" i="3"/>
  <c r="G725" i="3" s="1"/>
  <c r="F735" i="3"/>
  <c r="G735" i="3" s="1"/>
  <c r="F64" i="3"/>
  <c r="G64" i="3" s="1"/>
  <c r="F161" i="3"/>
  <c r="G161" i="3" s="1"/>
  <c r="F222" i="3"/>
  <c r="G222" i="3" s="1"/>
  <c r="F294" i="3"/>
  <c r="G294" i="3" s="1"/>
  <c r="F350" i="3"/>
  <c r="G350" i="3" s="1"/>
  <c r="F410" i="3"/>
  <c r="G410" i="3" s="1"/>
  <c r="F466" i="3"/>
  <c r="G466" i="3" s="1"/>
  <c r="F520" i="3"/>
  <c r="G520" i="3" s="1"/>
  <c r="F571" i="3"/>
  <c r="G571" i="3" s="1"/>
  <c r="F630" i="3"/>
  <c r="G630" i="3" s="1"/>
  <c r="F677" i="3"/>
  <c r="G677" i="3" s="1"/>
  <c r="F729" i="3"/>
  <c r="G729" i="3" s="1"/>
  <c r="F37" i="3"/>
  <c r="G37" i="3" s="1"/>
  <c r="F125" i="3"/>
  <c r="G125" i="3" s="1"/>
  <c r="F197" i="3"/>
  <c r="G197" i="3" s="1"/>
  <c r="F239" i="3"/>
  <c r="G239" i="3" s="1"/>
  <c r="F283" i="3"/>
  <c r="G283" i="3" s="1"/>
  <c r="F325" i="3"/>
  <c r="G325" i="3" s="1"/>
  <c r="F367" i="3"/>
  <c r="G367" i="3" s="1"/>
  <c r="F411" i="3"/>
  <c r="G411" i="3" s="1"/>
  <c r="F453" i="3"/>
  <c r="G453" i="3" s="1"/>
  <c r="F495" i="3"/>
  <c r="G495" i="3" s="1"/>
  <c r="F535" i="3"/>
  <c r="G535" i="3" s="1"/>
  <c r="F572" i="3"/>
  <c r="G572" i="3" s="1"/>
  <c r="F608" i="3"/>
  <c r="G608" i="3" s="1"/>
  <c r="F645" i="3"/>
  <c r="G645" i="3" s="1"/>
  <c r="F678" i="3"/>
  <c r="G678" i="3" s="1"/>
  <c r="F29" i="3"/>
  <c r="G29" i="3" s="1"/>
  <c r="F53" i="3"/>
  <c r="G53" i="3" s="1"/>
  <c r="F79" i="3"/>
  <c r="G79" i="3" s="1"/>
  <c r="F111" i="3"/>
  <c r="G111" i="3" s="1"/>
  <c r="F137" i="3"/>
  <c r="G137" i="3" s="1"/>
  <c r="F153" i="3"/>
  <c r="G153" i="3" s="1"/>
  <c r="F171" i="3"/>
  <c r="G171" i="3" s="1"/>
  <c r="F187" i="3"/>
  <c r="G187" i="3" s="1"/>
  <c r="F203" i="3"/>
  <c r="G203" i="3" s="1"/>
  <c r="F219" i="3"/>
  <c r="G219" i="3" s="1"/>
  <c r="F231" i="3"/>
  <c r="G231" i="3" s="1"/>
  <c r="F245" i="3"/>
  <c r="G245" i="3" s="1"/>
  <c r="F261" i="3"/>
  <c r="G261" i="3" s="1"/>
  <c r="F275" i="3"/>
  <c r="G275" i="3" s="1"/>
  <c r="F287" i="3"/>
  <c r="G287" i="3" s="1"/>
  <c r="F303" i="3"/>
  <c r="G303" i="3" s="1"/>
  <c r="F317" i="3"/>
  <c r="G317" i="3" s="1"/>
  <c r="F331" i="3"/>
  <c r="G331" i="3" s="1"/>
  <c r="F347" i="3"/>
  <c r="G347" i="3" s="1"/>
  <c r="F359" i="3"/>
  <c r="G359" i="3" s="1"/>
  <c r="F373" i="3"/>
  <c r="G373" i="3" s="1"/>
  <c r="F389" i="3"/>
  <c r="G389" i="3" s="1"/>
  <c r="F403" i="3"/>
  <c r="G403" i="3" s="1"/>
  <c r="F415" i="3"/>
  <c r="G415" i="3" s="1"/>
  <c r="F431" i="3"/>
  <c r="G431" i="3" s="1"/>
  <c r="F445" i="3"/>
  <c r="G445" i="3" s="1"/>
  <c r="F459" i="3"/>
  <c r="G459" i="3" s="1"/>
  <c r="F475" i="3"/>
  <c r="G475" i="3" s="1"/>
  <c r="F487" i="3"/>
  <c r="G487" i="3" s="1"/>
  <c r="F501" i="3"/>
  <c r="G501" i="3" s="1"/>
  <c r="F517" i="3"/>
  <c r="G517" i="3" s="1"/>
  <c r="F528" i="3"/>
  <c r="G528" i="3" s="1"/>
  <c r="F540" i="3"/>
  <c r="G540" i="3" s="1"/>
  <c r="F554" i="3"/>
  <c r="G554" i="3" s="1"/>
  <c r="F565" i="3"/>
  <c r="G565" i="3" s="1"/>
  <c r="F576" i="3"/>
  <c r="G576" i="3" s="1"/>
  <c r="F590" i="3"/>
  <c r="G590" i="3" s="1"/>
  <c r="F602" i="3"/>
  <c r="G602" i="3" s="1"/>
  <c r="F613" i="3"/>
  <c r="G613" i="3" s="1"/>
  <c r="F627" i="3"/>
  <c r="G627" i="3" s="1"/>
  <c r="F638" i="3"/>
  <c r="G638" i="3" s="1"/>
  <c r="F650" i="3"/>
  <c r="G650" i="3" s="1"/>
  <c r="F662" i="3"/>
  <c r="G662" i="3" s="1"/>
  <c r="F672" i="3"/>
  <c r="G672" i="3" s="1"/>
  <c r="F682" i="3"/>
  <c r="G682" i="3" s="1"/>
  <c r="F694" i="3"/>
  <c r="G694" i="3" s="1"/>
  <c r="F704" i="3"/>
  <c r="G704" i="3" s="1"/>
  <c r="F714" i="3"/>
  <c r="G714" i="3" s="1"/>
  <c r="F726" i="3"/>
  <c r="G726" i="3" s="1"/>
  <c r="F736" i="3"/>
  <c r="G736" i="3" s="1"/>
  <c r="F8" i="3"/>
  <c r="G8" i="3" s="1"/>
  <c r="F120" i="3"/>
  <c r="G120" i="3" s="1"/>
  <c r="F195" i="3"/>
  <c r="G195" i="3" s="1"/>
  <c r="F266" i="3"/>
  <c r="G266" i="3" s="1"/>
  <c r="F324" i="3"/>
  <c r="G324" i="3" s="1"/>
  <c r="F380" i="3"/>
  <c r="G380" i="3" s="1"/>
  <c r="F452" i="3"/>
  <c r="G452" i="3" s="1"/>
  <c r="F508" i="3"/>
  <c r="G508" i="3" s="1"/>
  <c r="F557" i="3"/>
  <c r="G557" i="3" s="1"/>
  <c r="F607" i="3"/>
  <c r="G607" i="3" s="1"/>
  <c r="F655" i="3"/>
  <c r="G655" i="3" s="1"/>
  <c r="F697" i="3"/>
  <c r="G697" i="3" s="1"/>
  <c r="F30" i="3"/>
  <c r="G30" i="3" s="1"/>
  <c r="F56" i="3"/>
  <c r="G56" i="3" s="1"/>
  <c r="F88" i="3"/>
  <c r="G88" i="3" s="1"/>
  <c r="F112" i="3"/>
  <c r="G112" i="3" s="1"/>
  <c r="F138" i="3"/>
  <c r="G138" i="3" s="1"/>
  <c r="F159" i="3"/>
  <c r="G159" i="3" s="1"/>
  <c r="F175" i="3"/>
  <c r="G175" i="3" s="1"/>
  <c r="F189" i="3"/>
  <c r="G189" i="3" s="1"/>
  <c r="F206" i="3"/>
  <c r="G206" i="3" s="1"/>
  <c r="F220" i="3"/>
  <c r="G220" i="3" s="1"/>
  <c r="F234" i="3"/>
  <c r="G234" i="3" s="1"/>
  <c r="F250" i="3"/>
  <c r="G250" i="3" s="1"/>
  <c r="F262" i="3"/>
  <c r="G262" i="3" s="1"/>
  <c r="F276" i="3"/>
  <c r="G276" i="3" s="1"/>
  <c r="F292" i="3"/>
  <c r="G292" i="3" s="1"/>
  <c r="F306" i="3"/>
  <c r="G306" i="3" s="1"/>
  <c r="F318" i="3"/>
  <c r="G318" i="3" s="1"/>
  <c r="F334" i="3"/>
  <c r="G334" i="3" s="1"/>
  <c r="F348" i="3"/>
  <c r="G348" i="3" s="1"/>
  <c r="F362" i="3"/>
  <c r="G362" i="3" s="1"/>
  <c r="F378" i="3"/>
  <c r="G378" i="3" s="1"/>
  <c r="F390" i="3"/>
  <c r="G390" i="3" s="1"/>
  <c r="F404" i="3"/>
  <c r="G404" i="3" s="1"/>
  <c r="F420" i="3"/>
  <c r="G420" i="3" s="1"/>
  <c r="F434" i="3"/>
  <c r="G434" i="3" s="1"/>
  <c r="F446" i="3"/>
  <c r="G446" i="3" s="1"/>
  <c r="F462" i="3"/>
  <c r="G462" i="3" s="1"/>
  <c r="F476" i="3"/>
  <c r="G476" i="3" s="1"/>
  <c r="F490" i="3"/>
  <c r="G490" i="3" s="1"/>
  <c r="F506" i="3"/>
  <c r="G506" i="3" s="1"/>
  <c r="F518" i="3"/>
  <c r="G518" i="3" s="1"/>
  <c r="F530" i="3"/>
  <c r="G530" i="3" s="1"/>
  <c r="F543" i="3"/>
  <c r="G543" i="3" s="1"/>
  <c r="F555" i="3"/>
  <c r="G555" i="3" s="1"/>
  <c r="F566" i="3"/>
  <c r="G566" i="3" s="1"/>
  <c r="F580" i="3"/>
  <c r="G580" i="3" s="1"/>
  <c r="F591" i="3"/>
  <c r="G591" i="3" s="1"/>
  <c r="F603" i="3"/>
  <c r="G603" i="3" s="1"/>
  <c r="F616" i="3"/>
  <c r="G616" i="3" s="1"/>
  <c r="F628" i="3"/>
  <c r="G628" i="3" s="1"/>
  <c r="F639" i="3"/>
  <c r="G639" i="3" s="1"/>
  <c r="F653" i="3"/>
  <c r="G653" i="3" s="1"/>
  <c r="F663" i="3"/>
  <c r="G663" i="3" s="1"/>
  <c r="F673" i="3"/>
  <c r="G673" i="3" s="1"/>
  <c r="F685" i="3"/>
  <c r="G685" i="3" s="1"/>
  <c r="F695" i="3"/>
  <c r="G695" i="3" s="1"/>
  <c r="F705" i="3"/>
  <c r="G705" i="3" s="1"/>
  <c r="F717" i="3"/>
  <c r="G717" i="3" s="1"/>
  <c r="F727" i="3"/>
  <c r="G727" i="3" s="1"/>
  <c r="F737" i="3"/>
  <c r="G737" i="3" s="1"/>
  <c r="F32" i="3"/>
  <c r="G32" i="3" s="1"/>
  <c r="F146" i="3"/>
  <c r="G146" i="3" s="1"/>
  <c r="F210" i="3"/>
  <c r="G210" i="3" s="1"/>
  <c r="F252" i="3"/>
  <c r="G252" i="3" s="1"/>
  <c r="F308" i="3"/>
  <c r="G308" i="3" s="1"/>
  <c r="F366" i="3"/>
  <c r="G366" i="3" s="1"/>
  <c r="F422" i="3"/>
  <c r="G422" i="3" s="1"/>
  <c r="F478" i="3"/>
  <c r="G478" i="3" s="1"/>
  <c r="F534" i="3"/>
  <c r="G534" i="3" s="1"/>
  <c r="F582" i="3"/>
  <c r="G582" i="3" s="1"/>
  <c r="F619" i="3"/>
  <c r="G619" i="3" s="1"/>
  <c r="F665" i="3"/>
  <c r="G665" i="3" s="1"/>
  <c r="F709" i="3"/>
  <c r="G709" i="3" s="1"/>
  <c r="F69" i="3"/>
  <c r="G69" i="3" s="1"/>
  <c r="F162" i="3"/>
  <c r="G162" i="3" s="1"/>
  <c r="F211" i="3"/>
  <c r="G211" i="3" s="1"/>
  <c r="F253" i="3"/>
  <c r="G253" i="3" s="1"/>
  <c r="F295" i="3"/>
  <c r="G295" i="3" s="1"/>
  <c r="F339" i="3"/>
  <c r="G339" i="3" s="1"/>
  <c r="F381" i="3"/>
  <c r="G381" i="3" s="1"/>
  <c r="F423" i="3"/>
  <c r="G423" i="3" s="1"/>
  <c r="F467" i="3"/>
  <c r="G467" i="3" s="1"/>
  <c r="F509" i="3"/>
  <c r="G509" i="3" s="1"/>
  <c r="F547" i="3"/>
  <c r="G547" i="3" s="1"/>
  <c r="F583" i="3"/>
  <c r="G583" i="3" s="1"/>
  <c r="F620" i="3"/>
  <c r="G620" i="3" s="1"/>
  <c r="F656" i="3"/>
  <c r="G656" i="3" s="1"/>
  <c r="F688" i="3"/>
  <c r="G688" i="3" s="1"/>
  <c r="F5" i="3"/>
  <c r="G5" i="3" s="1"/>
  <c r="F31" i="3"/>
  <c r="G31" i="3" s="1"/>
  <c r="F61" i="3"/>
  <c r="G61" i="3" s="1"/>
  <c r="F93" i="3"/>
  <c r="G93" i="3" s="1"/>
  <c r="F117" i="3"/>
  <c r="G117" i="3" s="1"/>
  <c r="F141" i="3"/>
  <c r="G141" i="3" s="1"/>
  <c r="F160" i="3"/>
  <c r="G160" i="3" s="1"/>
  <c r="F176" i="3"/>
  <c r="G176" i="3" s="1"/>
  <c r="F190" i="3"/>
  <c r="G190" i="3" s="1"/>
  <c r="F207" i="3"/>
  <c r="G207" i="3" s="1"/>
  <c r="F221" i="3"/>
  <c r="G221" i="3" s="1"/>
  <c r="F235" i="3"/>
  <c r="G235" i="3" s="1"/>
  <c r="F251" i="3"/>
  <c r="G251" i="3" s="1"/>
  <c r="F263" i="3"/>
  <c r="G263" i="3" s="1"/>
  <c r="F277" i="3"/>
  <c r="G277" i="3" s="1"/>
  <c r="F293" i="3"/>
  <c r="G293" i="3" s="1"/>
  <c r="F307" i="3"/>
  <c r="G307" i="3" s="1"/>
  <c r="F319" i="3"/>
  <c r="G319" i="3" s="1"/>
  <c r="F335" i="3"/>
  <c r="G335" i="3" s="1"/>
  <c r="F349" i="3"/>
  <c r="G349" i="3" s="1"/>
  <c r="F363" i="3"/>
  <c r="G363" i="3" s="1"/>
  <c r="F379" i="3"/>
  <c r="G379" i="3" s="1"/>
  <c r="F391" i="3"/>
  <c r="G391" i="3" s="1"/>
  <c r="F405" i="3"/>
  <c r="G405" i="3" s="1"/>
  <c r="F421" i="3"/>
  <c r="G421" i="3" s="1"/>
  <c r="F435" i="3"/>
  <c r="G435" i="3" s="1"/>
  <c r="F447" i="3"/>
  <c r="G447" i="3" s="1"/>
  <c r="F463" i="3"/>
  <c r="G463" i="3" s="1"/>
  <c r="F477" i="3"/>
  <c r="G477" i="3" s="1"/>
  <c r="F491" i="3"/>
  <c r="G491" i="3" s="1"/>
  <c r="F507" i="3"/>
  <c r="G507" i="3" s="1"/>
  <c r="F519" i="3"/>
  <c r="G519" i="3" s="1"/>
  <c r="F531" i="3"/>
  <c r="G531" i="3" s="1"/>
  <c r="F544" i="3"/>
  <c r="G544" i="3" s="1"/>
  <c r="F556" i="3"/>
  <c r="G556" i="3" s="1"/>
  <c r="F567" i="3"/>
  <c r="G567" i="3" s="1"/>
  <c r="F581" i="3"/>
  <c r="G581" i="3" s="1"/>
  <c r="F592" i="3"/>
  <c r="G592" i="3" s="1"/>
  <c r="F604" i="3"/>
  <c r="G604" i="3" s="1"/>
  <c r="F618" i="3"/>
  <c r="G618" i="3" s="1"/>
  <c r="F629" i="3"/>
  <c r="G629" i="3" s="1"/>
  <c r="F640" i="3"/>
  <c r="G640" i="3" s="1"/>
  <c r="F654" i="3"/>
  <c r="G654" i="3" s="1"/>
  <c r="F664" i="3"/>
  <c r="G664" i="3" s="1"/>
  <c r="F674" i="3"/>
  <c r="G674" i="3" s="1"/>
  <c r="F686" i="3"/>
  <c r="G686" i="3" s="1"/>
  <c r="F696" i="3"/>
  <c r="G696" i="3" s="1"/>
  <c r="F706" i="3"/>
  <c r="G706" i="3" s="1"/>
  <c r="F718" i="3"/>
  <c r="G718" i="3" s="1"/>
  <c r="F728" i="3"/>
  <c r="G728" i="3" s="1"/>
  <c r="F2" i="3"/>
  <c r="G2" i="3" s="1"/>
  <c r="F94" i="3"/>
  <c r="G94" i="3" s="1"/>
  <c r="F177" i="3"/>
  <c r="G177" i="3" s="1"/>
  <c r="F238" i="3"/>
  <c r="G238" i="3" s="1"/>
  <c r="F282" i="3"/>
  <c r="G282" i="3" s="1"/>
  <c r="F338" i="3"/>
  <c r="G338" i="3" s="1"/>
  <c r="F394" i="3"/>
  <c r="G394" i="3" s="1"/>
  <c r="F436" i="3"/>
  <c r="G436" i="3" s="1"/>
  <c r="F494" i="3"/>
  <c r="G494" i="3" s="1"/>
  <c r="F546" i="3"/>
  <c r="G546" i="3" s="1"/>
  <c r="F594" i="3"/>
  <c r="G594" i="3" s="1"/>
  <c r="F644" i="3"/>
  <c r="G644" i="3" s="1"/>
  <c r="F687" i="3"/>
  <c r="G687" i="3" s="1"/>
  <c r="F719" i="3"/>
  <c r="G719" i="3" s="1"/>
  <c r="F13" i="3"/>
  <c r="G13" i="3" s="1"/>
  <c r="F95" i="3"/>
  <c r="G95" i="3" s="1"/>
  <c r="F149" i="3"/>
  <c r="G149" i="3" s="1"/>
  <c r="F178" i="3"/>
  <c r="G178" i="3" s="1"/>
  <c r="F223" i="3"/>
  <c r="G223" i="3" s="1"/>
  <c r="F267" i="3"/>
  <c r="G267" i="3" s="1"/>
  <c r="F309" i="3"/>
  <c r="G309" i="3" s="1"/>
  <c r="F351" i="3"/>
  <c r="G351" i="3" s="1"/>
  <c r="F395" i="3"/>
  <c r="G395" i="3" s="1"/>
  <c r="F437" i="3"/>
  <c r="G437" i="3" s="1"/>
  <c r="F479" i="3"/>
  <c r="G479" i="3" s="1"/>
  <c r="F522" i="3"/>
  <c r="G522" i="3" s="1"/>
  <c r="F558" i="3"/>
  <c r="G558" i="3" s="1"/>
  <c r="F595" i="3"/>
  <c r="G595" i="3" s="1"/>
  <c r="F631" i="3"/>
  <c r="G631" i="3" s="1"/>
  <c r="F666" i="3"/>
  <c r="G666" i="3" s="1"/>
  <c r="F484" i="3"/>
  <c r="G484" i="3" s="1"/>
  <c r="F198" i="3"/>
  <c r="G198" i="3" s="1"/>
  <c r="F721" i="3"/>
  <c r="G721" i="3" s="1"/>
  <c r="F690" i="3"/>
  <c r="G690" i="3" s="1"/>
  <c r="F647" i="3"/>
  <c r="G647" i="3" s="1"/>
  <c r="F599" i="3"/>
  <c r="G599" i="3" s="1"/>
  <c r="F549" i="3"/>
  <c r="G549" i="3" s="1"/>
  <c r="F499" i="3"/>
  <c r="G499" i="3" s="1"/>
  <c r="F443" i="3"/>
  <c r="G443" i="3" s="1"/>
  <c r="F383" i="3"/>
  <c r="G383" i="3" s="1"/>
  <c r="F327" i="3"/>
  <c r="G327" i="3" s="1"/>
  <c r="F271" i="3"/>
  <c r="G271" i="3" s="1"/>
  <c r="F213" i="3"/>
  <c r="G213" i="3" s="1"/>
  <c r="F151" i="3"/>
  <c r="G151" i="3" s="1"/>
  <c r="F47" i="3"/>
  <c r="G47" i="3" s="1"/>
  <c r="F720" i="3"/>
  <c r="G720" i="3" s="1"/>
  <c r="F689" i="3"/>
  <c r="G689" i="3" s="1"/>
  <c r="F646" i="3"/>
  <c r="G646" i="3" s="1"/>
  <c r="F598" i="3"/>
  <c r="G598" i="3" s="1"/>
  <c r="F548" i="3"/>
  <c r="G548" i="3" s="1"/>
  <c r="F498" i="3"/>
  <c r="G498" i="3" s="1"/>
  <c r="F442" i="3"/>
  <c r="G442" i="3" s="1"/>
  <c r="F382" i="3"/>
  <c r="G382" i="3" s="1"/>
  <c r="F326" i="3"/>
  <c r="G326" i="3" s="1"/>
  <c r="F270" i="3"/>
  <c r="G270" i="3" s="1"/>
  <c r="F212" i="3"/>
  <c r="G212" i="3" s="1"/>
  <c r="F150" i="3"/>
  <c r="G150" i="3" s="1"/>
  <c r="F46" i="3"/>
  <c r="G46" i="3" s="1"/>
  <c r="F9" i="3"/>
  <c r="G9" i="3" s="1"/>
  <c r="F17" i="3"/>
  <c r="G17" i="3" s="1"/>
  <c r="F25" i="3"/>
  <c r="G25" i="3" s="1"/>
  <c r="F33" i="3"/>
  <c r="G33" i="3" s="1"/>
  <c r="F41" i="3"/>
  <c r="G41" i="3" s="1"/>
  <c r="F49" i="3"/>
  <c r="G49" i="3" s="1"/>
  <c r="F57" i="3"/>
  <c r="G57" i="3" s="1"/>
  <c r="F65" i="3"/>
  <c r="G65" i="3" s="1"/>
  <c r="F73" i="3"/>
  <c r="G73" i="3" s="1"/>
  <c r="F81" i="3"/>
  <c r="G81" i="3" s="1"/>
  <c r="F89" i="3"/>
  <c r="G89" i="3" s="1"/>
  <c r="F97" i="3"/>
  <c r="G97" i="3" s="1"/>
  <c r="F105" i="3"/>
  <c r="G105" i="3" s="1"/>
  <c r="F113" i="3"/>
  <c r="G113" i="3" s="1"/>
  <c r="F121" i="3"/>
  <c r="G121" i="3" s="1"/>
  <c r="F129" i="3"/>
  <c r="G129" i="3" s="1"/>
  <c r="F10" i="3"/>
  <c r="G10" i="3" s="1"/>
  <c r="F18" i="3"/>
  <c r="G18" i="3" s="1"/>
  <c r="F26" i="3"/>
  <c r="G26" i="3" s="1"/>
  <c r="F34" i="3"/>
  <c r="G34" i="3" s="1"/>
  <c r="F42" i="3"/>
  <c r="G42" i="3" s="1"/>
  <c r="F50" i="3"/>
  <c r="G50" i="3" s="1"/>
  <c r="F58" i="3"/>
  <c r="G58" i="3" s="1"/>
  <c r="F66" i="3"/>
  <c r="G66" i="3" s="1"/>
  <c r="F74" i="3"/>
  <c r="G74" i="3" s="1"/>
  <c r="F82" i="3"/>
  <c r="G82" i="3" s="1"/>
  <c r="F90" i="3"/>
  <c r="G90" i="3" s="1"/>
  <c r="F98" i="3"/>
  <c r="G98" i="3" s="1"/>
  <c r="F106" i="3"/>
  <c r="G106" i="3" s="1"/>
  <c r="F114" i="3"/>
  <c r="G114" i="3" s="1"/>
  <c r="F122" i="3"/>
  <c r="G122" i="3" s="1"/>
  <c r="F130" i="3"/>
  <c r="G130" i="3" s="1"/>
  <c r="F3" i="3"/>
  <c r="G3" i="3" s="1"/>
  <c r="F11" i="3"/>
  <c r="G11" i="3" s="1"/>
  <c r="F19" i="3"/>
  <c r="G19" i="3" s="1"/>
  <c r="F27" i="3"/>
  <c r="G27" i="3" s="1"/>
  <c r="F35" i="3"/>
  <c r="G35" i="3" s="1"/>
  <c r="F43" i="3"/>
  <c r="G43" i="3" s="1"/>
  <c r="F51" i="3"/>
  <c r="G51" i="3" s="1"/>
  <c r="F59" i="3"/>
  <c r="G59" i="3" s="1"/>
  <c r="F67" i="3"/>
  <c r="G67" i="3" s="1"/>
  <c r="F75" i="3"/>
  <c r="G75" i="3" s="1"/>
  <c r="F83" i="3"/>
  <c r="G83" i="3" s="1"/>
  <c r="F91" i="3"/>
  <c r="G91" i="3" s="1"/>
  <c r="F99" i="3"/>
  <c r="G99" i="3" s="1"/>
  <c r="F107" i="3"/>
  <c r="G107" i="3" s="1"/>
  <c r="F115" i="3"/>
  <c r="G115" i="3" s="1"/>
  <c r="F123" i="3"/>
  <c r="G123" i="3" s="1"/>
  <c r="F131" i="3"/>
  <c r="G131" i="3" s="1"/>
  <c r="F139" i="3"/>
  <c r="G139" i="3" s="1"/>
  <c r="F147" i="3"/>
  <c r="G147" i="3" s="1"/>
  <c r="F4" i="3"/>
  <c r="G4" i="3" s="1"/>
  <c r="F12" i="3"/>
  <c r="G12" i="3" s="1"/>
  <c r="F20" i="3"/>
  <c r="G20" i="3" s="1"/>
  <c r="F28" i="3"/>
  <c r="G28" i="3" s="1"/>
  <c r="F36" i="3"/>
  <c r="G36" i="3" s="1"/>
  <c r="F44" i="3"/>
  <c r="G44" i="3" s="1"/>
  <c r="F52" i="3"/>
  <c r="G52" i="3" s="1"/>
  <c r="F60" i="3"/>
  <c r="G60" i="3" s="1"/>
  <c r="F68" i="3"/>
  <c r="G68" i="3" s="1"/>
  <c r="F76" i="3"/>
  <c r="G76" i="3" s="1"/>
  <c r="F84" i="3"/>
  <c r="G84" i="3" s="1"/>
  <c r="F92" i="3"/>
  <c r="G92" i="3" s="1"/>
  <c r="F100" i="3"/>
  <c r="G100" i="3" s="1"/>
  <c r="F108" i="3"/>
  <c r="G108" i="3" s="1"/>
  <c r="F116" i="3"/>
  <c r="G116" i="3" s="1"/>
  <c r="F124" i="3"/>
  <c r="G124" i="3" s="1"/>
  <c r="F132" i="3"/>
  <c r="G132" i="3" s="1"/>
  <c r="F140" i="3"/>
  <c r="G140" i="3" s="1"/>
  <c r="F148" i="3"/>
  <c r="G148" i="3" s="1"/>
  <c r="F156" i="3"/>
  <c r="G156" i="3" s="1"/>
  <c r="F164" i="3"/>
  <c r="G164" i="3" s="1"/>
  <c r="F172" i="3"/>
  <c r="G172" i="3" s="1"/>
  <c r="F180" i="3"/>
  <c r="G180" i="3" s="1"/>
  <c r="F188" i="3"/>
  <c r="G188" i="3" s="1"/>
  <c r="F196" i="3"/>
  <c r="G196" i="3" s="1"/>
  <c r="F6" i="3"/>
  <c r="G6" i="3" s="1"/>
  <c r="F22" i="3"/>
  <c r="G22" i="3" s="1"/>
  <c r="F38" i="3"/>
  <c r="G38" i="3" s="1"/>
  <c r="F54" i="3"/>
  <c r="G54" i="3" s="1"/>
  <c r="F70" i="3"/>
  <c r="G70" i="3" s="1"/>
  <c r="F86" i="3"/>
  <c r="G86" i="3" s="1"/>
  <c r="F102" i="3"/>
  <c r="G102" i="3" s="1"/>
  <c r="F118" i="3"/>
  <c r="G118" i="3" s="1"/>
  <c r="F134" i="3"/>
  <c r="G134" i="3" s="1"/>
  <c r="F144" i="3"/>
  <c r="G144" i="3" s="1"/>
  <c r="F154" i="3"/>
  <c r="G154" i="3" s="1"/>
  <c r="F163" i="3"/>
  <c r="G163" i="3" s="1"/>
  <c r="F173" i="3"/>
  <c r="G173" i="3" s="1"/>
  <c r="F182" i="3"/>
  <c r="G182" i="3" s="1"/>
  <c r="F191" i="3"/>
  <c r="G191" i="3" s="1"/>
  <c r="F200" i="3"/>
  <c r="G200" i="3" s="1"/>
  <c r="F208" i="3"/>
  <c r="G208" i="3" s="1"/>
  <c r="F216" i="3"/>
  <c r="G216" i="3" s="1"/>
  <c r="F224" i="3"/>
  <c r="G224" i="3" s="1"/>
  <c r="F232" i="3"/>
  <c r="G232" i="3" s="1"/>
  <c r="F240" i="3"/>
  <c r="G240" i="3" s="1"/>
  <c r="F248" i="3"/>
  <c r="G248" i="3" s="1"/>
  <c r="F256" i="3"/>
  <c r="G256" i="3" s="1"/>
  <c r="F264" i="3"/>
  <c r="G264" i="3" s="1"/>
  <c r="F272" i="3"/>
  <c r="G272" i="3" s="1"/>
  <c r="F280" i="3"/>
  <c r="G280" i="3" s="1"/>
  <c r="F288" i="3"/>
  <c r="G288" i="3" s="1"/>
  <c r="F296" i="3"/>
  <c r="G296" i="3" s="1"/>
  <c r="F304" i="3"/>
  <c r="G304" i="3" s="1"/>
  <c r="F312" i="3"/>
  <c r="G312" i="3" s="1"/>
  <c r="F320" i="3"/>
  <c r="G320" i="3" s="1"/>
  <c r="F328" i="3"/>
  <c r="G328" i="3" s="1"/>
  <c r="F336" i="3"/>
  <c r="G336" i="3" s="1"/>
  <c r="F344" i="3"/>
  <c r="G344" i="3" s="1"/>
  <c r="F352" i="3"/>
  <c r="G352" i="3" s="1"/>
  <c r="F360" i="3"/>
  <c r="G360" i="3" s="1"/>
  <c r="F368" i="3"/>
  <c r="G368" i="3" s="1"/>
  <c r="F376" i="3"/>
  <c r="G376" i="3" s="1"/>
  <c r="F384" i="3"/>
  <c r="G384" i="3" s="1"/>
  <c r="F392" i="3"/>
  <c r="G392" i="3" s="1"/>
  <c r="F400" i="3"/>
  <c r="G400" i="3" s="1"/>
  <c r="F408" i="3"/>
  <c r="G408" i="3" s="1"/>
  <c r="F416" i="3"/>
  <c r="G416" i="3" s="1"/>
  <c r="F424" i="3"/>
  <c r="G424" i="3" s="1"/>
  <c r="F432" i="3"/>
  <c r="G432" i="3" s="1"/>
  <c r="F440" i="3"/>
  <c r="G440" i="3" s="1"/>
  <c r="F448" i="3"/>
  <c r="G448" i="3" s="1"/>
  <c r="F456" i="3"/>
  <c r="G456" i="3" s="1"/>
  <c r="F464" i="3"/>
  <c r="G464" i="3" s="1"/>
  <c r="F472" i="3"/>
  <c r="G472" i="3" s="1"/>
  <c r="F480" i="3"/>
  <c r="G480" i="3" s="1"/>
  <c r="F488" i="3"/>
  <c r="G488" i="3" s="1"/>
  <c r="F496" i="3"/>
  <c r="G496" i="3" s="1"/>
  <c r="F504" i="3"/>
  <c r="G504" i="3" s="1"/>
  <c r="F512" i="3"/>
  <c r="G512" i="3" s="1"/>
  <c r="F7" i="3"/>
  <c r="G7" i="3" s="1"/>
  <c r="F23" i="3"/>
  <c r="G23" i="3" s="1"/>
  <c r="F39" i="3"/>
  <c r="G39" i="3" s="1"/>
  <c r="F55" i="3"/>
  <c r="G55" i="3" s="1"/>
  <c r="F71" i="3"/>
  <c r="G71" i="3" s="1"/>
  <c r="F87" i="3"/>
  <c r="G87" i="3" s="1"/>
  <c r="F103" i="3"/>
  <c r="G103" i="3" s="1"/>
  <c r="F119" i="3"/>
  <c r="G119" i="3" s="1"/>
  <c r="F135" i="3"/>
  <c r="G135" i="3" s="1"/>
  <c r="F145" i="3"/>
  <c r="G145" i="3" s="1"/>
  <c r="F155" i="3"/>
  <c r="G155" i="3" s="1"/>
  <c r="F165" i="3"/>
  <c r="G165" i="3" s="1"/>
  <c r="F174" i="3"/>
  <c r="G174" i="3" s="1"/>
  <c r="F183" i="3"/>
  <c r="G183" i="3" s="1"/>
  <c r="F192" i="3"/>
  <c r="G192" i="3" s="1"/>
  <c r="F201" i="3"/>
  <c r="G201" i="3" s="1"/>
  <c r="F209" i="3"/>
  <c r="G209" i="3" s="1"/>
  <c r="F217" i="3"/>
  <c r="G217" i="3" s="1"/>
  <c r="F225" i="3"/>
  <c r="G225" i="3" s="1"/>
  <c r="F233" i="3"/>
  <c r="G233" i="3" s="1"/>
  <c r="F241" i="3"/>
  <c r="G241" i="3" s="1"/>
  <c r="F249" i="3"/>
  <c r="G249" i="3" s="1"/>
  <c r="F257" i="3"/>
  <c r="G257" i="3" s="1"/>
  <c r="F265" i="3"/>
  <c r="G265" i="3" s="1"/>
  <c r="F273" i="3"/>
  <c r="G273" i="3" s="1"/>
  <c r="F281" i="3"/>
  <c r="G281" i="3" s="1"/>
  <c r="F289" i="3"/>
  <c r="G289" i="3" s="1"/>
  <c r="F297" i="3"/>
  <c r="G297" i="3" s="1"/>
  <c r="F305" i="3"/>
  <c r="G305" i="3" s="1"/>
  <c r="F313" i="3"/>
  <c r="G313" i="3" s="1"/>
  <c r="F321" i="3"/>
  <c r="G321" i="3" s="1"/>
  <c r="F329" i="3"/>
  <c r="G329" i="3" s="1"/>
  <c r="F337" i="3"/>
  <c r="G337" i="3" s="1"/>
  <c r="F345" i="3"/>
  <c r="G345" i="3" s="1"/>
  <c r="F353" i="3"/>
  <c r="G353" i="3" s="1"/>
  <c r="F361" i="3"/>
  <c r="G361" i="3" s="1"/>
  <c r="F369" i="3"/>
  <c r="G369" i="3" s="1"/>
  <c r="F377" i="3"/>
  <c r="G377" i="3" s="1"/>
  <c r="F385" i="3"/>
  <c r="G385" i="3" s="1"/>
  <c r="F393" i="3"/>
  <c r="G393" i="3" s="1"/>
  <c r="F401" i="3"/>
  <c r="G401" i="3" s="1"/>
  <c r="F409" i="3"/>
  <c r="G409" i="3" s="1"/>
  <c r="F417" i="3"/>
  <c r="G417" i="3" s="1"/>
  <c r="F425" i="3"/>
  <c r="G425" i="3" s="1"/>
  <c r="F433" i="3"/>
  <c r="G433" i="3" s="1"/>
  <c r="F441" i="3"/>
  <c r="G441" i="3" s="1"/>
  <c r="F449" i="3"/>
  <c r="G449" i="3" s="1"/>
  <c r="F457" i="3"/>
  <c r="G457" i="3" s="1"/>
  <c r="F465" i="3"/>
  <c r="G465" i="3" s="1"/>
  <c r="F473" i="3"/>
  <c r="G473" i="3" s="1"/>
  <c r="F481" i="3"/>
  <c r="G481" i="3" s="1"/>
  <c r="F489" i="3"/>
  <c r="G489" i="3" s="1"/>
  <c r="F497" i="3"/>
  <c r="G497" i="3" s="1"/>
  <c r="F505" i="3"/>
  <c r="G505" i="3" s="1"/>
  <c r="F513" i="3"/>
  <c r="G513" i="3" s="1"/>
  <c r="F521" i="3"/>
  <c r="G521" i="3" s="1"/>
  <c r="F529" i="3"/>
  <c r="G529" i="3" s="1"/>
  <c r="F537" i="3"/>
  <c r="G537" i="3" s="1"/>
  <c r="F545" i="3"/>
  <c r="G545" i="3" s="1"/>
  <c r="F553" i="3"/>
  <c r="G553" i="3" s="1"/>
  <c r="F561" i="3"/>
  <c r="G561" i="3" s="1"/>
  <c r="F569" i="3"/>
  <c r="G569" i="3" s="1"/>
  <c r="F577" i="3"/>
  <c r="G577" i="3" s="1"/>
  <c r="F585" i="3"/>
  <c r="G585" i="3" s="1"/>
  <c r="F593" i="3"/>
  <c r="G593" i="3" s="1"/>
  <c r="F601" i="3"/>
  <c r="G601" i="3" s="1"/>
  <c r="F609" i="3"/>
  <c r="G609" i="3" s="1"/>
  <c r="F617" i="3"/>
  <c r="G617" i="3" s="1"/>
  <c r="F625" i="3"/>
  <c r="G625" i="3" s="1"/>
  <c r="F633" i="3"/>
  <c r="G633" i="3" s="1"/>
  <c r="F641" i="3"/>
  <c r="G641" i="3" s="1"/>
  <c r="F649" i="3"/>
  <c r="G649" i="3" s="1"/>
  <c r="F732" i="3"/>
  <c r="G732" i="3" s="1"/>
  <c r="F724" i="3"/>
  <c r="G724" i="3" s="1"/>
  <c r="F716" i="3"/>
  <c r="G716" i="3" s="1"/>
  <c r="F708" i="3"/>
  <c r="G708" i="3" s="1"/>
  <c r="F700" i="3"/>
  <c r="G700" i="3" s="1"/>
  <c r="F692" i="3"/>
  <c r="G692" i="3" s="1"/>
  <c r="F684" i="3"/>
  <c r="G684" i="3" s="1"/>
  <c r="F676" i="3"/>
  <c r="G676" i="3" s="1"/>
  <c r="F668" i="3"/>
  <c r="G668" i="3" s="1"/>
  <c r="F660" i="3"/>
  <c r="G660" i="3" s="1"/>
  <c r="F652" i="3"/>
  <c r="G652" i="3" s="1"/>
  <c r="F643" i="3"/>
  <c r="G643" i="3" s="1"/>
  <c r="F634" i="3"/>
  <c r="G634" i="3" s="1"/>
  <c r="F624" i="3"/>
  <c r="G624" i="3" s="1"/>
  <c r="F615" i="3"/>
  <c r="G615" i="3" s="1"/>
  <c r="F606" i="3"/>
  <c r="G606" i="3" s="1"/>
  <c r="F597" i="3"/>
  <c r="G597" i="3" s="1"/>
  <c r="F588" i="3"/>
  <c r="G588" i="3" s="1"/>
  <c r="F579" i="3"/>
  <c r="G579" i="3" s="1"/>
  <c r="F570" i="3"/>
  <c r="G570" i="3" s="1"/>
  <c r="F560" i="3"/>
  <c r="G560" i="3" s="1"/>
  <c r="F551" i="3"/>
  <c r="G551" i="3" s="1"/>
  <c r="F542" i="3"/>
  <c r="G542" i="3" s="1"/>
  <c r="F533" i="3"/>
  <c r="G533" i="3" s="1"/>
  <c r="F524" i="3"/>
  <c r="G524" i="3" s="1"/>
  <c r="F515" i="3"/>
  <c r="G515" i="3" s="1"/>
  <c r="F503" i="3"/>
  <c r="G503" i="3" s="1"/>
  <c r="F493" i="3"/>
  <c r="G493" i="3" s="1"/>
  <c r="F483" i="3"/>
  <c r="G483" i="3" s="1"/>
  <c r="F471" i="3"/>
  <c r="G471" i="3" s="1"/>
  <c r="F461" i="3"/>
  <c r="G461" i="3" s="1"/>
  <c r="F451" i="3"/>
  <c r="G451" i="3" s="1"/>
  <c r="F439" i="3"/>
  <c r="G439" i="3" s="1"/>
  <c r="F429" i="3"/>
  <c r="G429" i="3" s="1"/>
  <c r="F419" i="3"/>
  <c r="G419" i="3" s="1"/>
  <c r="F407" i="3"/>
  <c r="G407" i="3" s="1"/>
  <c r="F397" i="3"/>
  <c r="G397" i="3" s="1"/>
  <c r="F387" i="3"/>
  <c r="G387" i="3" s="1"/>
  <c r="F375" i="3"/>
  <c r="G375" i="3" s="1"/>
  <c r="F365" i="3"/>
  <c r="G365" i="3" s="1"/>
  <c r="F355" i="3"/>
  <c r="G355" i="3" s="1"/>
  <c r="F343" i="3"/>
  <c r="G343" i="3" s="1"/>
  <c r="F333" i="3"/>
  <c r="G333" i="3" s="1"/>
  <c r="F323" i="3"/>
  <c r="G323" i="3" s="1"/>
  <c r="F311" i="3"/>
  <c r="G311" i="3" s="1"/>
  <c r="F301" i="3"/>
  <c r="G301" i="3" s="1"/>
  <c r="F291" i="3"/>
  <c r="G291" i="3" s="1"/>
  <c r="F279" i="3"/>
  <c r="G279" i="3" s="1"/>
  <c r="F269" i="3"/>
  <c r="G269" i="3" s="1"/>
  <c r="F259" i="3"/>
  <c r="G259" i="3" s="1"/>
  <c r="F247" i="3"/>
  <c r="G247" i="3" s="1"/>
  <c r="F237" i="3"/>
  <c r="G237" i="3" s="1"/>
  <c r="F227" i="3"/>
  <c r="G227" i="3" s="1"/>
  <c r="F215" i="3"/>
  <c r="G215" i="3" s="1"/>
  <c r="F205" i="3"/>
  <c r="G205" i="3" s="1"/>
  <c r="F194" i="3"/>
  <c r="G194" i="3" s="1"/>
  <c r="F181" i="3"/>
  <c r="G181" i="3" s="1"/>
  <c r="F169" i="3"/>
  <c r="G169" i="3" s="1"/>
  <c r="F158" i="3"/>
  <c r="G158" i="3" s="1"/>
  <c r="F143" i="3"/>
  <c r="G143" i="3" s="1"/>
  <c r="F127" i="3"/>
  <c r="G127" i="3" s="1"/>
  <c r="F109" i="3"/>
  <c r="G109" i="3" s="1"/>
  <c r="F85" i="3"/>
  <c r="G85" i="3" s="1"/>
  <c r="F63" i="3"/>
  <c r="G63" i="3" s="1"/>
  <c r="F45" i="3"/>
  <c r="G45" i="3" s="1"/>
  <c r="F21" i="3"/>
  <c r="G21" i="3" s="1"/>
  <c r="F731" i="3"/>
  <c r="G731" i="3" s="1"/>
  <c r="F723" i="3"/>
  <c r="G723" i="3" s="1"/>
  <c r="F715" i="3"/>
  <c r="G715" i="3" s="1"/>
  <c r="F707" i="3"/>
  <c r="G707" i="3" s="1"/>
  <c r="F699" i="3"/>
  <c r="G699" i="3" s="1"/>
  <c r="F691" i="3"/>
  <c r="G691" i="3" s="1"/>
  <c r="F683" i="3"/>
  <c r="G683" i="3" s="1"/>
  <c r="F675" i="3"/>
  <c r="G675" i="3" s="1"/>
  <c r="F667" i="3"/>
  <c r="G667" i="3" s="1"/>
  <c r="F659" i="3"/>
  <c r="G659" i="3" s="1"/>
  <c r="F651" i="3"/>
  <c r="G651" i="3" s="1"/>
  <c r="F642" i="3"/>
  <c r="G642" i="3" s="1"/>
  <c r="F632" i="3"/>
  <c r="G632" i="3" s="1"/>
  <c r="F623" i="3"/>
  <c r="G623" i="3" s="1"/>
  <c r="F614" i="3"/>
  <c r="G614" i="3" s="1"/>
  <c r="F605" i="3"/>
  <c r="G605" i="3" s="1"/>
  <c r="F596" i="3"/>
  <c r="G596" i="3" s="1"/>
  <c r="F587" i="3"/>
  <c r="G587" i="3" s="1"/>
  <c r="F578" i="3"/>
  <c r="G578" i="3" s="1"/>
  <c r="F568" i="3"/>
  <c r="G568" i="3" s="1"/>
  <c r="F559" i="3"/>
  <c r="G559" i="3" s="1"/>
  <c r="F550" i="3"/>
  <c r="G550" i="3" s="1"/>
  <c r="F541" i="3"/>
  <c r="G541" i="3" s="1"/>
  <c r="F532" i="3"/>
  <c r="G532" i="3" s="1"/>
  <c r="F523" i="3"/>
  <c r="G523" i="3" s="1"/>
  <c r="F514" i="3"/>
  <c r="G514" i="3" s="1"/>
  <c r="F502" i="3"/>
  <c r="G502" i="3" s="1"/>
  <c r="F492" i="3"/>
  <c r="G492" i="3" s="1"/>
  <c r="F482" i="3"/>
  <c r="G482" i="3" s="1"/>
  <c r="F470" i="3"/>
  <c r="G470" i="3" s="1"/>
  <c r="F460" i="3"/>
  <c r="G460" i="3" s="1"/>
  <c r="F450" i="3"/>
  <c r="G450" i="3" s="1"/>
  <c r="F438" i="3"/>
  <c r="G438" i="3" s="1"/>
  <c r="F428" i="3"/>
  <c r="G428" i="3" s="1"/>
  <c r="F418" i="3"/>
  <c r="G418" i="3" s="1"/>
  <c r="F406" i="3"/>
  <c r="G406" i="3" s="1"/>
  <c r="F396" i="3"/>
  <c r="G396" i="3" s="1"/>
  <c r="F386" i="3"/>
  <c r="G386" i="3" s="1"/>
  <c r="F374" i="3"/>
  <c r="G374" i="3" s="1"/>
  <c r="F364" i="3"/>
  <c r="G364" i="3" s="1"/>
  <c r="F354" i="3"/>
  <c r="G354" i="3" s="1"/>
  <c r="F342" i="3"/>
  <c r="G342" i="3" s="1"/>
  <c r="F332" i="3"/>
  <c r="G332" i="3" s="1"/>
  <c r="F322" i="3"/>
  <c r="G322" i="3" s="1"/>
  <c r="F310" i="3"/>
  <c r="G310" i="3" s="1"/>
  <c r="F300" i="3"/>
  <c r="G300" i="3" s="1"/>
  <c r="F290" i="3"/>
  <c r="G290" i="3" s="1"/>
  <c r="F278" i="3"/>
  <c r="G278" i="3" s="1"/>
  <c r="F268" i="3"/>
  <c r="G268" i="3" s="1"/>
  <c r="F258" i="3"/>
  <c r="G258" i="3" s="1"/>
  <c r="F246" i="3"/>
  <c r="G246" i="3" s="1"/>
  <c r="F236" i="3"/>
  <c r="G236" i="3" s="1"/>
  <c r="F226" i="3"/>
  <c r="G226" i="3" s="1"/>
  <c r="F214" i="3"/>
  <c r="G214" i="3" s="1"/>
  <c r="F204" i="3"/>
  <c r="G204" i="3" s="1"/>
  <c r="F193" i="3"/>
  <c r="G193" i="3" s="1"/>
  <c r="F179" i="3"/>
  <c r="G179" i="3" s="1"/>
  <c r="F168" i="3"/>
  <c r="G168" i="3" s="1"/>
  <c r="F157" i="3"/>
  <c r="G157" i="3" s="1"/>
  <c r="F142" i="3"/>
  <c r="G142" i="3" s="1"/>
  <c r="F126" i="3"/>
  <c r="G126" i="3" s="1"/>
  <c r="F104" i="3"/>
  <c r="G104" i="3" s="1"/>
  <c r="F80" i="3"/>
  <c r="G80" i="3" s="1"/>
  <c r="F62" i="3"/>
  <c r="G62" i="3" s="1"/>
  <c r="F40" i="3"/>
  <c r="G40" i="3" s="1"/>
  <c r="F16" i="3"/>
  <c r="G16" i="3" s="1"/>
</calcChain>
</file>

<file path=xl/comments1.xml><?xml version="1.0" encoding="utf-8"?>
<comments xmlns="http://schemas.openxmlformats.org/spreadsheetml/2006/main">
  <authors>
    <author>ASUS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tFormatSetting=0###_x000D_
tFormatExcel=1###_x000D_
tRankingField=###_x000D_
tSearchString=2|||0|||waprcd1|||CLOSE,|||DAY###_x000D_
tFieldType=System.String|||System.String|||System.Double|||###_x000D_
tFieldName=證券代碼|||年月日|||收盤價(元)|||###_x000D_
tFieldUOM=-###_x000D_
tLockIDDateCell=###_x000D_
tDescending=N###_x000D_
tLastestDate=N###_x000D_
tActualDate=N###_x000D_
tAdvancedDateOptions=N###_x000D_
tLastestDataInEachField=N###_x000D_
tAdvancedFilter=###_x000D_
tIDCompanyView=###_x000D_
tFunction=###_x000D_
tMacroName=###_x000D_
tUOM=-###_x000D_
tTableLanguage=TCHINESE###_x000D_
tTableCountry=TW###_x000D_
tDataOnly=N###_x000D_
tFixedCOID=###_x000D_
tFixedDate=###_x000D_
</t>
        </r>
      </text>
    </comment>
  </commentList>
</comments>
</file>

<file path=xl/comments2.xml><?xml version="1.0" encoding="utf-8"?>
<comments xmlns="http://schemas.openxmlformats.org/spreadsheetml/2006/main">
  <authors>
    <author>ASUS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tFormatSetting=8###_x000D_
tFormatExcel=1###_x000D_
tRankingField=###_x000D_
tSearchString=2|||0|||waprcd1|||ROIB,|||DAY###_x000D_
tFieldType=System.String|||System.String|||System.Double|||###_x000D_
tFieldName=證券代碼|||年月日|||報酬率-Ln|||###_x000D_
tFieldUOM=%###_x000D_
tLockIDDateCell=###_x000D_
tDescending=N###_x000D_
tLastestDate=N###_x000D_
tActualDate=N###_x000D_
tAdvancedDateOptions=N###_x000D_
tLastestDataInEachField=N###_x000D_
tAdvancedFilter=###_x000D_
tIDCompanyView=###_x000D_
tFunction=###_x000D_
tMacroName=###_x000D_
tUOM=-###_x000D_
tTableLanguage=TCHINESE###_x000D_
tTableCountry=TW###_x000D_
tDataOnly=N###_x000D_
tFixedCOID=###_x000D_
tFixedDate=###_x000D_
</t>
        </r>
      </text>
    </comment>
  </commentList>
</comments>
</file>

<file path=xl/comments3.xml><?xml version="1.0" encoding="utf-8"?>
<comments xmlns="http://schemas.openxmlformats.org/spreadsheetml/2006/main">
  <authors>
    <author>ASUS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tFormatSetting=8###_x000D_
tFormatExcel=1###_x000D_
tRankingField=###_x000D_
tSearchString=2|||0|||waprcd1|||ROIB,|||DAY###_x000D_
tFieldType=System.String|||System.String|||System.Double|||###_x000D_
tFieldName=證券代碼|||年月日|||報酬率-Ln|||###_x000D_
tFieldUOM=%###_x000D_
tLockIDDateCell=###_x000D_
tDescending=N###_x000D_
tLastestDate=N###_x000D_
tActualDate=N###_x000D_
tAdvancedDateOptions=N###_x000D_
tLastestDataInEachField=N###_x000D_
tAdvancedFilter=###_x000D_
tIDCompanyView=###_x000D_
tFunction=###_x000D_
tMacroName=###_x000D_
tUOM=-###_x000D_
tTableLanguage=TCHINESE###_x000D_
tTableCountry=TW###_x000D_
tDataOnly=N###_x000D_
tFixedCOID=###_x000D_
tFixedDate=###_x000D_
</t>
        </r>
      </text>
    </comment>
  </commentList>
</comments>
</file>

<file path=xl/sharedStrings.xml><?xml version="1.0" encoding="utf-8"?>
<sst xmlns="http://schemas.openxmlformats.org/spreadsheetml/2006/main" count="2000" uniqueCount="33">
  <si>
    <t>證券代碼</t>
  </si>
  <si>
    <t>年月日</t>
  </si>
  <si>
    <t>收盤價(元)</t>
  </si>
  <si>
    <t>3030 德律</t>
  </si>
  <si>
    <t>c2</t>
    <phoneticPr fontId="1" type="noConversion"/>
  </si>
  <si>
    <t>c245</t>
    <phoneticPr fontId="1" type="noConversion"/>
  </si>
  <si>
    <t>平均收盤價</t>
    <phoneticPr fontId="1" type="noConversion"/>
  </si>
  <si>
    <t>多空方向</t>
    <phoneticPr fontId="1" type="noConversion"/>
  </si>
  <si>
    <t>多方</t>
  </si>
  <si>
    <t>空方</t>
  </si>
  <si>
    <t>報酬率-Ln</t>
  </si>
  <si>
    <t>股利宣告日</t>
    <phoneticPr fontId="1" type="noConversion"/>
  </si>
  <si>
    <t>α</t>
  </si>
  <si>
    <t>β</t>
    <phoneticPr fontId="1" type="noConversion"/>
  </si>
  <si>
    <t>異常報酬</t>
  </si>
  <si>
    <t>累積異常報酬</t>
    <phoneticPr fontId="1" type="noConversion"/>
  </si>
  <si>
    <t>平均報酬率</t>
    <phoneticPr fontId="1" type="noConversion"/>
  </si>
  <si>
    <t>標準差</t>
    <phoneticPr fontId="1" type="noConversion"/>
  </si>
  <si>
    <t>相關係數</t>
    <phoneticPr fontId="1" type="noConversion"/>
  </si>
  <si>
    <t>共便矩陣</t>
    <phoneticPr fontId="1" type="noConversion"/>
  </si>
  <si>
    <t>2330 台積電</t>
  </si>
  <si>
    <t>Data Field</t>
  </si>
  <si>
    <t>Rm-Rf</t>
    <phoneticPr fontId="1" type="noConversion"/>
  </si>
  <si>
    <t xml:space="preserve">β </t>
  </si>
  <si>
    <t>Rf</t>
    <phoneticPr fontId="1" type="noConversion"/>
  </si>
  <si>
    <t>B2</t>
    <phoneticPr fontId="1" type="noConversion"/>
  </si>
  <si>
    <t>B737</t>
    <phoneticPr fontId="1" type="noConversion"/>
  </si>
  <si>
    <t>E(Ri)</t>
    <phoneticPr fontId="1" type="noConversion"/>
  </si>
  <si>
    <t>AR</t>
    <phoneticPr fontId="1" type="noConversion"/>
  </si>
  <si>
    <t>Y9999 加權指數</t>
  </si>
  <si>
    <t>CAR</t>
    <phoneticPr fontId="1" type="noConversion"/>
  </si>
  <si>
    <t>變異數</t>
    <phoneticPr fontId="1" type="noConversion"/>
  </si>
  <si>
    <t>期望標準差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</si>
</sst>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000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9"/>
      <color indexed="81"/>
      <name val="Tahoma"/>
      <family val="2"/>
    </font>
    <font>
      <sz val="12"/>
      <color rgb="FF00000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  <font>
      <sz val="14"/>
      <color rgb="FF000000"/>
      <name val="Calibri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quotePrefix="1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quotePrefix="1" applyFill="1" applyBorder="1" applyAlignment="1">
      <alignment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2" xfId="0" applyFont="1" applyFill="1" applyBorder="1" applyAlignment="1">
      <alignment horizontal="center" vertical="center"/>
    </xf>
    <xf numFmtId="14" fontId="0" fillId="0" borderId="2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14" fontId="4" fillId="0" borderId="0" xfId="0" applyNumberFormat="1" applyFont="1">
      <alignment vertical="center"/>
    </xf>
    <xf numFmtId="0" fontId="0" fillId="2" borderId="0" xfId="0" quotePrefix="1" applyFill="1" applyBorder="1" applyAlignment="1">
      <alignment vertical="center"/>
    </xf>
    <xf numFmtId="14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>
      <alignment vertical="center"/>
    </xf>
    <xf numFmtId="0" fontId="0" fillId="3" borderId="0" xfId="0" quotePrefix="1" applyFill="1" applyBorder="1" applyAlignment="1">
      <alignment vertical="center"/>
    </xf>
    <xf numFmtId="14" fontId="0" fillId="3" borderId="0" xfId="0" applyNumberForma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 applyFill="1" applyBorder="1" applyAlignment="1">
      <alignment vertical="center"/>
    </xf>
    <xf numFmtId="177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CAR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工作表3!$B$609:$B$629</c:f>
              <c:numCache>
                <c:formatCode>m/d/yyyy</c:formatCode>
                <c:ptCount val="21"/>
                <c:pt idx="0">
                  <c:v>42549</c:v>
                </c:pt>
                <c:pt idx="1">
                  <c:v>42550</c:v>
                </c:pt>
                <c:pt idx="2">
                  <c:v>42551</c:v>
                </c:pt>
                <c:pt idx="3">
                  <c:v>42552</c:v>
                </c:pt>
                <c:pt idx="4">
                  <c:v>42555</c:v>
                </c:pt>
                <c:pt idx="5">
                  <c:v>42556</c:v>
                </c:pt>
                <c:pt idx="6">
                  <c:v>42557</c:v>
                </c:pt>
                <c:pt idx="7">
                  <c:v>42558</c:v>
                </c:pt>
                <c:pt idx="8">
                  <c:v>42562</c:v>
                </c:pt>
                <c:pt idx="9">
                  <c:v>42563</c:v>
                </c:pt>
                <c:pt idx="10">
                  <c:v>42564</c:v>
                </c:pt>
                <c:pt idx="11">
                  <c:v>42565</c:v>
                </c:pt>
                <c:pt idx="12">
                  <c:v>42566</c:v>
                </c:pt>
                <c:pt idx="13">
                  <c:v>42569</c:v>
                </c:pt>
                <c:pt idx="14">
                  <c:v>42570</c:v>
                </c:pt>
                <c:pt idx="15">
                  <c:v>42571</c:v>
                </c:pt>
                <c:pt idx="16">
                  <c:v>42572</c:v>
                </c:pt>
                <c:pt idx="17">
                  <c:v>42573</c:v>
                </c:pt>
                <c:pt idx="18">
                  <c:v>42576</c:v>
                </c:pt>
                <c:pt idx="19">
                  <c:v>42577</c:v>
                </c:pt>
                <c:pt idx="20">
                  <c:v>42578</c:v>
                </c:pt>
              </c:numCache>
            </c:numRef>
          </c:cat>
          <c:val>
            <c:numRef>
              <c:f>工作表3!$H$609:$H$629</c:f>
              <c:numCache>
                <c:formatCode>General</c:formatCode>
                <c:ptCount val="21"/>
                <c:pt idx="0">
                  <c:v>16.763078481823406</c:v>
                </c:pt>
                <c:pt idx="1">
                  <c:v>17.650351821804058</c:v>
                </c:pt>
                <c:pt idx="2">
                  <c:v>17.369725805664331</c:v>
                </c:pt>
                <c:pt idx="3">
                  <c:v>16.924869838941362</c:v>
                </c:pt>
                <c:pt idx="4">
                  <c:v>17.439342038199207</c:v>
                </c:pt>
                <c:pt idx="5">
                  <c:v>17.189063390089096</c:v>
                </c:pt>
                <c:pt idx="6">
                  <c:v>18.37890382968795</c:v>
                </c:pt>
                <c:pt idx="7">
                  <c:v>17.62945665538723</c:v>
                </c:pt>
                <c:pt idx="8">
                  <c:v>16.152150430681601</c:v>
                </c:pt>
                <c:pt idx="9">
                  <c:v>15.957587181188078</c:v>
                </c:pt>
                <c:pt idx="10">
                  <c:v>16.404642353726167</c:v>
                </c:pt>
                <c:pt idx="11">
                  <c:v>15.980472812472867</c:v>
                </c:pt>
                <c:pt idx="12">
                  <c:v>13.819931114542545</c:v>
                </c:pt>
                <c:pt idx="13">
                  <c:v>12.186825230180842</c:v>
                </c:pt>
                <c:pt idx="14">
                  <c:v>12.097731761940572</c:v>
                </c:pt>
                <c:pt idx="15">
                  <c:v>12.764346675034247</c:v>
                </c:pt>
                <c:pt idx="16">
                  <c:v>13.923751850965949</c:v>
                </c:pt>
                <c:pt idx="17">
                  <c:v>14.233926157484056</c:v>
                </c:pt>
                <c:pt idx="18">
                  <c:v>12.612304988845608</c:v>
                </c:pt>
                <c:pt idx="19">
                  <c:v>12.117160247138576</c:v>
                </c:pt>
                <c:pt idx="20">
                  <c:v>12.889218964408197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E3-4729-861E-DC8B3BB39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224640"/>
        <c:axId val="932942304"/>
      </c:lineChart>
      <c:dateAx>
        <c:axId val="910224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32942304"/>
        <c:crosses val="autoZero"/>
        <c:auto val="1"/>
        <c:lblOffset val="100"/>
        <c:baseTimeUnit val="days"/>
      </c:dateAx>
      <c:valAx>
        <c:axId val="93294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102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0</xdr:row>
      <xdr:rowOff>66675</xdr:rowOff>
    </xdr:from>
    <xdr:to>
      <xdr:col>6</xdr:col>
      <xdr:colOff>209551</xdr:colOff>
      <xdr:row>17</xdr:row>
      <xdr:rowOff>104775</xdr:rowOff>
    </xdr:to>
    <xdr:sp macro="" textlink="">
      <xdr:nvSpPr>
        <xdr:cNvPr id="4" name="文字方塊 3"/>
        <xdr:cNvSpPr txBox="1"/>
      </xdr:nvSpPr>
      <xdr:spPr>
        <a:xfrm>
          <a:off x="57151" y="66675"/>
          <a:ext cx="4267200" cy="3600450"/>
        </a:xfrm>
        <a:prstGeom prst="rect">
          <a:avLst/>
        </a:prstGeom>
        <a:solidFill>
          <a:sysClr val="window" lastClr="FFFFFF"/>
        </a:solidFill>
        <a:ln w="2857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題目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一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VBA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基本語法應用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請利用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 Smart Wizard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匯入自己學號後兩碼的股票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例如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B104xxx30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3030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、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B104xxx31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3131)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匯入內容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該檔股票名稱、收盤價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日期期間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2016/01/01 ~ 2016/12/31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共一年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日期頻率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評分方式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基本資料。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2.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利用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Function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計算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N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日平均收盤價。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(10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利用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Sub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判斷多空方向，收盤價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&gt;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均價代表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"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多方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"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，</a:t>
          </a:r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收盤價 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&lt;</a:t>
          </a:r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均價代表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"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空</a:t>
          </a:r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方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"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。</a:t>
          </a:r>
          <a:endParaRPr kumimoji="0" lang="en-US" altLang="zh-TW" sz="14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(IF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判斷式 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10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分，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For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迴圈 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10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分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4.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將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Sub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巨集指派至按鈕。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1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</xdr:txBody>
    </xdr:sp>
    <xdr:clientData/>
  </xdr:twoCellAnchor>
  <xdr:twoCellAnchor>
    <xdr:from>
      <xdr:col>6</xdr:col>
      <xdr:colOff>257175</xdr:colOff>
      <xdr:row>0</xdr:row>
      <xdr:rowOff>76201</xdr:rowOff>
    </xdr:from>
    <xdr:to>
      <xdr:col>12</xdr:col>
      <xdr:colOff>333375</xdr:colOff>
      <xdr:row>17</xdr:row>
      <xdr:rowOff>104775</xdr:rowOff>
    </xdr:to>
    <xdr:sp macro="" textlink="">
      <xdr:nvSpPr>
        <xdr:cNvPr id="6" name="文字方塊 5"/>
        <xdr:cNvSpPr txBox="1"/>
      </xdr:nvSpPr>
      <xdr:spPr>
        <a:xfrm>
          <a:off x="4371975" y="76201"/>
          <a:ext cx="4191000" cy="3590924"/>
        </a:xfrm>
        <a:prstGeom prst="rect">
          <a:avLst/>
        </a:prstGeom>
        <a:solidFill>
          <a:sysClr val="window" lastClr="FFFFFF"/>
        </a:solidFill>
        <a:ln w="2857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題目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二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繪製兩資產投資組合效率前緣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請利用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 Smart Wizard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匯入自己學號後兩碼的股票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例如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B104xxx30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3030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、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B104xxx31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3131)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以及台積電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(2330)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。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匯入內容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該檔股票名稱、報酬率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-LN</a:t>
          </a: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日期期間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2014/01/01 ~ 2016/12/31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共三年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日期頻率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評分方式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基本資料。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2.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計算兩資在不同權重下的風險與報酬。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(20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繪製效率前緣。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</xdr:txBody>
    </xdr:sp>
    <xdr:clientData/>
  </xdr:twoCellAnchor>
  <xdr:twoCellAnchor>
    <xdr:from>
      <xdr:col>12</xdr:col>
      <xdr:colOff>390524</xdr:colOff>
      <xdr:row>0</xdr:row>
      <xdr:rowOff>76202</xdr:rowOff>
    </xdr:from>
    <xdr:to>
      <xdr:col>18</xdr:col>
      <xdr:colOff>600075</xdr:colOff>
      <xdr:row>17</xdr:row>
      <xdr:rowOff>104776</xdr:rowOff>
    </xdr:to>
    <xdr:sp macro="" textlink="">
      <xdr:nvSpPr>
        <xdr:cNvPr id="5" name="文字方塊 4"/>
        <xdr:cNvSpPr txBox="1"/>
      </xdr:nvSpPr>
      <xdr:spPr>
        <a:xfrm>
          <a:off x="8620124" y="76202"/>
          <a:ext cx="4324351" cy="3590924"/>
        </a:xfrm>
        <a:prstGeom prst="rect">
          <a:avLst/>
        </a:prstGeom>
        <a:solidFill>
          <a:sysClr val="window" lastClr="FFFFFF"/>
        </a:solidFill>
        <a:ln w="2857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題目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三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事件研究法 計算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CAR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請利用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 Smart Wizard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匯入自己學號後兩碼的股票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例如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B104xxx30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3030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、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B104xxx31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3131)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匯入內容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該檔股票名稱、報酬率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-LN</a:t>
          </a: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日期期間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2014/01/01 ~ 2016/12/31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共三年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日期頻率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eaLnBrk="1" fontAlgn="auto" latinLnBrk="0" hangingPunct="1"/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事件日期</a:t>
          </a:r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: 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自行上網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Google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該檔股票股利宣告日</a:t>
          </a:r>
          <a:endParaRPr lang="zh-TW" altLang="zh-TW" sz="14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事件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期間 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: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 股利宣告日前後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10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天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評分方式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基本資料。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2.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計算估計式的 </a:t>
          </a:r>
          <a:r>
            <a:rPr kumimoji="0" lang="el-GR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α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、</a:t>
          </a:r>
          <a:r>
            <a:rPr kumimoji="0" lang="el-GR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β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、事件日前後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10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天的異常報酬及累積異常報酬。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(20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3.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繪製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CAR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)</a:t>
          </a: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</xdr:txBody>
    </xdr:sp>
    <xdr:clientData/>
  </xdr:twoCellAnchor>
  <xdr:twoCellAnchor>
    <xdr:from>
      <xdr:col>0</xdr:col>
      <xdr:colOff>57149</xdr:colOff>
      <xdr:row>17</xdr:row>
      <xdr:rowOff>200025</xdr:rowOff>
    </xdr:from>
    <xdr:to>
      <xdr:col>8</xdr:col>
      <xdr:colOff>266700</xdr:colOff>
      <xdr:row>25</xdr:row>
      <xdr:rowOff>47625</xdr:rowOff>
    </xdr:to>
    <xdr:sp macro="" textlink="">
      <xdr:nvSpPr>
        <xdr:cNvPr id="7" name="文字方塊 6"/>
        <xdr:cNvSpPr txBox="1"/>
      </xdr:nvSpPr>
      <xdr:spPr>
        <a:xfrm>
          <a:off x="57149" y="3762375"/>
          <a:ext cx="5695951" cy="1524000"/>
        </a:xfrm>
        <a:prstGeom prst="rect">
          <a:avLst/>
        </a:prstGeom>
        <a:solidFill>
          <a:sysClr val="window" lastClr="FFFFFF"/>
        </a:solidFill>
        <a:ln w="2857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eaLnBrk="1" fontAlgn="auto" latinLnBrk="0" hangingPunct="1"/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☆ 滿分 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100</a:t>
          </a:r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。</a:t>
          </a:r>
          <a:endParaRPr kumimoji="0" lang="en-US" altLang="zh-TW" sz="14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eaLnBrk="1" fontAlgn="auto" latinLnBrk="0" hangingPunct="1"/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☆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 不可參考教材。</a:t>
          </a:r>
          <a:endParaRPr lang="en-US" altLang="zh-TW" sz="1400" b="0" i="0" baseline="0"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☆上傳檔名 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: </a:t>
          </a:r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學號 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+ </a:t>
          </a:r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姓名</a:t>
          </a:r>
          <a:endParaRPr lang="zh-TW" altLang="zh-TW" sz="1400">
            <a:effectLst/>
          </a:endParaRPr>
        </a:p>
        <a:p>
          <a:pPr eaLnBrk="1" fontAlgn="auto" latinLnBrk="0" hangingPunct="1"/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☆上傳副檔名 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: xlsm (</a:t>
          </a:r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否則會看不到程式碼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)</a:t>
          </a:r>
          <a:endParaRPr kumimoji="0" lang="zh-TW" altLang="zh-TW" sz="14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eaLnBrk="1" fontAlgn="auto" latinLnBrk="0" hangingPunct="1"/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☆ 請將答案檔上傳至 網路學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園</a:t>
          </a:r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→ 評量區 → 作業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/</a:t>
          </a:r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報告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。</a:t>
          </a:r>
          <a:endParaRPr kumimoji="0" lang="en-US" altLang="zh-TW" sz="14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eaLnBrk="1" fontAlgn="auto" latinLnBrk="0" hangingPunct="1"/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☆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 請於 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13:00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 前準時上傳，逾期上傳扣 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30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 分。</a:t>
          </a:r>
          <a:endParaRPr kumimoji="0" lang="zh-TW" altLang="zh-TW" sz="14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</xdr:txBody>
    </xdr:sp>
    <xdr:clientData/>
  </xdr:twoCellAnchor>
  <xdr:twoCellAnchor>
    <xdr:from>
      <xdr:col>8</xdr:col>
      <xdr:colOff>333376</xdr:colOff>
      <xdr:row>17</xdr:row>
      <xdr:rowOff>200025</xdr:rowOff>
    </xdr:from>
    <xdr:to>
      <xdr:col>18</xdr:col>
      <xdr:colOff>609600</xdr:colOff>
      <xdr:row>25</xdr:row>
      <xdr:rowOff>47625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文字方塊 8"/>
            <xdr:cNvSpPr txBox="1"/>
          </xdr:nvSpPr>
          <xdr:spPr>
            <a:xfrm>
              <a:off x="5819776" y="3762375"/>
              <a:ext cx="7134224" cy="1524000"/>
            </a:xfrm>
            <a:prstGeom prst="rect">
              <a:avLst/>
            </a:prstGeom>
            <a:solidFill>
              <a:sysClr val="window" lastClr="FFFFFF"/>
            </a:solidFill>
            <a:ln w="28575" cmpd="sng">
              <a:solidFill>
                <a:sysClr val="windowText" lastClr="000000"/>
              </a:solidFill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新細明體" panose="02020500000000000000" pitchFamily="18" charset="-120"/>
                  <a:cs typeface="+mn-cs"/>
                </a:rPr>
                <a:t>參考公式：</a:t>
              </a: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Portfolios  Var  =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x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el-GR" altLang="zh-TW" sz="1400" b="0" i="0"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m:t>σ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zh-TW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x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el-GR" altLang="zh-TW" sz="1400" b="0" i="0"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m:t>σ</m:t>
                      </m:r>
                      <m:r>
                        <a:rPr lang="en-US" altLang="zh-TW" sz="14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+ 2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p/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p/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cov(1,2)</a:t>
              </a: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E(Ri) =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α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+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β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(Rm-Rf)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AR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=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Ri - E(Ri)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zh-TW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文字方塊 8"/>
            <xdr:cNvSpPr txBox="1"/>
          </xdr:nvSpPr>
          <xdr:spPr>
            <a:xfrm>
              <a:off x="5819776" y="3762375"/>
              <a:ext cx="7134224" cy="1524000"/>
            </a:xfrm>
            <a:prstGeom prst="rect">
              <a:avLst/>
            </a:prstGeom>
            <a:solidFill>
              <a:sysClr val="window" lastClr="FFFFFF"/>
            </a:solidFill>
            <a:ln w="28575" cmpd="sng">
              <a:solidFill>
                <a:sysClr val="windowText" lastClr="000000"/>
              </a:solidFill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新細明體" panose="02020500000000000000" pitchFamily="18" charset="-120"/>
                  <a:cs typeface="+mn-cs"/>
                </a:rPr>
                <a:t>參考公式：</a:t>
              </a: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Portfolios  Var  =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〖W1〗^2</a:t>
              </a:r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x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el-GR" altLang="zh-TW" sz="1400" b="0" i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σ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1〗^2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〖W2〗^2</a:t>
              </a:r>
              <a:r>
                <a:rPr lang="zh-TW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x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el-GR" altLang="zh-TW" sz="1400" b="0" i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σ</a:t>
              </a:r>
              <a:r>
                <a:rPr lang="en-US" altLang="zh-TW" sz="14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2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〗^2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+ 2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〖W1〗^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〖W2〗^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cov(1,2)</a:t>
              </a: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E(Ri) =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α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+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β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(Rm-Rf)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AR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=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Ri - E(Ri)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zh-TW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152400</xdr:colOff>
      <xdr:row>1</xdr:row>
      <xdr:rowOff>47625</xdr:rowOff>
    </xdr:from>
    <xdr:to>
      <xdr:col>21</xdr:col>
      <xdr:colOff>304800</xdr:colOff>
      <xdr:row>18</xdr:row>
      <xdr:rowOff>85725</xdr:rowOff>
    </xdr:to>
    <xdr:sp macro="" textlink="">
      <xdr:nvSpPr>
        <xdr:cNvPr id="2" name="文字方塊 1"/>
        <xdr:cNvSpPr txBox="1"/>
      </xdr:nvSpPr>
      <xdr:spPr>
        <a:xfrm>
          <a:off x="10553700" y="257175"/>
          <a:ext cx="4267200" cy="3600450"/>
        </a:xfrm>
        <a:prstGeom prst="rect">
          <a:avLst/>
        </a:prstGeom>
        <a:solidFill>
          <a:sysClr val="window" lastClr="FFFFFF"/>
        </a:solidFill>
        <a:ln w="2857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題目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一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VBA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基本語法應用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請利用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 Smart Wizard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匯入自己學號後兩碼的股票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例如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B104xxx30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3030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、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B104xxx31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3131)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匯入內容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該檔股票名稱、收盤價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日期期間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2016/01/01 ~ 2016/12/31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共一年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日期頻率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評分方式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基本資料。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2.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利用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Function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計算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N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日平均收盤價。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(10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利用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Sub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判斷多空方向，收盤價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&gt;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均價代表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"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多方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"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，</a:t>
          </a:r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收盤價 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&lt;</a:t>
          </a:r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均價代表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"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空</a:t>
          </a:r>
          <a:r>
            <a:rPr kumimoji="0" lang="zh-TW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方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"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。</a:t>
          </a:r>
          <a:endParaRPr kumimoji="0" lang="en-US" altLang="zh-TW" sz="1400" b="0" i="0" u="none" strike="noStrike" kern="0" cap="none" spc="0" normalizeH="0" baseline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(IF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判斷式 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10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分，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For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迴圈 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10</a:t>
          </a:r>
          <a:r>
            <a:rPr kumimoji="0" lang="zh-TW" altLang="en-US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分</a:t>
          </a:r>
          <a:r>
            <a:rPr kumimoji="0" lang="en-US" altLang="zh-TW" sz="14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4.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將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Sub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巨集指派至按鈕。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1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</xdr:txBody>
    </xdr:sp>
    <xdr:clientData/>
  </xdr:twoCellAnchor>
  <xdr:twoCellAnchor>
    <xdr:from>
      <xdr:col>4</xdr:col>
      <xdr:colOff>466725</xdr:colOff>
      <xdr:row>1</xdr:row>
      <xdr:rowOff>9525</xdr:rowOff>
    </xdr:from>
    <xdr:to>
      <xdr:col>5</xdr:col>
      <xdr:colOff>619125</xdr:colOff>
      <xdr:row>2</xdr:row>
      <xdr:rowOff>28575</xdr:rowOff>
    </xdr:to>
    <xdr:sp macro="[0]!a" textlink="">
      <xdr:nvSpPr>
        <xdr:cNvPr id="3" name="矩形 2"/>
        <xdr:cNvSpPr/>
      </xdr:nvSpPr>
      <xdr:spPr>
        <a:xfrm>
          <a:off x="3619500" y="219075"/>
          <a:ext cx="838200" cy="228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1100"/>
            <a:t>button</a:t>
          </a:r>
        </a:p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476250</xdr:colOff>
      <xdr:row>3</xdr:row>
      <xdr:rowOff>28575</xdr:rowOff>
    </xdr:from>
    <xdr:to>
      <xdr:col>5</xdr:col>
      <xdr:colOff>600075</xdr:colOff>
      <xdr:row>4</xdr:row>
      <xdr:rowOff>38100</xdr:rowOff>
    </xdr:to>
    <xdr:sp macro="[0]!cancel" textlink="">
      <xdr:nvSpPr>
        <xdr:cNvPr id="4" name="矩形 3"/>
        <xdr:cNvSpPr/>
      </xdr:nvSpPr>
      <xdr:spPr>
        <a:xfrm>
          <a:off x="3629025" y="657225"/>
          <a:ext cx="8096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1100"/>
            <a:t>cancel</a:t>
          </a:r>
        </a:p>
        <a:p>
          <a:pPr algn="l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23</xdr:col>
      <xdr:colOff>76200</xdr:colOff>
      <xdr:row>18</xdr:row>
      <xdr:rowOff>28574</xdr:rowOff>
    </xdr:to>
    <xdr:sp macro="" textlink="">
      <xdr:nvSpPr>
        <xdr:cNvPr id="2" name="文字方塊 1"/>
        <xdr:cNvSpPr txBox="1"/>
      </xdr:nvSpPr>
      <xdr:spPr>
        <a:xfrm>
          <a:off x="11658600" y="209550"/>
          <a:ext cx="4191000" cy="3590924"/>
        </a:xfrm>
        <a:prstGeom prst="rect">
          <a:avLst/>
        </a:prstGeom>
        <a:solidFill>
          <a:sysClr val="window" lastClr="FFFFFF"/>
        </a:solidFill>
        <a:ln w="2857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題目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二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繪製兩資產投資組合效率前緣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請利用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 Smart Wizard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匯入自己學號後兩碼的股票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例如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B104xxx30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3030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、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B104xxx31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3131)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以及台積電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(2330)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。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匯入內容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該檔股票名稱、報酬率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-LN</a:t>
          </a: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日期期間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2014/01/01 ~ 2016/12/31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共三年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日期頻率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評分方式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基本資料。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2.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計算兩資在不同權重下的風險與報酬。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(20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繪製效率前緣。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25</xdr:col>
      <xdr:colOff>219075</xdr:colOff>
      <xdr:row>28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字方塊 2"/>
            <xdr:cNvSpPr txBox="1"/>
          </xdr:nvSpPr>
          <xdr:spPr>
            <a:xfrm>
              <a:off x="12192000" y="4400550"/>
              <a:ext cx="5705475" cy="1524000"/>
            </a:xfrm>
            <a:prstGeom prst="rect">
              <a:avLst/>
            </a:prstGeom>
            <a:solidFill>
              <a:sysClr val="window" lastClr="FFFFFF"/>
            </a:solidFill>
            <a:ln w="28575" cmpd="sng">
              <a:solidFill>
                <a:sysClr val="windowText" lastClr="000000"/>
              </a:solidFill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新細明體" panose="02020500000000000000" pitchFamily="18" charset="-120"/>
                  <a:cs typeface="+mn-cs"/>
                </a:rPr>
                <a:t>參考公式：</a:t>
              </a: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Portfolios  Var  =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x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el-GR" altLang="zh-TW" sz="1400" b="0" i="0"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m:t>σ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zh-TW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x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el-GR" altLang="zh-TW" sz="1400" b="0" i="0"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m:t>σ</m:t>
                      </m:r>
                      <m:r>
                        <a:rPr lang="en-US" altLang="zh-TW" sz="14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+ 2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p/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p/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cov(1,2)</a:t>
              </a: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E(Ri) =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α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+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β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(Rm-Rf)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AR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=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Ri - E(Ri)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zh-TW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文字方塊 2"/>
            <xdr:cNvSpPr txBox="1"/>
          </xdr:nvSpPr>
          <xdr:spPr>
            <a:xfrm>
              <a:off x="12192000" y="4400550"/>
              <a:ext cx="5705475" cy="1524000"/>
            </a:xfrm>
            <a:prstGeom prst="rect">
              <a:avLst/>
            </a:prstGeom>
            <a:solidFill>
              <a:sysClr val="window" lastClr="FFFFFF"/>
            </a:solidFill>
            <a:ln w="28575" cmpd="sng">
              <a:solidFill>
                <a:sysClr val="windowText" lastClr="000000"/>
              </a:solidFill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新細明體" panose="02020500000000000000" pitchFamily="18" charset="-120"/>
                  <a:cs typeface="+mn-cs"/>
                </a:rPr>
                <a:t>參考公式：</a:t>
              </a: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Portfolios  Var  =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〖W1〗^2</a:t>
              </a:r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x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el-GR" altLang="zh-TW" sz="1400" b="0" i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σ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1〗^2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〖W2〗^2</a:t>
              </a:r>
              <a:r>
                <a:rPr lang="zh-TW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x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el-GR" altLang="zh-TW" sz="1400" b="0" i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σ</a:t>
              </a:r>
              <a:r>
                <a:rPr lang="en-US" altLang="zh-TW" sz="14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2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〗^2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+ 2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〖W1〗^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〖W2〗^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cov(1,2)</a:t>
              </a: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E(Ri) =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α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+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β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(Rm-Rf)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AR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=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Ri - E(Ri)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zh-TW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95250</xdr:rowOff>
    </xdr:from>
    <xdr:to>
      <xdr:col>22</xdr:col>
      <xdr:colOff>285751</xdr:colOff>
      <xdr:row>621</xdr:row>
      <xdr:rowOff>95250</xdr:rowOff>
    </xdr:to>
    <xdr:sp macro="" textlink="">
      <xdr:nvSpPr>
        <xdr:cNvPr id="2" name="文字方塊 1"/>
        <xdr:cNvSpPr txBox="1"/>
      </xdr:nvSpPr>
      <xdr:spPr>
        <a:xfrm>
          <a:off x="11630025" y="304800"/>
          <a:ext cx="4324351" cy="3771900"/>
        </a:xfrm>
        <a:prstGeom prst="rect">
          <a:avLst/>
        </a:prstGeom>
        <a:solidFill>
          <a:sysClr val="window" lastClr="FFFFFF"/>
        </a:solidFill>
        <a:ln w="2857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題目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三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事件研究法 計算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CAR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請利用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 Smart Wizard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匯入自己學號後兩碼的股票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例如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B104xxx30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3030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、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B104xxx31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下載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3131)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匯入內容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該檔股票名稱、報酬率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-LN</a:t>
          </a: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日期期間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2014/01/01 ~ 2016/12/31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共三年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日期頻率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 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日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eaLnBrk="1" fontAlgn="auto" latinLnBrk="0" hangingPunct="1"/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事件日期</a:t>
          </a:r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: 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自行上網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Google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該檔股票股利宣告日</a:t>
          </a:r>
          <a:endParaRPr lang="zh-TW" altLang="zh-TW" sz="14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 i="0" baseline="0">
              <a:effectLst/>
              <a:latin typeface="+mn-lt"/>
              <a:ea typeface="+mn-ea"/>
              <a:cs typeface="+mn-cs"/>
            </a:rPr>
            <a:t>事件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期間 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: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 股利宣告日前後</a:t>
          </a:r>
          <a:r>
            <a:rPr lang="en-US" altLang="zh-TW" sz="1400" b="0" i="0" baseline="0">
              <a:effectLst/>
              <a:latin typeface="+mn-lt"/>
              <a:ea typeface="+mn-ea"/>
              <a:cs typeface="+mn-cs"/>
            </a:rPr>
            <a:t>10</a:t>
          </a:r>
          <a:r>
            <a:rPr lang="zh-TW" altLang="en-US" sz="1400" b="0" i="0" baseline="0">
              <a:effectLst/>
              <a:latin typeface="+mn-lt"/>
              <a:ea typeface="+mn-ea"/>
              <a:cs typeface="+mn-cs"/>
            </a:rPr>
            <a:t>天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評分方式 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1.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匯入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TEJ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 基本資料。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2.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新細明體" panose="02020500000000000000" pitchFamily="18" charset="-120"/>
              <a:cs typeface="+mn-cs"/>
            </a:rPr>
            <a:t>計算估計式的 </a:t>
          </a:r>
          <a:r>
            <a:rPr kumimoji="0" lang="el-GR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α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、</a:t>
          </a:r>
          <a:r>
            <a:rPr kumimoji="0" lang="el-GR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β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、事件日前後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10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天的異常報酬及累積異常報酬。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(20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3.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繪製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CAR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。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(5</a:t>
          </a: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分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)</a:t>
          </a:r>
          <a:endParaRPr kumimoji="0" lang="zh-TW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新細明體" panose="02020500000000000000" pitchFamily="18" charset="-120"/>
            <a:cs typeface="+mn-cs"/>
          </a:endParaRPr>
        </a:p>
      </xdr:txBody>
    </xdr:sp>
    <xdr:clientData/>
  </xdr:twoCellAnchor>
  <xdr:twoCellAnchor>
    <xdr:from>
      <xdr:col>15</xdr:col>
      <xdr:colOff>447675</xdr:colOff>
      <xdr:row>623</xdr:row>
      <xdr:rowOff>0</xdr:rowOff>
    </xdr:from>
    <xdr:to>
      <xdr:col>23</xdr:col>
      <xdr:colOff>666750</xdr:colOff>
      <xdr:row>630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字方塊 2"/>
            <xdr:cNvSpPr txBox="1"/>
          </xdr:nvSpPr>
          <xdr:spPr>
            <a:xfrm>
              <a:off x="11458575" y="4457700"/>
              <a:ext cx="5705475" cy="1524000"/>
            </a:xfrm>
            <a:prstGeom prst="rect">
              <a:avLst/>
            </a:prstGeom>
            <a:solidFill>
              <a:sysClr val="window" lastClr="FFFFFF"/>
            </a:solidFill>
            <a:ln w="28575" cmpd="sng">
              <a:solidFill>
                <a:sysClr val="windowText" lastClr="000000"/>
              </a:solidFill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新細明體" panose="02020500000000000000" pitchFamily="18" charset="-120"/>
                  <a:cs typeface="+mn-cs"/>
                </a:rPr>
                <a:t>參考公式：</a:t>
              </a: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Portfolios  Var  =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x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el-GR" altLang="zh-TW" sz="1400" b="0" i="0"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m:t>σ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zh-TW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x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el-GR" altLang="zh-TW" sz="1400" b="0" i="0"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m:t>σ</m:t>
                      </m:r>
                      <m:r>
                        <a:rPr lang="en-US" altLang="zh-TW" sz="14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p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+ 2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p/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W</m:t>
                      </m:r>
                      <m:r>
                        <a:rPr lang="en-US" altLang="zh-TW" sz="1400" b="0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p/>
                  </m:sSup>
                </m:oMath>
              </a14:m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cov(1,2)</a:t>
              </a: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E(Ri) =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α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+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β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(Rm-Rf)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AR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=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Ri - E(Ri)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zh-TW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文字方塊 2"/>
            <xdr:cNvSpPr txBox="1"/>
          </xdr:nvSpPr>
          <xdr:spPr>
            <a:xfrm>
              <a:off x="11458575" y="4457700"/>
              <a:ext cx="5705475" cy="1524000"/>
            </a:xfrm>
            <a:prstGeom prst="rect">
              <a:avLst/>
            </a:prstGeom>
            <a:solidFill>
              <a:sysClr val="window" lastClr="FFFFFF"/>
            </a:solidFill>
            <a:ln w="28575" cmpd="sng">
              <a:solidFill>
                <a:sysClr val="windowText" lastClr="000000"/>
              </a:solidFill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新細明體" panose="02020500000000000000" pitchFamily="18" charset="-120"/>
                  <a:cs typeface="+mn-cs"/>
                </a:rPr>
                <a:t>參考公式：</a:t>
              </a: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altLang="zh-TW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Portfolios  Var  =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〖W1〗^2</a:t>
              </a:r>
              <a:r>
                <a:rPr kumimoji="0" lang="zh-TW" altLang="en-US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x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el-GR" altLang="zh-TW" sz="1400" b="0" i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σ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1〗^2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〖W2〗^2</a:t>
              </a:r>
              <a:r>
                <a:rPr lang="zh-TW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 b="0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x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l-GR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</a:t>
              </a:r>
              <a:r>
                <a:rPr lang="el-GR" altLang="zh-TW" sz="1400" b="0" i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σ</a:t>
              </a:r>
              <a:r>
                <a:rPr lang="en-US" altLang="zh-TW" sz="14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2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〗^2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+ 2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〖W1〗^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</a:t>
              </a:r>
              <a:r>
                <a:rPr lang="en-US" altLang="zh-TW" sz="14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〖W2〗^</a:t>
              </a:r>
              <a:r>
                <a:rPr kumimoji="0" lang="en-US" altLang="zh-TW" sz="14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" panose="020B0604020202020204" pitchFamily="34" charset="0"/>
                  <a:ea typeface="新細明體" panose="02020500000000000000" pitchFamily="18" charset="-120"/>
                  <a:cs typeface="Arial" panose="020B0604020202020204" pitchFamily="34" charset="0"/>
                </a:rPr>
                <a:t> cov(1,2)</a:t>
              </a: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E(Ri) =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α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+ </a:t>
              </a:r>
              <a:r>
                <a:rPr lang="el-GR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β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(Rm-Rf)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AR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=</a:t>
              </a:r>
              <a:r>
                <a:rPr lang="zh-TW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</a:t>
              </a:r>
              <a:r>
                <a:rPr lang="en-US" altLang="zh-TW" sz="140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Ri - E(Ri)</a:t>
              </a:r>
              <a:endParaRPr lang="zh-TW" altLang="zh-TW" sz="14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zh-TW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新細明體" panose="02020500000000000000" pitchFamily="18" charset="-120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8</xdr:col>
      <xdr:colOff>276225</xdr:colOff>
      <xdr:row>610</xdr:row>
      <xdr:rowOff>9525</xdr:rowOff>
    </xdr:from>
    <xdr:to>
      <xdr:col>15</xdr:col>
      <xdr:colOff>76200</xdr:colOff>
      <xdr:row>623</xdr:row>
      <xdr:rowOff>28575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1"/>
  <sheetViews>
    <sheetView tabSelected="1" zoomScaleNormal="100" workbookViewId="0">
      <selection activeCell="K26" sqref="K26"/>
    </sheetView>
  </sheetViews>
  <sheetFormatPr defaultRowHeight="16.5" x14ac:dyDescent="0.25"/>
  <cols>
    <col min="19" max="19" width="10" bestFit="1" customWidth="1"/>
    <col min="20" max="20" width="10.5" bestFit="1" customWidth="1"/>
    <col min="21" max="21" width="10.875" bestFit="1" customWidth="1"/>
  </cols>
  <sheetData>
    <row r="21" s="1" customFormat="1" x14ac:dyDescent="0.25"/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I245"/>
  <sheetViews>
    <sheetView workbookViewId="0">
      <selection activeCell="X15" sqref="X15"/>
    </sheetView>
  </sheetViews>
  <sheetFormatPr defaultRowHeight="16.5" x14ac:dyDescent="0.25"/>
  <cols>
    <col min="2" max="2" width="10.5" bestFit="1" customWidth="1"/>
    <col min="3" max="3" width="12.875" customWidth="1"/>
    <col min="7" max="7" width="10.875" customWidth="1"/>
    <col min="10" max="10" width="11.625" customWidth="1"/>
  </cols>
  <sheetData>
    <row r="1" spans="1:9" x14ac:dyDescent="0.25">
      <c r="A1" s="8" t="s">
        <v>0</v>
      </c>
      <c r="B1" s="9" t="s">
        <v>1</v>
      </c>
      <c r="C1" s="8" t="s">
        <v>2</v>
      </c>
      <c r="D1" t="s">
        <v>7</v>
      </c>
    </row>
    <row r="2" spans="1:9" x14ac:dyDescent="0.25">
      <c r="A2" s="2" t="s">
        <v>3</v>
      </c>
      <c r="B2" s="3">
        <v>42373</v>
      </c>
      <c r="C2" s="4">
        <v>40.94</v>
      </c>
      <c r="D2" t="s">
        <v>8</v>
      </c>
      <c r="G2" t="s">
        <v>6</v>
      </c>
      <c r="I2" t="s">
        <v>4</v>
      </c>
    </row>
    <row r="3" spans="1:9" x14ac:dyDescent="0.25">
      <c r="A3" s="2" t="s">
        <v>3</v>
      </c>
      <c r="B3" s="3">
        <v>42374</v>
      </c>
      <c r="C3" s="4">
        <v>40.6</v>
      </c>
      <c r="D3" t="s">
        <v>8</v>
      </c>
      <c r="G3">
        <f>AVERAGE(C2:C245)</f>
        <v>38.341393442622959</v>
      </c>
      <c r="I3" t="s">
        <v>5</v>
      </c>
    </row>
    <row r="4" spans="1:9" x14ac:dyDescent="0.25">
      <c r="A4" s="2" t="s">
        <v>3</v>
      </c>
      <c r="B4" s="3">
        <v>42375</v>
      </c>
      <c r="C4" s="4">
        <v>40.35</v>
      </c>
      <c r="D4" t="s">
        <v>8</v>
      </c>
    </row>
    <row r="5" spans="1:9" x14ac:dyDescent="0.25">
      <c r="A5" s="2" t="s">
        <v>3</v>
      </c>
      <c r="B5" s="3">
        <v>42376</v>
      </c>
      <c r="C5" s="4">
        <v>38.31</v>
      </c>
      <c r="D5" t="s">
        <v>8</v>
      </c>
    </row>
    <row r="6" spans="1:9" x14ac:dyDescent="0.25">
      <c r="A6" s="2" t="s">
        <v>3</v>
      </c>
      <c r="B6" s="3">
        <v>42377</v>
      </c>
      <c r="C6" s="4">
        <v>39.200000000000003</v>
      </c>
      <c r="D6" t="s">
        <v>8</v>
      </c>
    </row>
    <row r="7" spans="1:9" x14ac:dyDescent="0.25">
      <c r="A7" s="2" t="s">
        <v>3</v>
      </c>
      <c r="B7" s="3">
        <v>42380</v>
      </c>
      <c r="C7" s="4">
        <v>38.479999999999997</v>
      </c>
      <c r="D7" t="s">
        <v>8</v>
      </c>
    </row>
    <row r="8" spans="1:9" x14ac:dyDescent="0.25">
      <c r="A8" s="2" t="s">
        <v>3</v>
      </c>
      <c r="B8" s="3">
        <v>42381</v>
      </c>
      <c r="C8" s="4">
        <v>38.14</v>
      </c>
      <c r="D8" t="s">
        <v>8</v>
      </c>
    </row>
    <row r="9" spans="1:9" x14ac:dyDescent="0.25">
      <c r="A9" s="2" t="s">
        <v>3</v>
      </c>
      <c r="B9" s="3">
        <v>42382</v>
      </c>
      <c r="C9" s="4">
        <v>37.880000000000003</v>
      </c>
      <c r="D9" t="s">
        <v>9</v>
      </c>
    </row>
    <row r="10" spans="1:9" x14ac:dyDescent="0.25">
      <c r="A10" s="2" t="s">
        <v>3</v>
      </c>
      <c r="B10" s="3">
        <v>42383</v>
      </c>
      <c r="C10" s="4">
        <v>37.08</v>
      </c>
      <c r="D10" t="s">
        <v>9</v>
      </c>
    </row>
    <row r="11" spans="1:9" x14ac:dyDescent="0.25">
      <c r="A11" s="2" t="s">
        <v>3</v>
      </c>
      <c r="B11" s="3">
        <v>42384</v>
      </c>
      <c r="C11" s="4">
        <v>37.29</v>
      </c>
      <c r="D11" t="s">
        <v>9</v>
      </c>
    </row>
    <row r="12" spans="1:9" x14ac:dyDescent="0.25">
      <c r="A12" s="2" t="s">
        <v>3</v>
      </c>
      <c r="B12" s="3">
        <v>42387</v>
      </c>
      <c r="C12" s="4">
        <v>39.119999999999997</v>
      </c>
      <c r="D12" t="s">
        <v>8</v>
      </c>
    </row>
    <row r="13" spans="1:9" x14ac:dyDescent="0.25">
      <c r="A13" s="2" t="s">
        <v>3</v>
      </c>
      <c r="B13" s="3">
        <v>42388</v>
      </c>
      <c r="C13" s="4">
        <v>38.479999999999997</v>
      </c>
      <c r="D13" t="s">
        <v>8</v>
      </c>
      <c r="G13">
        <f>vba_f(C2:C245)</f>
        <v>0</v>
      </c>
    </row>
    <row r="14" spans="1:9" x14ac:dyDescent="0.25">
      <c r="A14" s="2" t="s">
        <v>3</v>
      </c>
      <c r="B14" s="3">
        <v>42389</v>
      </c>
      <c r="C14" s="4">
        <v>37.93</v>
      </c>
      <c r="D14" t="s">
        <v>9</v>
      </c>
    </row>
    <row r="15" spans="1:9" x14ac:dyDescent="0.25">
      <c r="A15" s="2" t="s">
        <v>3</v>
      </c>
      <c r="B15" s="3">
        <v>42390</v>
      </c>
      <c r="C15" s="4">
        <v>37.369999999999997</v>
      </c>
      <c r="D15" t="s">
        <v>9</v>
      </c>
    </row>
    <row r="16" spans="1:9" x14ac:dyDescent="0.25">
      <c r="A16" s="2" t="s">
        <v>3</v>
      </c>
      <c r="B16" s="3">
        <v>42391</v>
      </c>
      <c r="C16" s="4">
        <v>37.5</v>
      </c>
      <c r="D16" t="s">
        <v>9</v>
      </c>
    </row>
    <row r="17" spans="1:4" x14ac:dyDescent="0.25">
      <c r="A17" s="2" t="s">
        <v>3</v>
      </c>
      <c r="B17" s="3">
        <v>42394</v>
      </c>
      <c r="C17" s="4">
        <v>37.97</v>
      </c>
      <c r="D17" t="s">
        <v>9</v>
      </c>
    </row>
    <row r="18" spans="1:4" x14ac:dyDescent="0.25">
      <c r="A18" s="2" t="s">
        <v>3</v>
      </c>
      <c r="B18" s="3">
        <v>42395</v>
      </c>
      <c r="C18" s="4">
        <v>37.54</v>
      </c>
      <c r="D18" t="s">
        <v>9</v>
      </c>
    </row>
    <row r="19" spans="1:4" x14ac:dyDescent="0.25">
      <c r="A19" s="2" t="s">
        <v>3</v>
      </c>
      <c r="B19" s="3">
        <v>42396</v>
      </c>
      <c r="C19" s="4">
        <v>37.25</v>
      </c>
      <c r="D19" t="s">
        <v>9</v>
      </c>
    </row>
    <row r="20" spans="1:4" x14ac:dyDescent="0.25">
      <c r="A20" s="2" t="s">
        <v>3</v>
      </c>
      <c r="B20" s="3">
        <v>42397</v>
      </c>
      <c r="C20" s="4">
        <v>36.909999999999997</v>
      </c>
      <c r="D20" t="s">
        <v>9</v>
      </c>
    </row>
    <row r="21" spans="1:4" x14ac:dyDescent="0.25">
      <c r="A21" s="2" t="s">
        <v>3</v>
      </c>
      <c r="B21" s="3">
        <v>42398</v>
      </c>
      <c r="C21" s="4">
        <v>38.65</v>
      </c>
      <c r="D21" t="s">
        <v>8</v>
      </c>
    </row>
    <row r="22" spans="1:4" x14ac:dyDescent="0.25">
      <c r="A22" s="2" t="s">
        <v>3</v>
      </c>
      <c r="B22" s="3">
        <v>42399</v>
      </c>
      <c r="C22" s="4">
        <v>39.409999999999997</v>
      </c>
      <c r="D22" t="s">
        <v>8</v>
      </c>
    </row>
    <row r="23" spans="1:4" x14ac:dyDescent="0.25">
      <c r="A23" s="2" t="s">
        <v>3</v>
      </c>
      <c r="B23" s="3">
        <v>42401</v>
      </c>
      <c r="C23" s="4">
        <v>38.82</v>
      </c>
      <c r="D23" t="s">
        <v>8</v>
      </c>
    </row>
    <row r="24" spans="1:4" x14ac:dyDescent="0.25">
      <c r="A24" s="2" t="s">
        <v>3</v>
      </c>
      <c r="B24" s="3">
        <v>42402</v>
      </c>
      <c r="C24" s="4">
        <v>37.799999999999997</v>
      </c>
      <c r="D24" t="s">
        <v>9</v>
      </c>
    </row>
    <row r="25" spans="1:4" x14ac:dyDescent="0.25">
      <c r="A25" s="2" t="s">
        <v>3</v>
      </c>
      <c r="B25" s="3">
        <v>42403</v>
      </c>
      <c r="C25" s="4">
        <v>37.369999999999997</v>
      </c>
      <c r="D25" t="s">
        <v>9</v>
      </c>
    </row>
    <row r="26" spans="1:4" x14ac:dyDescent="0.25">
      <c r="A26" s="2" t="s">
        <v>3</v>
      </c>
      <c r="B26" s="3">
        <v>42415</v>
      </c>
      <c r="C26" s="4">
        <v>36.909999999999997</v>
      </c>
      <c r="D26" t="s">
        <v>9</v>
      </c>
    </row>
    <row r="27" spans="1:4" x14ac:dyDescent="0.25">
      <c r="A27" s="2" t="s">
        <v>3</v>
      </c>
      <c r="B27" s="3">
        <v>42416</v>
      </c>
      <c r="C27" s="4">
        <v>37.369999999999997</v>
      </c>
      <c r="D27" t="s">
        <v>9</v>
      </c>
    </row>
    <row r="28" spans="1:4" x14ac:dyDescent="0.25">
      <c r="A28" s="2" t="s">
        <v>3</v>
      </c>
      <c r="B28" s="3">
        <v>42417</v>
      </c>
      <c r="C28" s="4">
        <v>37.630000000000003</v>
      </c>
      <c r="D28" t="s">
        <v>9</v>
      </c>
    </row>
    <row r="29" spans="1:4" x14ac:dyDescent="0.25">
      <c r="A29" s="2" t="s">
        <v>3</v>
      </c>
      <c r="B29" s="3">
        <v>42418</v>
      </c>
      <c r="C29" s="4">
        <v>37.67</v>
      </c>
      <c r="D29" t="s">
        <v>9</v>
      </c>
    </row>
    <row r="30" spans="1:4" x14ac:dyDescent="0.25">
      <c r="A30" s="2" t="s">
        <v>3</v>
      </c>
      <c r="B30" s="3">
        <v>42419</v>
      </c>
      <c r="C30" s="4">
        <v>37.369999999999997</v>
      </c>
      <c r="D30" t="s">
        <v>9</v>
      </c>
    </row>
    <row r="31" spans="1:4" x14ac:dyDescent="0.25">
      <c r="A31" s="2" t="s">
        <v>3</v>
      </c>
      <c r="B31" s="3">
        <v>42422</v>
      </c>
      <c r="C31" s="4">
        <v>39.58</v>
      </c>
      <c r="D31" t="s">
        <v>8</v>
      </c>
    </row>
    <row r="32" spans="1:4" x14ac:dyDescent="0.25">
      <c r="A32" s="2" t="s">
        <v>3</v>
      </c>
      <c r="B32" s="3">
        <v>42423</v>
      </c>
      <c r="C32" s="4">
        <v>38.950000000000003</v>
      </c>
      <c r="D32" t="s">
        <v>8</v>
      </c>
    </row>
    <row r="33" spans="1:4" x14ac:dyDescent="0.25">
      <c r="A33" s="2" t="s">
        <v>3</v>
      </c>
      <c r="B33" s="3">
        <v>42424</v>
      </c>
      <c r="C33" s="4">
        <v>38.56</v>
      </c>
      <c r="D33" t="s">
        <v>8</v>
      </c>
    </row>
    <row r="34" spans="1:4" x14ac:dyDescent="0.25">
      <c r="A34" s="2" t="s">
        <v>3</v>
      </c>
      <c r="B34" s="3">
        <v>42425</v>
      </c>
      <c r="C34" s="4">
        <v>39.159999999999997</v>
      </c>
      <c r="D34" t="s">
        <v>8</v>
      </c>
    </row>
    <row r="35" spans="1:4" x14ac:dyDescent="0.25">
      <c r="A35" s="2" t="s">
        <v>3</v>
      </c>
      <c r="B35" s="3">
        <v>42426</v>
      </c>
      <c r="C35" s="4">
        <v>38.99</v>
      </c>
      <c r="D35" t="s">
        <v>8</v>
      </c>
    </row>
    <row r="36" spans="1:4" x14ac:dyDescent="0.25">
      <c r="A36" s="2" t="s">
        <v>3</v>
      </c>
      <c r="B36" s="3">
        <v>42430</v>
      </c>
      <c r="C36" s="4">
        <v>39.54</v>
      </c>
      <c r="D36" t="s">
        <v>8</v>
      </c>
    </row>
    <row r="37" spans="1:4" x14ac:dyDescent="0.25">
      <c r="A37" s="2" t="s">
        <v>3</v>
      </c>
      <c r="B37" s="3">
        <v>42431</v>
      </c>
      <c r="C37" s="4">
        <v>39.75</v>
      </c>
      <c r="D37" t="s">
        <v>8</v>
      </c>
    </row>
    <row r="38" spans="1:4" x14ac:dyDescent="0.25">
      <c r="A38" s="2" t="s">
        <v>3</v>
      </c>
      <c r="B38" s="3">
        <v>42432</v>
      </c>
      <c r="C38" s="4">
        <v>42.09</v>
      </c>
      <c r="D38" t="s">
        <v>8</v>
      </c>
    </row>
    <row r="39" spans="1:4" x14ac:dyDescent="0.25">
      <c r="A39" s="2" t="s">
        <v>3</v>
      </c>
      <c r="B39" s="3">
        <v>42433</v>
      </c>
      <c r="C39" s="4">
        <v>42.22</v>
      </c>
      <c r="D39" t="s">
        <v>8</v>
      </c>
    </row>
    <row r="40" spans="1:4" x14ac:dyDescent="0.25">
      <c r="A40" s="2" t="s">
        <v>3</v>
      </c>
      <c r="B40" s="3">
        <v>42436</v>
      </c>
      <c r="C40" s="4">
        <v>42.64</v>
      </c>
      <c r="D40" t="s">
        <v>8</v>
      </c>
    </row>
    <row r="41" spans="1:4" x14ac:dyDescent="0.25">
      <c r="A41" s="2" t="s">
        <v>3</v>
      </c>
      <c r="B41" s="3">
        <v>42437</v>
      </c>
      <c r="C41" s="4">
        <v>42.05</v>
      </c>
      <c r="D41" t="s">
        <v>8</v>
      </c>
    </row>
    <row r="42" spans="1:4" x14ac:dyDescent="0.25">
      <c r="A42" s="2" t="s">
        <v>3</v>
      </c>
      <c r="B42" s="3">
        <v>42438</v>
      </c>
      <c r="C42" s="4">
        <v>41.37</v>
      </c>
      <c r="D42" t="s">
        <v>8</v>
      </c>
    </row>
    <row r="43" spans="1:4" x14ac:dyDescent="0.25">
      <c r="A43" s="2" t="s">
        <v>3</v>
      </c>
      <c r="B43" s="3">
        <v>42439</v>
      </c>
      <c r="C43" s="4">
        <v>41.45</v>
      </c>
      <c r="D43" t="s">
        <v>8</v>
      </c>
    </row>
    <row r="44" spans="1:4" x14ac:dyDescent="0.25">
      <c r="A44" s="2" t="s">
        <v>3</v>
      </c>
      <c r="B44" s="3">
        <v>42440</v>
      </c>
      <c r="C44" s="4">
        <v>42.39</v>
      </c>
      <c r="D44" t="s">
        <v>8</v>
      </c>
    </row>
    <row r="45" spans="1:4" x14ac:dyDescent="0.25">
      <c r="A45" s="2" t="s">
        <v>3</v>
      </c>
      <c r="B45" s="3">
        <v>42443</v>
      </c>
      <c r="C45" s="4">
        <v>42.3</v>
      </c>
      <c r="D45" t="s">
        <v>8</v>
      </c>
    </row>
    <row r="46" spans="1:4" x14ac:dyDescent="0.25">
      <c r="A46" s="2" t="s">
        <v>3</v>
      </c>
      <c r="B46" s="3">
        <v>42444</v>
      </c>
      <c r="C46" s="4">
        <v>41.41</v>
      </c>
      <c r="D46" t="s">
        <v>8</v>
      </c>
    </row>
    <row r="47" spans="1:4" x14ac:dyDescent="0.25">
      <c r="A47" s="2" t="s">
        <v>3</v>
      </c>
      <c r="B47" s="3">
        <v>42445</v>
      </c>
      <c r="C47" s="4">
        <v>41.45</v>
      </c>
      <c r="D47" t="s">
        <v>8</v>
      </c>
    </row>
    <row r="48" spans="1:4" x14ac:dyDescent="0.25">
      <c r="A48" s="2" t="s">
        <v>3</v>
      </c>
      <c r="B48" s="3">
        <v>42446</v>
      </c>
      <c r="C48" s="4">
        <v>40.9</v>
      </c>
      <c r="D48" t="s">
        <v>8</v>
      </c>
    </row>
    <row r="49" spans="1:4" x14ac:dyDescent="0.25">
      <c r="A49" s="2" t="s">
        <v>3</v>
      </c>
      <c r="B49" s="3">
        <v>42447</v>
      </c>
      <c r="C49" s="4">
        <v>41.37</v>
      </c>
      <c r="D49" t="s">
        <v>8</v>
      </c>
    </row>
    <row r="50" spans="1:4" x14ac:dyDescent="0.25">
      <c r="A50" s="2" t="s">
        <v>3</v>
      </c>
      <c r="B50" s="3">
        <v>42450</v>
      </c>
      <c r="C50" s="4">
        <v>41.71</v>
      </c>
      <c r="D50" t="s">
        <v>8</v>
      </c>
    </row>
    <row r="51" spans="1:4" x14ac:dyDescent="0.25">
      <c r="A51" s="2" t="s">
        <v>3</v>
      </c>
      <c r="B51" s="3">
        <v>42451</v>
      </c>
      <c r="C51" s="4">
        <v>41.71</v>
      </c>
      <c r="D51" t="s">
        <v>8</v>
      </c>
    </row>
    <row r="52" spans="1:4" x14ac:dyDescent="0.25">
      <c r="A52" s="2" t="s">
        <v>3</v>
      </c>
      <c r="B52" s="3">
        <v>42452</v>
      </c>
      <c r="C52" s="4">
        <v>42</v>
      </c>
      <c r="D52" t="s">
        <v>8</v>
      </c>
    </row>
    <row r="53" spans="1:4" x14ac:dyDescent="0.25">
      <c r="A53" s="2" t="s">
        <v>3</v>
      </c>
      <c r="B53" s="3">
        <v>42453</v>
      </c>
      <c r="C53" s="4">
        <v>41.79</v>
      </c>
      <c r="D53" t="s">
        <v>8</v>
      </c>
    </row>
    <row r="54" spans="1:4" x14ac:dyDescent="0.25">
      <c r="A54" s="2" t="s">
        <v>3</v>
      </c>
      <c r="B54" s="3">
        <v>42454</v>
      </c>
      <c r="C54" s="4">
        <v>41.66</v>
      </c>
      <c r="D54" t="s">
        <v>8</v>
      </c>
    </row>
    <row r="55" spans="1:4" x14ac:dyDescent="0.25">
      <c r="A55" s="2" t="s">
        <v>3</v>
      </c>
      <c r="B55" s="3">
        <v>42457</v>
      </c>
      <c r="C55" s="4">
        <v>41.71</v>
      </c>
      <c r="D55" t="s">
        <v>8</v>
      </c>
    </row>
    <row r="56" spans="1:4" x14ac:dyDescent="0.25">
      <c r="A56" s="2" t="s">
        <v>3</v>
      </c>
      <c r="B56" s="3">
        <v>42458</v>
      </c>
      <c r="C56" s="4">
        <v>41.45</v>
      </c>
      <c r="D56" t="s">
        <v>8</v>
      </c>
    </row>
    <row r="57" spans="1:4" x14ac:dyDescent="0.25">
      <c r="A57" s="2" t="s">
        <v>3</v>
      </c>
      <c r="B57" s="3">
        <v>42459</v>
      </c>
      <c r="C57" s="4">
        <v>41.45</v>
      </c>
      <c r="D57" t="s">
        <v>8</v>
      </c>
    </row>
    <row r="58" spans="1:4" x14ac:dyDescent="0.25">
      <c r="A58" s="2" t="s">
        <v>3</v>
      </c>
      <c r="B58" s="3">
        <v>42460</v>
      </c>
      <c r="C58" s="4">
        <v>41.88</v>
      </c>
      <c r="D58" t="s">
        <v>8</v>
      </c>
    </row>
    <row r="59" spans="1:4" x14ac:dyDescent="0.25">
      <c r="A59" s="2" t="s">
        <v>3</v>
      </c>
      <c r="B59" s="3">
        <v>42461</v>
      </c>
      <c r="C59" s="4">
        <v>41.96</v>
      </c>
      <c r="D59" t="s">
        <v>8</v>
      </c>
    </row>
    <row r="60" spans="1:4" x14ac:dyDescent="0.25">
      <c r="A60" s="2" t="s">
        <v>3</v>
      </c>
      <c r="B60" s="3">
        <v>42466</v>
      </c>
      <c r="C60" s="4">
        <v>40.94</v>
      </c>
      <c r="D60" t="s">
        <v>8</v>
      </c>
    </row>
    <row r="61" spans="1:4" x14ac:dyDescent="0.25">
      <c r="A61" s="2" t="s">
        <v>3</v>
      </c>
      <c r="B61" s="3">
        <v>42467</v>
      </c>
      <c r="C61" s="4">
        <v>39.67</v>
      </c>
      <c r="D61" t="s">
        <v>8</v>
      </c>
    </row>
    <row r="62" spans="1:4" x14ac:dyDescent="0.25">
      <c r="A62" s="2" t="s">
        <v>3</v>
      </c>
      <c r="B62" s="3">
        <v>42468</v>
      </c>
      <c r="C62" s="4">
        <v>40.22</v>
      </c>
      <c r="D62" t="s">
        <v>8</v>
      </c>
    </row>
    <row r="63" spans="1:4" x14ac:dyDescent="0.25">
      <c r="A63" s="2" t="s">
        <v>3</v>
      </c>
      <c r="B63" s="3">
        <v>42471</v>
      </c>
      <c r="C63" s="4">
        <v>39.92</v>
      </c>
      <c r="D63" t="s">
        <v>8</v>
      </c>
    </row>
    <row r="64" spans="1:4" x14ac:dyDescent="0.25">
      <c r="A64" s="2" t="s">
        <v>3</v>
      </c>
      <c r="B64" s="3">
        <v>42472</v>
      </c>
      <c r="C64" s="4">
        <v>39.54</v>
      </c>
      <c r="D64" t="s">
        <v>8</v>
      </c>
    </row>
    <row r="65" spans="1:4" x14ac:dyDescent="0.25">
      <c r="A65" s="2" t="s">
        <v>3</v>
      </c>
      <c r="B65" s="3">
        <v>42473</v>
      </c>
      <c r="C65" s="4">
        <v>39.67</v>
      </c>
      <c r="D65" t="s">
        <v>8</v>
      </c>
    </row>
    <row r="66" spans="1:4" x14ac:dyDescent="0.25">
      <c r="A66" s="2" t="s">
        <v>3</v>
      </c>
      <c r="B66" s="3">
        <v>42474</v>
      </c>
      <c r="C66" s="4">
        <v>40.18</v>
      </c>
      <c r="D66" t="s">
        <v>8</v>
      </c>
    </row>
    <row r="67" spans="1:4" x14ac:dyDescent="0.25">
      <c r="A67" s="2" t="s">
        <v>3</v>
      </c>
      <c r="B67" s="3">
        <v>42475</v>
      </c>
      <c r="C67" s="4">
        <v>40.01</v>
      </c>
      <c r="D67" t="s">
        <v>8</v>
      </c>
    </row>
    <row r="68" spans="1:4" x14ac:dyDescent="0.25">
      <c r="A68" s="2" t="s">
        <v>3</v>
      </c>
      <c r="B68" s="3">
        <v>42478</v>
      </c>
      <c r="C68" s="4">
        <v>40.18</v>
      </c>
      <c r="D68" t="s">
        <v>8</v>
      </c>
    </row>
    <row r="69" spans="1:4" x14ac:dyDescent="0.25">
      <c r="A69" s="2" t="s">
        <v>3</v>
      </c>
      <c r="B69" s="3">
        <v>42479</v>
      </c>
      <c r="C69" s="4">
        <v>39.75</v>
      </c>
      <c r="D69" t="s">
        <v>8</v>
      </c>
    </row>
    <row r="70" spans="1:4" x14ac:dyDescent="0.25">
      <c r="A70" s="2" t="s">
        <v>3</v>
      </c>
      <c r="B70" s="3">
        <v>42480</v>
      </c>
      <c r="C70" s="4">
        <v>39.33</v>
      </c>
      <c r="D70" t="s">
        <v>8</v>
      </c>
    </row>
    <row r="71" spans="1:4" x14ac:dyDescent="0.25">
      <c r="A71" s="2" t="s">
        <v>3</v>
      </c>
      <c r="B71" s="3">
        <v>42481</v>
      </c>
      <c r="C71" s="4">
        <v>39.29</v>
      </c>
      <c r="D71" t="s">
        <v>8</v>
      </c>
    </row>
    <row r="72" spans="1:4" x14ac:dyDescent="0.25">
      <c r="A72" s="2" t="s">
        <v>3</v>
      </c>
      <c r="B72" s="3">
        <v>42482</v>
      </c>
      <c r="C72" s="4">
        <v>39.159999999999997</v>
      </c>
      <c r="D72" t="s">
        <v>8</v>
      </c>
    </row>
    <row r="73" spans="1:4" x14ac:dyDescent="0.25">
      <c r="A73" s="2" t="s">
        <v>3</v>
      </c>
      <c r="B73" s="3">
        <v>42485</v>
      </c>
      <c r="C73" s="4">
        <v>39.33</v>
      </c>
      <c r="D73" t="s">
        <v>8</v>
      </c>
    </row>
    <row r="74" spans="1:4" x14ac:dyDescent="0.25">
      <c r="A74" s="2" t="s">
        <v>3</v>
      </c>
      <c r="B74" s="3">
        <v>42486</v>
      </c>
      <c r="C74" s="4">
        <v>39.24</v>
      </c>
      <c r="D74" t="s">
        <v>8</v>
      </c>
    </row>
    <row r="75" spans="1:4" x14ac:dyDescent="0.25">
      <c r="A75" s="2" t="s">
        <v>3</v>
      </c>
      <c r="B75" s="3">
        <v>42487</v>
      </c>
      <c r="C75" s="4">
        <v>38.86</v>
      </c>
      <c r="D75" t="s">
        <v>8</v>
      </c>
    </row>
    <row r="76" spans="1:4" x14ac:dyDescent="0.25">
      <c r="A76" s="2" t="s">
        <v>3</v>
      </c>
      <c r="B76" s="3">
        <v>42488</v>
      </c>
      <c r="C76" s="4">
        <v>38.69</v>
      </c>
      <c r="D76" t="s">
        <v>8</v>
      </c>
    </row>
    <row r="77" spans="1:4" x14ac:dyDescent="0.25">
      <c r="A77" s="2" t="s">
        <v>3</v>
      </c>
      <c r="B77" s="3">
        <v>42489</v>
      </c>
      <c r="C77" s="4">
        <v>38.729999999999997</v>
      </c>
      <c r="D77" t="s">
        <v>8</v>
      </c>
    </row>
    <row r="78" spans="1:4" x14ac:dyDescent="0.25">
      <c r="A78" s="2" t="s">
        <v>3</v>
      </c>
      <c r="B78" s="3">
        <v>42493</v>
      </c>
      <c r="C78" s="4">
        <v>38.39</v>
      </c>
      <c r="D78" t="s">
        <v>8</v>
      </c>
    </row>
    <row r="79" spans="1:4" x14ac:dyDescent="0.25">
      <c r="A79" s="2" t="s">
        <v>3</v>
      </c>
      <c r="B79" s="3">
        <v>42494</v>
      </c>
      <c r="C79" s="4">
        <v>38.1</v>
      </c>
      <c r="D79" t="s">
        <v>8</v>
      </c>
    </row>
    <row r="80" spans="1:4" x14ac:dyDescent="0.25">
      <c r="A80" s="2" t="s">
        <v>3</v>
      </c>
      <c r="B80" s="3">
        <v>42495</v>
      </c>
      <c r="C80" s="4">
        <v>38.44</v>
      </c>
      <c r="D80" t="s">
        <v>8</v>
      </c>
    </row>
    <row r="81" spans="1:4" x14ac:dyDescent="0.25">
      <c r="A81" s="2" t="s">
        <v>3</v>
      </c>
      <c r="B81" s="3">
        <v>42496</v>
      </c>
      <c r="C81" s="4">
        <v>38.31</v>
      </c>
      <c r="D81" t="s">
        <v>8</v>
      </c>
    </row>
    <row r="82" spans="1:4" x14ac:dyDescent="0.25">
      <c r="A82" s="2" t="s">
        <v>3</v>
      </c>
      <c r="B82" s="3">
        <v>42499</v>
      </c>
      <c r="C82" s="4">
        <v>38.35</v>
      </c>
      <c r="D82" t="s">
        <v>8</v>
      </c>
    </row>
    <row r="83" spans="1:4" x14ac:dyDescent="0.25">
      <c r="A83" s="2" t="s">
        <v>3</v>
      </c>
      <c r="B83" s="3">
        <v>42500</v>
      </c>
      <c r="C83" s="4">
        <v>38.99</v>
      </c>
      <c r="D83" t="s">
        <v>8</v>
      </c>
    </row>
    <row r="84" spans="1:4" x14ac:dyDescent="0.25">
      <c r="A84" s="2" t="s">
        <v>3</v>
      </c>
      <c r="B84" s="3">
        <v>42501</v>
      </c>
      <c r="C84" s="4">
        <v>39.119999999999997</v>
      </c>
      <c r="D84" t="s">
        <v>8</v>
      </c>
    </row>
    <row r="85" spans="1:4" x14ac:dyDescent="0.25">
      <c r="A85" s="2" t="s">
        <v>3</v>
      </c>
      <c r="B85" s="3">
        <v>42502</v>
      </c>
      <c r="C85" s="4">
        <v>38.56</v>
      </c>
      <c r="D85" t="s">
        <v>8</v>
      </c>
    </row>
    <row r="86" spans="1:4" x14ac:dyDescent="0.25">
      <c r="A86" s="2" t="s">
        <v>3</v>
      </c>
      <c r="B86" s="3">
        <v>42503</v>
      </c>
      <c r="C86" s="4">
        <v>37.97</v>
      </c>
      <c r="D86" t="s">
        <v>9</v>
      </c>
    </row>
    <row r="87" spans="1:4" x14ac:dyDescent="0.25">
      <c r="A87" s="2" t="s">
        <v>3</v>
      </c>
      <c r="B87" s="3">
        <v>42506</v>
      </c>
      <c r="C87" s="4">
        <v>37.97</v>
      </c>
      <c r="D87" t="s">
        <v>9</v>
      </c>
    </row>
    <row r="88" spans="1:4" x14ac:dyDescent="0.25">
      <c r="A88" s="2" t="s">
        <v>3</v>
      </c>
      <c r="B88" s="3">
        <v>42507</v>
      </c>
      <c r="C88" s="4">
        <v>37.71</v>
      </c>
      <c r="D88" t="s">
        <v>9</v>
      </c>
    </row>
    <row r="89" spans="1:4" x14ac:dyDescent="0.25">
      <c r="A89" s="2" t="s">
        <v>3</v>
      </c>
      <c r="B89" s="3">
        <v>42508</v>
      </c>
      <c r="C89" s="4">
        <v>37.630000000000003</v>
      </c>
      <c r="D89" t="s">
        <v>9</v>
      </c>
    </row>
    <row r="90" spans="1:4" x14ac:dyDescent="0.25">
      <c r="A90" s="2" t="s">
        <v>3</v>
      </c>
      <c r="B90" s="3">
        <v>42509</v>
      </c>
      <c r="C90" s="4">
        <v>37.67</v>
      </c>
      <c r="D90" t="s">
        <v>9</v>
      </c>
    </row>
    <row r="91" spans="1:4" x14ac:dyDescent="0.25">
      <c r="A91" s="2" t="s">
        <v>3</v>
      </c>
      <c r="B91" s="3">
        <v>42510</v>
      </c>
      <c r="C91" s="4">
        <v>37.29</v>
      </c>
      <c r="D91" t="s">
        <v>9</v>
      </c>
    </row>
    <row r="92" spans="1:4" x14ac:dyDescent="0.25">
      <c r="A92" s="2" t="s">
        <v>3</v>
      </c>
      <c r="B92" s="3">
        <v>42513</v>
      </c>
      <c r="C92" s="4">
        <v>38.22</v>
      </c>
      <c r="D92" t="s">
        <v>8</v>
      </c>
    </row>
    <row r="93" spans="1:4" x14ac:dyDescent="0.25">
      <c r="A93" s="2" t="s">
        <v>3</v>
      </c>
      <c r="B93" s="3">
        <v>42514</v>
      </c>
      <c r="C93" s="4">
        <v>38.31</v>
      </c>
      <c r="D93" t="s">
        <v>8</v>
      </c>
    </row>
    <row r="94" spans="1:4" x14ac:dyDescent="0.25">
      <c r="A94" s="2" t="s">
        <v>3</v>
      </c>
      <c r="B94" s="3">
        <v>42515</v>
      </c>
      <c r="C94" s="4">
        <v>38.520000000000003</v>
      </c>
      <c r="D94" t="s">
        <v>8</v>
      </c>
    </row>
    <row r="95" spans="1:4" x14ac:dyDescent="0.25">
      <c r="A95" s="2" t="s">
        <v>3</v>
      </c>
      <c r="B95" s="3">
        <v>42516</v>
      </c>
      <c r="C95" s="4">
        <v>38.9</v>
      </c>
      <c r="D95" t="s">
        <v>8</v>
      </c>
    </row>
    <row r="96" spans="1:4" x14ac:dyDescent="0.25">
      <c r="A96" s="2" t="s">
        <v>3</v>
      </c>
      <c r="B96" s="3">
        <v>42517</v>
      </c>
      <c r="C96" s="4">
        <v>38.82</v>
      </c>
      <c r="D96" t="s">
        <v>8</v>
      </c>
    </row>
    <row r="97" spans="1:4" x14ac:dyDescent="0.25">
      <c r="A97" s="2" t="s">
        <v>3</v>
      </c>
      <c r="B97" s="3">
        <v>42520</v>
      </c>
      <c r="C97" s="4">
        <v>39.07</v>
      </c>
      <c r="D97" t="s">
        <v>8</v>
      </c>
    </row>
    <row r="98" spans="1:4" x14ac:dyDescent="0.25">
      <c r="A98" s="2" t="s">
        <v>3</v>
      </c>
      <c r="B98" s="3">
        <v>42521</v>
      </c>
      <c r="C98" s="4">
        <v>38.65</v>
      </c>
      <c r="D98" t="s">
        <v>8</v>
      </c>
    </row>
    <row r="99" spans="1:4" x14ac:dyDescent="0.25">
      <c r="A99" s="2" t="s">
        <v>3</v>
      </c>
      <c r="B99" s="3">
        <v>42522</v>
      </c>
      <c r="C99" s="4">
        <v>38.479999999999997</v>
      </c>
      <c r="D99" t="s">
        <v>8</v>
      </c>
    </row>
    <row r="100" spans="1:4" x14ac:dyDescent="0.25">
      <c r="A100" s="2" t="s">
        <v>3</v>
      </c>
      <c r="B100" s="3">
        <v>42523</v>
      </c>
      <c r="C100" s="4">
        <v>38.99</v>
      </c>
      <c r="D100" t="s">
        <v>8</v>
      </c>
    </row>
    <row r="101" spans="1:4" x14ac:dyDescent="0.25">
      <c r="A101" s="2" t="s">
        <v>3</v>
      </c>
      <c r="B101" s="3">
        <v>42524</v>
      </c>
      <c r="C101" s="4">
        <v>38.31</v>
      </c>
      <c r="D101" t="s">
        <v>8</v>
      </c>
    </row>
    <row r="102" spans="1:4" x14ac:dyDescent="0.25">
      <c r="A102" s="2" t="s">
        <v>3</v>
      </c>
      <c r="B102" s="3">
        <v>42525</v>
      </c>
      <c r="C102" s="4">
        <v>38.65</v>
      </c>
      <c r="D102" t="s">
        <v>8</v>
      </c>
    </row>
    <row r="103" spans="1:4" x14ac:dyDescent="0.25">
      <c r="A103" s="2" t="s">
        <v>3</v>
      </c>
      <c r="B103" s="3">
        <v>42527</v>
      </c>
      <c r="C103" s="4">
        <v>39.29</v>
      </c>
      <c r="D103" t="s">
        <v>8</v>
      </c>
    </row>
    <row r="104" spans="1:4" x14ac:dyDescent="0.25">
      <c r="A104" s="2" t="s">
        <v>3</v>
      </c>
      <c r="B104" s="3">
        <v>42528</v>
      </c>
      <c r="C104" s="4">
        <v>39.75</v>
      </c>
      <c r="D104" t="s">
        <v>8</v>
      </c>
    </row>
    <row r="105" spans="1:4" x14ac:dyDescent="0.25">
      <c r="A105" s="2" t="s">
        <v>3</v>
      </c>
      <c r="B105" s="3">
        <v>42529</v>
      </c>
      <c r="C105" s="4">
        <v>40.18</v>
      </c>
      <c r="D105" t="s">
        <v>8</v>
      </c>
    </row>
    <row r="106" spans="1:4" x14ac:dyDescent="0.25">
      <c r="A106" s="2" t="s">
        <v>3</v>
      </c>
      <c r="B106" s="3">
        <v>42534</v>
      </c>
      <c r="C106" s="4">
        <v>39.58</v>
      </c>
      <c r="D106" t="s">
        <v>8</v>
      </c>
    </row>
    <row r="107" spans="1:4" x14ac:dyDescent="0.25">
      <c r="A107" s="2" t="s">
        <v>3</v>
      </c>
      <c r="B107" s="3">
        <v>42535</v>
      </c>
      <c r="C107" s="4">
        <v>39.71</v>
      </c>
      <c r="D107" t="s">
        <v>8</v>
      </c>
    </row>
    <row r="108" spans="1:4" x14ac:dyDescent="0.25">
      <c r="A108" s="2" t="s">
        <v>3</v>
      </c>
      <c r="B108" s="3">
        <v>42536</v>
      </c>
      <c r="C108" s="4">
        <v>39.97</v>
      </c>
      <c r="D108" t="s">
        <v>8</v>
      </c>
    </row>
    <row r="109" spans="1:4" x14ac:dyDescent="0.25">
      <c r="A109" s="2" t="s">
        <v>3</v>
      </c>
      <c r="B109" s="3">
        <v>42537</v>
      </c>
      <c r="C109" s="4">
        <v>39.24</v>
      </c>
      <c r="D109" t="s">
        <v>8</v>
      </c>
    </row>
    <row r="110" spans="1:4" x14ac:dyDescent="0.25">
      <c r="A110" s="2" t="s">
        <v>3</v>
      </c>
      <c r="B110" s="3">
        <v>42538</v>
      </c>
      <c r="C110" s="4">
        <v>39.67</v>
      </c>
      <c r="D110" t="s">
        <v>8</v>
      </c>
    </row>
    <row r="111" spans="1:4" x14ac:dyDescent="0.25">
      <c r="A111" s="2" t="s">
        <v>3</v>
      </c>
      <c r="B111" s="3">
        <v>42541</v>
      </c>
      <c r="C111" s="4">
        <v>40.18</v>
      </c>
      <c r="D111" t="s">
        <v>8</v>
      </c>
    </row>
    <row r="112" spans="1:4" x14ac:dyDescent="0.25">
      <c r="A112" s="2" t="s">
        <v>3</v>
      </c>
      <c r="B112" s="3">
        <v>42542</v>
      </c>
      <c r="C112" s="4">
        <v>40.69</v>
      </c>
      <c r="D112" t="s">
        <v>8</v>
      </c>
    </row>
    <row r="113" spans="1:4" x14ac:dyDescent="0.25">
      <c r="A113" s="2" t="s">
        <v>3</v>
      </c>
      <c r="B113" s="3">
        <v>42543</v>
      </c>
      <c r="C113" s="4">
        <v>40.409999999999997</v>
      </c>
      <c r="D113" t="s">
        <v>8</v>
      </c>
    </row>
    <row r="114" spans="1:4" x14ac:dyDescent="0.25">
      <c r="A114" s="2" t="s">
        <v>3</v>
      </c>
      <c r="B114" s="3">
        <v>42544</v>
      </c>
      <c r="C114" s="4">
        <v>40.18</v>
      </c>
      <c r="D114" t="s">
        <v>8</v>
      </c>
    </row>
    <row r="115" spans="1:4" x14ac:dyDescent="0.25">
      <c r="A115" s="2" t="s">
        <v>3</v>
      </c>
      <c r="B115" s="3">
        <v>42545</v>
      </c>
      <c r="C115" s="4">
        <v>39.200000000000003</v>
      </c>
      <c r="D115" t="s">
        <v>8</v>
      </c>
    </row>
    <row r="116" spans="1:4" x14ac:dyDescent="0.25">
      <c r="A116" s="2" t="s">
        <v>3</v>
      </c>
      <c r="B116" s="3">
        <v>42548</v>
      </c>
      <c r="C116" s="4">
        <v>38.79</v>
      </c>
      <c r="D116" t="s">
        <v>8</v>
      </c>
    </row>
    <row r="117" spans="1:4" x14ac:dyDescent="0.25">
      <c r="A117" s="2" t="s">
        <v>3</v>
      </c>
      <c r="B117" s="3">
        <v>42549</v>
      </c>
      <c r="C117" s="4">
        <v>39.06</v>
      </c>
      <c r="D117" t="s">
        <v>8</v>
      </c>
    </row>
    <row r="118" spans="1:4" x14ac:dyDescent="0.25">
      <c r="A118" s="2" t="s">
        <v>3</v>
      </c>
      <c r="B118" s="3">
        <v>42550</v>
      </c>
      <c r="C118" s="4">
        <v>39.67</v>
      </c>
      <c r="D118" t="s">
        <v>8</v>
      </c>
    </row>
    <row r="119" spans="1:4" x14ac:dyDescent="0.25">
      <c r="A119" s="2" t="s">
        <v>3</v>
      </c>
      <c r="B119" s="3">
        <v>42551</v>
      </c>
      <c r="C119" s="4">
        <v>39.81</v>
      </c>
      <c r="D119" t="s">
        <v>8</v>
      </c>
    </row>
    <row r="120" spans="1:4" x14ac:dyDescent="0.25">
      <c r="A120" s="2" t="s">
        <v>3</v>
      </c>
      <c r="B120" s="3">
        <v>42552</v>
      </c>
      <c r="C120" s="4">
        <v>39.85</v>
      </c>
      <c r="D120" t="s">
        <v>8</v>
      </c>
    </row>
    <row r="121" spans="1:4" x14ac:dyDescent="0.25">
      <c r="A121" s="2" t="s">
        <v>3</v>
      </c>
      <c r="B121" s="3">
        <v>42555</v>
      </c>
      <c r="C121" s="4">
        <v>40.130000000000003</v>
      </c>
      <c r="D121" t="s">
        <v>8</v>
      </c>
    </row>
    <row r="122" spans="1:4" x14ac:dyDescent="0.25">
      <c r="A122" s="2" t="s">
        <v>3</v>
      </c>
      <c r="B122" s="3">
        <v>42556</v>
      </c>
      <c r="C122" s="4">
        <v>39.9</v>
      </c>
      <c r="D122" t="s">
        <v>8</v>
      </c>
    </row>
    <row r="123" spans="1:4" x14ac:dyDescent="0.25">
      <c r="A123" s="2" t="s">
        <v>3</v>
      </c>
      <c r="B123" s="3">
        <v>42557</v>
      </c>
      <c r="C123" s="4">
        <v>39.950000000000003</v>
      </c>
      <c r="D123" t="s">
        <v>8</v>
      </c>
    </row>
    <row r="124" spans="1:4" x14ac:dyDescent="0.25">
      <c r="A124" s="2" t="s">
        <v>3</v>
      </c>
      <c r="B124" s="3">
        <v>42558</v>
      </c>
      <c r="C124" s="4">
        <v>39.85</v>
      </c>
      <c r="D124" t="s">
        <v>8</v>
      </c>
    </row>
    <row r="125" spans="1:4" x14ac:dyDescent="0.25">
      <c r="A125" s="2" t="s">
        <v>3</v>
      </c>
      <c r="B125" s="3">
        <v>42562</v>
      </c>
      <c r="C125" s="4">
        <v>39.71</v>
      </c>
      <c r="D125" t="s">
        <v>8</v>
      </c>
    </row>
    <row r="126" spans="1:4" x14ac:dyDescent="0.25">
      <c r="A126" s="2" t="s">
        <v>3</v>
      </c>
      <c r="B126" s="3">
        <v>42563</v>
      </c>
      <c r="C126" s="4">
        <v>39.81</v>
      </c>
      <c r="D126" t="s">
        <v>8</v>
      </c>
    </row>
    <row r="127" spans="1:4" x14ac:dyDescent="0.25">
      <c r="A127" s="2" t="s">
        <v>3</v>
      </c>
      <c r="B127" s="3">
        <v>42564</v>
      </c>
      <c r="C127" s="4">
        <v>40.04</v>
      </c>
      <c r="D127" t="s">
        <v>8</v>
      </c>
    </row>
    <row r="128" spans="1:4" x14ac:dyDescent="0.25">
      <c r="A128" s="2" t="s">
        <v>3</v>
      </c>
      <c r="B128" s="3">
        <v>42565</v>
      </c>
      <c r="C128" s="4">
        <v>39.9</v>
      </c>
      <c r="D128" t="s">
        <v>8</v>
      </c>
    </row>
    <row r="129" spans="1:4" x14ac:dyDescent="0.25">
      <c r="A129" s="2" t="s">
        <v>3</v>
      </c>
      <c r="B129" s="3">
        <v>42566</v>
      </c>
      <c r="C129" s="4">
        <v>39.299999999999997</v>
      </c>
      <c r="D129" t="s">
        <v>8</v>
      </c>
    </row>
    <row r="130" spans="1:4" x14ac:dyDescent="0.25">
      <c r="A130" s="2" t="s">
        <v>3</v>
      </c>
      <c r="B130" s="3">
        <v>42569</v>
      </c>
      <c r="C130" s="4">
        <v>38.83</v>
      </c>
      <c r="D130" t="s">
        <v>8</v>
      </c>
    </row>
    <row r="131" spans="1:4" x14ac:dyDescent="0.25">
      <c r="A131" s="2" t="s">
        <v>3</v>
      </c>
      <c r="B131" s="3">
        <v>42570</v>
      </c>
      <c r="C131" s="4">
        <v>38.880000000000003</v>
      </c>
      <c r="D131" t="s">
        <v>8</v>
      </c>
    </row>
    <row r="132" spans="1:4" x14ac:dyDescent="0.25">
      <c r="A132" s="2" t="s">
        <v>3</v>
      </c>
      <c r="B132" s="3">
        <v>42571</v>
      </c>
      <c r="C132" s="4">
        <v>39.06</v>
      </c>
      <c r="D132" t="s">
        <v>8</v>
      </c>
    </row>
    <row r="133" spans="1:4" x14ac:dyDescent="0.25">
      <c r="A133" s="2" t="s">
        <v>3</v>
      </c>
      <c r="B133" s="3">
        <v>42572</v>
      </c>
      <c r="C133" s="4">
        <v>39.67</v>
      </c>
      <c r="D133" t="s">
        <v>8</v>
      </c>
    </row>
    <row r="134" spans="1:4" x14ac:dyDescent="0.25">
      <c r="A134" s="2" t="s">
        <v>3</v>
      </c>
      <c r="B134" s="3">
        <v>42573</v>
      </c>
      <c r="C134" s="4">
        <v>39.67</v>
      </c>
      <c r="D134" t="s">
        <v>8</v>
      </c>
    </row>
    <row r="135" spans="1:4" x14ac:dyDescent="0.25">
      <c r="A135" s="2" t="s">
        <v>3</v>
      </c>
      <c r="B135" s="3">
        <v>42576</v>
      </c>
      <c r="C135" s="4">
        <v>38.97</v>
      </c>
      <c r="D135" t="s">
        <v>8</v>
      </c>
    </row>
    <row r="136" spans="1:4" x14ac:dyDescent="0.25">
      <c r="A136" s="2" t="s">
        <v>3</v>
      </c>
      <c r="B136" s="3">
        <v>42577</v>
      </c>
      <c r="C136" s="4">
        <v>38.880000000000003</v>
      </c>
      <c r="D136" t="s">
        <v>8</v>
      </c>
    </row>
    <row r="137" spans="1:4" x14ac:dyDescent="0.25">
      <c r="A137" s="2" t="s">
        <v>3</v>
      </c>
      <c r="B137" s="3">
        <v>42578</v>
      </c>
      <c r="C137" s="4">
        <v>39.299999999999997</v>
      </c>
      <c r="D137" t="s">
        <v>8</v>
      </c>
    </row>
    <row r="138" spans="1:4" x14ac:dyDescent="0.25">
      <c r="A138" s="2" t="s">
        <v>3</v>
      </c>
      <c r="B138" s="3">
        <v>42579</v>
      </c>
      <c r="C138" s="4">
        <v>39.340000000000003</v>
      </c>
      <c r="D138" t="s">
        <v>8</v>
      </c>
    </row>
    <row r="139" spans="1:4" x14ac:dyDescent="0.25">
      <c r="A139" s="2" t="s">
        <v>3</v>
      </c>
      <c r="B139" s="3">
        <v>42580</v>
      </c>
      <c r="C139" s="4">
        <v>39.159999999999997</v>
      </c>
      <c r="D139" t="s">
        <v>8</v>
      </c>
    </row>
    <row r="140" spans="1:4" x14ac:dyDescent="0.25">
      <c r="A140" s="2" t="s">
        <v>3</v>
      </c>
      <c r="B140" s="3">
        <v>42583</v>
      </c>
      <c r="C140" s="4">
        <v>39.159999999999997</v>
      </c>
      <c r="D140" t="s">
        <v>8</v>
      </c>
    </row>
    <row r="141" spans="1:4" x14ac:dyDescent="0.25">
      <c r="A141" s="2" t="s">
        <v>3</v>
      </c>
      <c r="B141" s="3">
        <v>42584</v>
      </c>
      <c r="C141" s="4">
        <v>39.020000000000003</v>
      </c>
      <c r="D141" t="s">
        <v>8</v>
      </c>
    </row>
    <row r="142" spans="1:4" x14ac:dyDescent="0.25">
      <c r="A142" s="2" t="s">
        <v>3</v>
      </c>
      <c r="B142" s="3">
        <v>42585</v>
      </c>
      <c r="C142" s="4">
        <v>37.39</v>
      </c>
      <c r="D142" t="s">
        <v>9</v>
      </c>
    </row>
    <row r="143" spans="1:4" x14ac:dyDescent="0.25">
      <c r="A143" s="2" t="s">
        <v>3</v>
      </c>
      <c r="B143" s="3">
        <v>42586</v>
      </c>
      <c r="C143" s="4">
        <v>36.79</v>
      </c>
      <c r="D143" t="s">
        <v>9</v>
      </c>
    </row>
    <row r="144" spans="1:4" x14ac:dyDescent="0.25">
      <c r="A144" s="2" t="s">
        <v>3</v>
      </c>
      <c r="B144" s="3">
        <v>42587</v>
      </c>
      <c r="C144" s="4">
        <v>36.93</v>
      </c>
      <c r="D144" t="s">
        <v>9</v>
      </c>
    </row>
    <row r="145" spans="1:4" x14ac:dyDescent="0.25">
      <c r="A145" s="2" t="s">
        <v>3</v>
      </c>
      <c r="B145" s="3">
        <v>42590</v>
      </c>
      <c r="C145" s="4">
        <v>37.25</v>
      </c>
      <c r="D145" t="s">
        <v>9</v>
      </c>
    </row>
    <row r="146" spans="1:4" x14ac:dyDescent="0.25">
      <c r="A146" s="2" t="s">
        <v>3</v>
      </c>
      <c r="B146" s="3">
        <v>42591</v>
      </c>
      <c r="C146" s="4">
        <v>36.79</v>
      </c>
      <c r="D146" t="s">
        <v>9</v>
      </c>
    </row>
    <row r="147" spans="1:4" x14ac:dyDescent="0.25">
      <c r="A147" s="2" t="s">
        <v>3</v>
      </c>
      <c r="B147" s="3">
        <v>42592</v>
      </c>
      <c r="C147" s="4">
        <v>36.840000000000003</v>
      </c>
      <c r="D147" t="s">
        <v>9</v>
      </c>
    </row>
    <row r="148" spans="1:4" x14ac:dyDescent="0.25">
      <c r="A148" s="2" t="s">
        <v>3</v>
      </c>
      <c r="B148" s="3">
        <v>42593</v>
      </c>
      <c r="C148" s="4">
        <v>36.74</v>
      </c>
      <c r="D148" t="s">
        <v>9</v>
      </c>
    </row>
    <row r="149" spans="1:4" x14ac:dyDescent="0.25">
      <c r="A149" s="2" t="s">
        <v>3</v>
      </c>
      <c r="B149" s="3">
        <v>42594</v>
      </c>
      <c r="C149" s="4">
        <v>36.61</v>
      </c>
      <c r="D149" t="s">
        <v>9</v>
      </c>
    </row>
    <row r="150" spans="1:4" x14ac:dyDescent="0.25">
      <c r="A150" s="2" t="s">
        <v>3</v>
      </c>
      <c r="B150" s="3">
        <v>42597</v>
      </c>
      <c r="C150" s="4">
        <v>36.28</v>
      </c>
      <c r="D150" t="s">
        <v>9</v>
      </c>
    </row>
    <row r="151" spans="1:4" x14ac:dyDescent="0.25">
      <c r="A151" s="2" t="s">
        <v>3</v>
      </c>
      <c r="B151" s="3">
        <v>42598</v>
      </c>
      <c r="C151" s="4">
        <v>36.42</v>
      </c>
      <c r="D151" t="s">
        <v>9</v>
      </c>
    </row>
    <row r="152" spans="1:4" x14ac:dyDescent="0.25">
      <c r="A152" s="2" t="s">
        <v>3</v>
      </c>
      <c r="B152" s="3">
        <v>42599</v>
      </c>
      <c r="C152" s="4">
        <v>37.020000000000003</v>
      </c>
      <c r="D152" t="s">
        <v>9</v>
      </c>
    </row>
    <row r="153" spans="1:4" x14ac:dyDescent="0.25">
      <c r="A153" s="2" t="s">
        <v>3</v>
      </c>
      <c r="B153" s="3">
        <v>42600</v>
      </c>
      <c r="C153" s="4">
        <v>37.020000000000003</v>
      </c>
      <c r="D153" t="s">
        <v>9</v>
      </c>
    </row>
    <row r="154" spans="1:4" x14ac:dyDescent="0.25">
      <c r="A154" s="2" t="s">
        <v>3</v>
      </c>
      <c r="B154" s="3">
        <v>42601</v>
      </c>
      <c r="C154" s="4">
        <v>37.25</v>
      </c>
      <c r="D154" t="s">
        <v>9</v>
      </c>
    </row>
    <row r="155" spans="1:4" x14ac:dyDescent="0.25">
      <c r="A155" s="2" t="s">
        <v>3</v>
      </c>
      <c r="B155" s="3">
        <v>42604</v>
      </c>
      <c r="C155" s="4">
        <v>37.119999999999997</v>
      </c>
      <c r="D155" t="s">
        <v>9</v>
      </c>
    </row>
    <row r="156" spans="1:4" x14ac:dyDescent="0.25">
      <c r="A156" s="2" t="s">
        <v>3</v>
      </c>
      <c r="B156" s="3">
        <v>42605</v>
      </c>
      <c r="C156" s="4">
        <v>37.119999999999997</v>
      </c>
      <c r="D156" t="s">
        <v>9</v>
      </c>
    </row>
    <row r="157" spans="1:4" x14ac:dyDescent="0.25">
      <c r="A157" s="2" t="s">
        <v>3</v>
      </c>
      <c r="B157" s="3">
        <v>42606</v>
      </c>
      <c r="C157" s="4">
        <v>37.07</v>
      </c>
      <c r="D157" t="s">
        <v>9</v>
      </c>
    </row>
    <row r="158" spans="1:4" x14ac:dyDescent="0.25">
      <c r="A158" s="2" t="s">
        <v>3</v>
      </c>
      <c r="B158" s="3">
        <v>42607</v>
      </c>
      <c r="C158" s="4">
        <v>37.07</v>
      </c>
      <c r="D158" t="s">
        <v>9</v>
      </c>
    </row>
    <row r="159" spans="1:4" x14ac:dyDescent="0.25">
      <c r="A159" s="2" t="s">
        <v>3</v>
      </c>
      <c r="B159" s="3">
        <v>42608</v>
      </c>
      <c r="C159" s="4">
        <v>37.119999999999997</v>
      </c>
      <c r="D159" t="s">
        <v>9</v>
      </c>
    </row>
    <row r="160" spans="1:4" x14ac:dyDescent="0.25">
      <c r="A160" s="2" t="s">
        <v>3</v>
      </c>
      <c r="B160" s="3">
        <v>42611</v>
      </c>
      <c r="C160" s="4">
        <v>37.35</v>
      </c>
      <c r="D160" t="s">
        <v>9</v>
      </c>
    </row>
    <row r="161" spans="1:4" x14ac:dyDescent="0.25">
      <c r="A161" s="2" t="s">
        <v>3</v>
      </c>
      <c r="B161" s="3">
        <v>42612</v>
      </c>
      <c r="C161" s="4">
        <v>37.299999999999997</v>
      </c>
      <c r="D161" t="s">
        <v>9</v>
      </c>
    </row>
    <row r="162" spans="1:4" x14ac:dyDescent="0.25">
      <c r="A162" s="2" t="s">
        <v>3</v>
      </c>
      <c r="B162" s="3">
        <v>42613</v>
      </c>
      <c r="C162" s="4">
        <v>36.28</v>
      </c>
      <c r="D162" t="s">
        <v>9</v>
      </c>
    </row>
    <row r="163" spans="1:4" x14ac:dyDescent="0.25">
      <c r="A163" s="2" t="s">
        <v>3</v>
      </c>
      <c r="B163" s="3">
        <v>42614</v>
      </c>
      <c r="C163" s="4">
        <v>36.79</v>
      </c>
      <c r="D163" t="s">
        <v>9</v>
      </c>
    </row>
    <row r="164" spans="1:4" x14ac:dyDescent="0.25">
      <c r="A164" s="2" t="s">
        <v>3</v>
      </c>
      <c r="B164" s="3">
        <v>42615</v>
      </c>
      <c r="C164" s="4">
        <v>36.369999999999997</v>
      </c>
      <c r="D164" t="s">
        <v>9</v>
      </c>
    </row>
    <row r="165" spans="1:4" x14ac:dyDescent="0.25">
      <c r="A165" s="2" t="s">
        <v>3</v>
      </c>
      <c r="B165" s="3">
        <v>42618</v>
      </c>
      <c r="C165" s="4">
        <v>36.47</v>
      </c>
      <c r="D165" t="s">
        <v>9</v>
      </c>
    </row>
    <row r="166" spans="1:4" x14ac:dyDescent="0.25">
      <c r="A166" s="2" t="s">
        <v>3</v>
      </c>
      <c r="B166" s="3">
        <v>42619</v>
      </c>
      <c r="C166" s="4">
        <v>36.840000000000003</v>
      </c>
      <c r="D166" t="s">
        <v>9</v>
      </c>
    </row>
    <row r="167" spans="1:4" x14ac:dyDescent="0.25">
      <c r="A167" s="2" t="s">
        <v>3</v>
      </c>
      <c r="B167" s="3">
        <v>42620</v>
      </c>
      <c r="C167" s="4">
        <v>37.21</v>
      </c>
      <c r="D167" t="s">
        <v>9</v>
      </c>
    </row>
    <row r="168" spans="1:4" x14ac:dyDescent="0.25">
      <c r="A168" s="2" t="s">
        <v>3</v>
      </c>
      <c r="B168" s="3">
        <v>42621</v>
      </c>
      <c r="C168" s="4">
        <v>37.39</v>
      </c>
      <c r="D168" t="s">
        <v>9</v>
      </c>
    </row>
    <row r="169" spans="1:4" x14ac:dyDescent="0.25">
      <c r="A169" s="2" t="s">
        <v>3</v>
      </c>
      <c r="B169" s="3">
        <v>42622</v>
      </c>
      <c r="C169" s="4">
        <v>37.39</v>
      </c>
      <c r="D169" t="s">
        <v>9</v>
      </c>
    </row>
    <row r="170" spans="1:4" x14ac:dyDescent="0.25">
      <c r="A170" s="2" t="s">
        <v>3</v>
      </c>
      <c r="B170" s="3">
        <v>42623</v>
      </c>
      <c r="C170" s="4">
        <v>36.93</v>
      </c>
      <c r="D170" t="s">
        <v>9</v>
      </c>
    </row>
    <row r="171" spans="1:4" x14ac:dyDescent="0.25">
      <c r="A171" s="2" t="s">
        <v>3</v>
      </c>
      <c r="B171" s="3">
        <v>42625</v>
      </c>
      <c r="C171" s="4">
        <v>36.74</v>
      </c>
      <c r="D171" t="s">
        <v>9</v>
      </c>
    </row>
    <row r="172" spans="1:4" x14ac:dyDescent="0.25">
      <c r="A172" s="2" t="s">
        <v>3</v>
      </c>
      <c r="B172" s="3">
        <v>42626</v>
      </c>
      <c r="C172" s="4">
        <v>36.47</v>
      </c>
      <c r="D172" t="s">
        <v>9</v>
      </c>
    </row>
    <row r="173" spans="1:4" x14ac:dyDescent="0.25">
      <c r="A173" s="2" t="s">
        <v>3</v>
      </c>
      <c r="B173" s="3">
        <v>42627</v>
      </c>
      <c r="C173" s="4">
        <v>37.07</v>
      </c>
      <c r="D173" t="s">
        <v>9</v>
      </c>
    </row>
    <row r="174" spans="1:4" x14ac:dyDescent="0.25">
      <c r="A174" s="2" t="s">
        <v>3</v>
      </c>
      <c r="B174" s="3">
        <v>42632</v>
      </c>
      <c r="C174" s="4">
        <v>36.700000000000003</v>
      </c>
      <c r="D174" t="s">
        <v>9</v>
      </c>
    </row>
    <row r="175" spans="1:4" x14ac:dyDescent="0.25">
      <c r="A175" s="2" t="s">
        <v>3</v>
      </c>
      <c r="B175" s="3">
        <v>42633</v>
      </c>
      <c r="C175" s="4">
        <v>36.93</v>
      </c>
      <c r="D175" t="s">
        <v>9</v>
      </c>
    </row>
    <row r="176" spans="1:4" x14ac:dyDescent="0.25">
      <c r="A176" s="2" t="s">
        <v>3</v>
      </c>
      <c r="B176" s="3">
        <v>42634</v>
      </c>
      <c r="C176" s="4">
        <v>37.9</v>
      </c>
      <c r="D176" t="s">
        <v>9</v>
      </c>
    </row>
    <row r="177" spans="1:4" x14ac:dyDescent="0.25">
      <c r="A177" s="2" t="s">
        <v>3</v>
      </c>
      <c r="B177" s="3">
        <v>42635</v>
      </c>
      <c r="C177" s="4">
        <v>38.65</v>
      </c>
      <c r="D177" t="s">
        <v>8</v>
      </c>
    </row>
    <row r="178" spans="1:4" x14ac:dyDescent="0.25">
      <c r="A178" s="2" t="s">
        <v>3</v>
      </c>
      <c r="B178" s="3">
        <v>42636</v>
      </c>
      <c r="C178" s="4">
        <v>38.46</v>
      </c>
      <c r="D178" t="s">
        <v>8</v>
      </c>
    </row>
    <row r="179" spans="1:4" x14ac:dyDescent="0.25">
      <c r="A179" s="2" t="s">
        <v>3</v>
      </c>
      <c r="B179" s="3">
        <v>42639</v>
      </c>
      <c r="C179" s="4">
        <v>38.369999999999997</v>
      </c>
      <c r="D179" t="s">
        <v>8</v>
      </c>
    </row>
    <row r="180" spans="1:4" x14ac:dyDescent="0.25">
      <c r="A180" s="2" t="s">
        <v>3</v>
      </c>
      <c r="B180" s="3">
        <v>42642</v>
      </c>
      <c r="C180" s="4">
        <v>38.229999999999997</v>
      </c>
      <c r="D180" t="s">
        <v>8</v>
      </c>
    </row>
    <row r="181" spans="1:4" x14ac:dyDescent="0.25">
      <c r="A181" s="2" t="s">
        <v>3</v>
      </c>
      <c r="B181" s="3">
        <v>42643</v>
      </c>
      <c r="C181" s="4">
        <v>38.04</v>
      </c>
      <c r="D181" t="s">
        <v>8</v>
      </c>
    </row>
    <row r="182" spans="1:4" x14ac:dyDescent="0.25">
      <c r="A182" s="2" t="s">
        <v>3</v>
      </c>
      <c r="B182" s="3">
        <v>42646</v>
      </c>
      <c r="C182" s="4">
        <v>38.229999999999997</v>
      </c>
      <c r="D182" t="s">
        <v>8</v>
      </c>
    </row>
    <row r="183" spans="1:4" x14ac:dyDescent="0.25">
      <c r="A183" s="2" t="s">
        <v>3</v>
      </c>
      <c r="B183" s="3">
        <v>42647</v>
      </c>
      <c r="C183" s="4">
        <v>38.46</v>
      </c>
      <c r="D183" t="s">
        <v>8</v>
      </c>
    </row>
    <row r="184" spans="1:4" x14ac:dyDescent="0.25">
      <c r="A184" s="2" t="s">
        <v>3</v>
      </c>
      <c r="B184" s="3">
        <v>42648</v>
      </c>
      <c r="C184" s="4">
        <v>37.86</v>
      </c>
      <c r="D184" t="s">
        <v>9</v>
      </c>
    </row>
    <row r="185" spans="1:4" x14ac:dyDescent="0.25">
      <c r="A185" s="2" t="s">
        <v>3</v>
      </c>
      <c r="B185" s="3">
        <v>42649</v>
      </c>
      <c r="C185" s="4">
        <v>37.630000000000003</v>
      </c>
      <c r="D185" t="s">
        <v>9</v>
      </c>
    </row>
    <row r="186" spans="1:4" x14ac:dyDescent="0.25">
      <c r="A186" s="2" t="s">
        <v>3</v>
      </c>
      <c r="B186" s="3">
        <v>42650</v>
      </c>
      <c r="C186" s="4">
        <v>37.72</v>
      </c>
      <c r="D186" t="s">
        <v>9</v>
      </c>
    </row>
    <row r="187" spans="1:4" x14ac:dyDescent="0.25">
      <c r="A187" s="2" t="s">
        <v>3</v>
      </c>
      <c r="B187" s="3">
        <v>42654</v>
      </c>
      <c r="C187" s="4">
        <v>36.79</v>
      </c>
      <c r="D187" t="s">
        <v>9</v>
      </c>
    </row>
    <row r="188" spans="1:4" x14ac:dyDescent="0.25">
      <c r="A188" s="2" t="s">
        <v>3</v>
      </c>
      <c r="B188" s="3">
        <v>42655</v>
      </c>
      <c r="C188" s="4">
        <v>36.840000000000003</v>
      </c>
      <c r="D188" t="s">
        <v>9</v>
      </c>
    </row>
    <row r="189" spans="1:4" x14ac:dyDescent="0.25">
      <c r="A189" s="2" t="s">
        <v>3</v>
      </c>
      <c r="B189" s="3">
        <v>42656</v>
      </c>
      <c r="C189" s="4">
        <v>36.74</v>
      </c>
      <c r="D189" t="s">
        <v>9</v>
      </c>
    </row>
    <row r="190" spans="1:4" x14ac:dyDescent="0.25">
      <c r="A190" s="2" t="s">
        <v>3</v>
      </c>
      <c r="B190" s="3">
        <v>42657</v>
      </c>
      <c r="C190" s="4">
        <v>36.47</v>
      </c>
      <c r="D190" t="s">
        <v>9</v>
      </c>
    </row>
    <row r="191" spans="1:4" x14ac:dyDescent="0.25">
      <c r="A191" s="2" t="s">
        <v>3</v>
      </c>
      <c r="B191" s="3">
        <v>42660</v>
      </c>
      <c r="C191" s="4">
        <v>36.65</v>
      </c>
      <c r="D191" t="s">
        <v>9</v>
      </c>
    </row>
    <row r="192" spans="1:4" x14ac:dyDescent="0.25">
      <c r="A192" s="2" t="s">
        <v>3</v>
      </c>
      <c r="B192" s="3">
        <v>42661</v>
      </c>
      <c r="C192" s="4">
        <v>37.07</v>
      </c>
      <c r="D192" t="s">
        <v>9</v>
      </c>
    </row>
    <row r="193" spans="1:4" x14ac:dyDescent="0.25">
      <c r="A193" s="2" t="s">
        <v>3</v>
      </c>
      <c r="B193" s="3">
        <v>42662</v>
      </c>
      <c r="C193" s="4">
        <v>36.880000000000003</v>
      </c>
      <c r="D193" t="s">
        <v>9</v>
      </c>
    </row>
    <row r="194" spans="1:4" x14ac:dyDescent="0.25">
      <c r="A194" s="2" t="s">
        <v>3</v>
      </c>
      <c r="B194" s="3">
        <v>42663</v>
      </c>
      <c r="C194" s="4">
        <v>36.840000000000003</v>
      </c>
      <c r="D194" t="s">
        <v>9</v>
      </c>
    </row>
    <row r="195" spans="1:4" x14ac:dyDescent="0.25">
      <c r="A195" s="2" t="s">
        <v>3</v>
      </c>
      <c r="B195" s="3">
        <v>42664</v>
      </c>
      <c r="C195" s="4">
        <v>39.619999999999997</v>
      </c>
      <c r="D195" t="s">
        <v>8</v>
      </c>
    </row>
    <row r="196" spans="1:4" x14ac:dyDescent="0.25">
      <c r="A196" s="2" t="s">
        <v>3</v>
      </c>
      <c r="B196" s="3">
        <v>42667</v>
      </c>
      <c r="C196" s="4">
        <v>38.409999999999997</v>
      </c>
      <c r="D196" t="s">
        <v>8</v>
      </c>
    </row>
    <row r="197" spans="1:4" x14ac:dyDescent="0.25">
      <c r="A197" s="2" t="s">
        <v>3</v>
      </c>
      <c r="B197" s="3">
        <v>42668</v>
      </c>
      <c r="C197" s="4">
        <v>38.409999999999997</v>
      </c>
      <c r="D197" t="s">
        <v>8</v>
      </c>
    </row>
    <row r="198" spans="1:4" x14ac:dyDescent="0.25">
      <c r="A198" s="2" t="s">
        <v>3</v>
      </c>
      <c r="B198" s="3">
        <v>42669</v>
      </c>
      <c r="C198" s="4">
        <v>38.6</v>
      </c>
      <c r="D198" t="s">
        <v>8</v>
      </c>
    </row>
    <row r="199" spans="1:4" x14ac:dyDescent="0.25">
      <c r="A199" s="2" t="s">
        <v>3</v>
      </c>
      <c r="B199" s="3">
        <v>42670</v>
      </c>
      <c r="C199" s="4">
        <v>37.21</v>
      </c>
      <c r="D199" t="s">
        <v>9</v>
      </c>
    </row>
    <row r="200" spans="1:4" x14ac:dyDescent="0.25">
      <c r="A200" s="2" t="s">
        <v>3</v>
      </c>
      <c r="B200" s="3">
        <v>42671</v>
      </c>
      <c r="C200" s="4">
        <v>36.090000000000003</v>
      </c>
      <c r="D200" t="s">
        <v>9</v>
      </c>
    </row>
    <row r="201" spans="1:4" x14ac:dyDescent="0.25">
      <c r="A201" s="2" t="s">
        <v>3</v>
      </c>
      <c r="B201" s="3">
        <v>42674</v>
      </c>
      <c r="C201" s="4">
        <v>37.119999999999997</v>
      </c>
      <c r="D201" t="s">
        <v>9</v>
      </c>
    </row>
    <row r="202" spans="1:4" x14ac:dyDescent="0.25">
      <c r="A202" s="2" t="s">
        <v>3</v>
      </c>
      <c r="B202" s="3">
        <v>42675</v>
      </c>
      <c r="C202" s="4">
        <v>37.119999999999997</v>
      </c>
      <c r="D202" t="s">
        <v>9</v>
      </c>
    </row>
    <row r="203" spans="1:4" x14ac:dyDescent="0.25">
      <c r="A203" s="2" t="s">
        <v>3</v>
      </c>
      <c r="B203" s="3">
        <v>42676</v>
      </c>
      <c r="C203" s="4">
        <v>37.299999999999997</v>
      </c>
      <c r="D203" t="s">
        <v>9</v>
      </c>
    </row>
    <row r="204" spans="1:4" x14ac:dyDescent="0.25">
      <c r="A204" s="2" t="s">
        <v>3</v>
      </c>
      <c r="B204" s="3">
        <v>42677</v>
      </c>
      <c r="C204" s="4">
        <v>36.880000000000003</v>
      </c>
      <c r="D204" t="s">
        <v>9</v>
      </c>
    </row>
    <row r="205" spans="1:4" x14ac:dyDescent="0.25">
      <c r="A205" s="2" t="s">
        <v>3</v>
      </c>
      <c r="B205" s="3">
        <v>42678</v>
      </c>
      <c r="C205" s="4">
        <v>36.79</v>
      </c>
      <c r="D205" t="s">
        <v>9</v>
      </c>
    </row>
    <row r="206" spans="1:4" x14ac:dyDescent="0.25">
      <c r="A206" s="2" t="s">
        <v>3</v>
      </c>
      <c r="B206" s="3">
        <v>42681</v>
      </c>
      <c r="C206" s="4">
        <v>36.880000000000003</v>
      </c>
      <c r="D206" t="s">
        <v>9</v>
      </c>
    </row>
    <row r="207" spans="1:4" x14ac:dyDescent="0.25">
      <c r="A207" s="2" t="s">
        <v>3</v>
      </c>
      <c r="B207" s="3">
        <v>42682</v>
      </c>
      <c r="C207" s="4">
        <v>37.159999999999997</v>
      </c>
      <c r="D207" t="s">
        <v>9</v>
      </c>
    </row>
    <row r="208" spans="1:4" x14ac:dyDescent="0.25">
      <c r="A208" s="2" t="s">
        <v>3</v>
      </c>
      <c r="B208" s="3">
        <v>42683</v>
      </c>
      <c r="C208" s="4">
        <v>36.65</v>
      </c>
      <c r="D208" t="s">
        <v>9</v>
      </c>
    </row>
    <row r="209" spans="1:4" x14ac:dyDescent="0.25">
      <c r="A209" s="2" t="s">
        <v>3</v>
      </c>
      <c r="B209" s="3">
        <v>42684</v>
      </c>
      <c r="C209" s="4">
        <v>36.840000000000003</v>
      </c>
      <c r="D209" t="s">
        <v>9</v>
      </c>
    </row>
    <row r="210" spans="1:4" x14ac:dyDescent="0.25">
      <c r="A210" s="2" t="s">
        <v>3</v>
      </c>
      <c r="B210" s="3">
        <v>42685</v>
      </c>
      <c r="C210" s="4">
        <v>36.049999999999997</v>
      </c>
      <c r="D210" t="s">
        <v>9</v>
      </c>
    </row>
    <row r="211" spans="1:4" x14ac:dyDescent="0.25">
      <c r="A211" s="2" t="s">
        <v>3</v>
      </c>
      <c r="B211" s="3">
        <v>42688</v>
      </c>
      <c r="C211" s="4">
        <v>35.86</v>
      </c>
      <c r="D211" t="s">
        <v>9</v>
      </c>
    </row>
    <row r="212" spans="1:4" x14ac:dyDescent="0.25">
      <c r="A212" s="2" t="s">
        <v>3</v>
      </c>
      <c r="B212" s="3">
        <v>42689</v>
      </c>
      <c r="C212" s="4">
        <v>35.96</v>
      </c>
      <c r="D212" t="s">
        <v>9</v>
      </c>
    </row>
    <row r="213" spans="1:4" x14ac:dyDescent="0.25">
      <c r="A213" s="2" t="s">
        <v>3</v>
      </c>
      <c r="B213" s="3">
        <v>42690</v>
      </c>
      <c r="C213" s="4">
        <v>36.090000000000003</v>
      </c>
      <c r="D213" t="s">
        <v>9</v>
      </c>
    </row>
    <row r="214" spans="1:4" x14ac:dyDescent="0.25">
      <c r="A214" s="2" t="s">
        <v>3</v>
      </c>
      <c r="B214" s="3">
        <v>42691</v>
      </c>
      <c r="C214" s="4">
        <v>36.229999999999997</v>
      </c>
      <c r="D214" t="s">
        <v>9</v>
      </c>
    </row>
    <row r="215" spans="1:4" x14ac:dyDescent="0.25">
      <c r="A215" s="2" t="s">
        <v>3</v>
      </c>
      <c r="B215" s="3">
        <v>42692</v>
      </c>
      <c r="C215" s="4">
        <v>37.07</v>
      </c>
      <c r="D215" t="s">
        <v>9</v>
      </c>
    </row>
    <row r="216" spans="1:4" x14ac:dyDescent="0.25">
      <c r="A216" s="2" t="s">
        <v>3</v>
      </c>
      <c r="B216" s="3">
        <v>42695</v>
      </c>
      <c r="C216" s="4">
        <v>37.35</v>
      </c>
      <c r="D216" t="s">
        <v>9</v>
      </c>
    </row>
    <row r="217" spans="1:4" x14ac:dyDescent="0.25">
      <c r="A217" s="2" t="s">
        <v>3</v>
      </c>
      <c r="B217" s="3">
        <v>42696</v>
      </c>
      <c r="C217" s="4">
        <v>37.67</v>
      </c>
      <c r="D217" t="s">
        <v>9</v>
      </c>
    </row>
    <row r="218" spans="1:4" x14ac:dyDescent="0.25">
      <c r="A218" s="2" t="s">
        <v>3</v>
      </c>
      <c r="B218" s="3">
        <v>42697</v>
      </c>
      <c r="C218" s="4">
        <v>37.81</v>
      </c>
      <c r="D218" t="s">
        <v>9</v>
      </c>
    </row>
    <row r="219" spans="1:4" x14ac:dyDescent="0.25">
      <c r="A219" s="2" t="s">
        <v>3</v>
      </c>
      <c r="B219" s="3">
        <v>42698</v>
      </c>
      <c r="C219" s="4">
        <v>37.630000000000003</v>
      </c>
      <c r="D219" t="s">
        <v>9</v>
      </c>
    </row>
    <row r="220" spans="1:4" x14ac:dyDescent="0.25">
      <c r="A220" s="2" t="s">
        <v>3</v>
      </c>
      <c r="B220" s="3">
        <v>42699</v>
      </c>
      <c r="C220" s="4">
        <v>37.76</v>
      </c>
      <c r="D220" t="s">
        <v>9</v>
      </c>
    </row>
    <row r="221" spans="1:4" x14ac:dyDescent="0.25">
      <c r="A221" s="2" t="s">
        <v>3</v>
      </c>
      <c r="B221" s="3">
        <v>42702</v>
      </c>
      <c r="C221" s="4">
        <v>38.229999999999997</v>
      </c>
      <c r="D221" t="s">
        <v>8</v>
      </c>
    </row>
    <row r="222" spans="1:4" x14ac:dyDescent="0.25">
      <c r="A222" s="2" t="s">
        <v>3</v>
      </c>
      <c r="B222" s="3">
        <v>42703</v>
      </c>
      <c r="C222" s="4">
        <v>38.04</v>
      </c>
      <c r="D222" t="s">
        <v>8</v>
      </c>
    </row>
    <row r="223" spans="1:4" x14ac:dyDescent="0.25">
      <c r="A223" s="2" t="s">
        <v>3</v>
      </c>
      <c r="B223" s="3">
        <v>42704</v>
      </c>
      <c r="C223" s="4">
        <v>38.090000000000003</v>
      </c>
      <c r="D223" t="s">
        <v>8</v>
      </c>
    </row>
    <row r="224" spans="1:4" x14ac:dyDescent="0.25">
      <c r="A224" s="2" t="s">
        <v>3</v>
      </c>
      <c r="B224" s="3">
        <v>42705</v>
      </c>
      <c r="C224" s="4">
        <v>38.18</v>
      </c>
      <c r="D224" t="s">
        <v>8</v>
      </c>
    </row>
    <row r="225" spans="1:4" x14ac:dyDescent="0.25">
      <c r="A225" s="2" t="s">
        <v>3</v>
      </c>
      <c r="B225" s="3">
        <v>42706</v>
      </c>
      <c r="C225" s="4">
        <v>37.58</v>
      </c>
      <c r="D225" t="s">
        <v>9</v>
      </c>
    </row>
    <row r="226" spans="1:4" x14ac:dyDescent="0.25">
      <c r="A226" s="2" t="s">
        <v>3</v>
      </c>
      <c r="B226" s="3">
        <v>42709</v>
      </c>
      <c r="C226" s="4">
        <v>36.47</v>
      </c>
      <c r="D226" t="s">
        <v>9</v>
      </c>
    </row>
    <row r="227" spans="1:4" x14ac:dyDescent="0.25">
      <c r="A227" s="2" t="s">
        <v>3</v>
      </c>
      <c r="B227" s="3">
        <v>42710</v>
      </c>
      <c r="C227" s="4">
        <v>36.74</v>
      </c>
      <c r="D227" t="s">
        <v>9</v>
      </c>
    </row>
    <row r="228" spans="1:4" x14ac:dyDescent="0.25">
      <c r="A228" s="2" t="s">
        <v>3</v>
      </c>
      <c r="B228" s="3">
        <v>42711</v>
      </c>
      <c r="C228" s="4">
        <v>36.47</v>
      </c>
      <c r="D228" t="s">
        <v>9</v>
      </c>
    </row>
    <row r="229" spans="1:4" x14ac:dyDescent="0.25">
      <c r="A229" s="2" t="s">
        <v>3</v>
      </c>
      <c r="B229" s="3">
        <v>42712</v>
      </c>
      <c r="C229" s="4">
        <v>36.33</v>
      </c>
      <c r="D229" t="s">
        <v>9</v>
      </c>
    </row>
    <row r="230" spans="1:4" x14ac:dyDescent="0.25">
      <c r="A230" s="2" t="s">
        <v>3</v>
      </c>
      <c r="B230" s="3">
        <v>42713</v>
      </c>
      <c r="C230" s="4">
        <v>36.19</v>
      </c>
      <c r="D230" t="s">
        <v>9</v>
      </c>
    </row>
    <row r="231" spans="1:4" x14ac:dyDescent="0.25">
      <c r="A231" s="2" t="s">
        <v>3</v>
      </c>
      <c r="B231" s="3">
        <v>42716</v>
      </c>
      <c r="C231" s="4">
        <v>35.770000000000003</v>
      </c>
      <c r="D231" t="s">
        <v>9</v>
      </c>
    </row>
    <row r="232" spans="1:4" x14ac:dyDescent="0.25">
      <c r="A232" s="2" t="s">
        <v>3</v>
      </c>
      <c r="B232" s="3">
        <v>42717</v>
      </c>
      <c r="C232" s="4">
        <v>35.4</v>
      </c>
      <c r="D232" t="s">
        <v>9</v>
      </c>
    </row>
    <row r="233" spans="1:4" x14ac:dyDescent="0.25">
      <c r="A233" s="2" t="s">
        <v>3</v>
      </c>
      <c r="B233" s="3">
        <v>42718</v>
      </c>
      <c r="C233" s="4">
        <v>35.21</v>
      </c>
      <c r="D233" t="s">
        <v>9</v>
      </c>
    </row>
    <row r="234" spans="1:4" x14ac:dyDescent="0.25">
      <c r="A234" s="2" t="s">
        <v>3</v>
      </c>
      <c r="B234" s="3">
        <v>42719</v>
      </c>
      <c r="C234" s="4">
        <v>34.979999999999997</v>
      </c>
      <c r="D234" t="s">
        <v>9</v>
      </c>
    </row>
    <row r="235" spans="1:4" x14ac:dyDescent="0.25">
      <c r="A235" s="2" t="s">
        <v>3</v>
      </c>
      <c r="B235" s="3">
        <v>42720</v>
      </c>
      <c r="C235" s="4">
        <v>36</v>
      </c>
      <c r="D235" t="s">
        <v>9</v>
      </c>
    </row>
    <row r="236" spans="1:4" x14ac:dyDescent="0.25">
      <c r="A236" s="2" t="s">
        <v>3</v>
      </c>
      <c r="B236" s="3">
        <v>42723</v>
      </c>
      <c r="C236" s="4">
        <v>35.54</v>
      </c>
      <c r="D236" t="s">
        <v>9</v>
      </c>
    </row>
    <row r="237" spans="1:4" x14ac:dyDescent="0.25">
      <c r="A237" s="2" t="s">
        <v>3</v>
      </c>
      <c r="B237" s="3">
        <v>42724</v>
      </c>
      <c r="C237" s="4">
        <v>36.19</v>
      </c>
      <c r="D237" t="s">
        <v>9</v>
      </c>
    </row>
    <row r="238" spans="1:4" x14ac:dyDescent="0.25">
      <c r="A238" s="2" t="s">
        <v>3</v>
      </c>
      <c r="B238" s="3">
        <v>42725</v>
      </c>
      <c r="C238" s="4">
        <v>36.049999999999997</v>
      </c>
      <c r="D238" t="s">
        <v>9</v>
      </c>
    </row>
    <row r="239" spans="1:4" x14ac:dyDescent="0.25">
      <c r="A239" s="2" t="s">
        <v>3</v>
      </c>
      <c r="B239" s="3">
        <v>42726</v>
      </c>
      <c r="C239" s="4">
        <v>35.450000000000003</v>
      </c>
      <c r="D239" t="s">
        <v>9</v>
      </c>
    </row>
    <row r="240" spans="1:4" x14ac:dyDescent="0.25">
      <c r="A240" s="2" t="s">
        <v>3</v>
      </c>
      <c r="B240" s="3">
        <v>42727</v>
      </c>
      <c r="C240" s="4">
        <v>35.26</v>
      </c>
      <c r="D240" t="s">
        <v>9</v>
      </c>
    </row>
    <row r="241" spans="1:4" x14ac:dyDescent="0.25">
      <c r="A241" s="2" t="s">
        <v>3</v>
      </c>
      <c r="B241" s="3">
        <v>42730</v>
      </c>
      <c r="C241" s="4">
        <v>34.840000000000003</v>
      </c>
      <c r="D241" t="s">
        <v>9</v>
      </c>
    </row>
    <row r="242" spans="1:4" x14ac:dyDescent="0.25">
      <c r="A242" s="2" t="s">
        <v>3</v>
      </c>
      <c r="B242" s="3">
        <v>42731</v>
      </c>
      <c r="C242" s="4">
        <v>34.61</v>
      </c>
      <c r="D242" t="s">
        <v>9</v>
      </c>
    </row>
    <row r="243" spans="1:4" x14ac:dyDescent="0.25">
      <c r="A243" s="2" t="s">
        <v>3</v>
      </c>
      <c r="B243" s="3">
        <v>42732</v>
      </c>
      <c r="C243" s="4">
        <v>34.89</v>
      </c>
      <c r="D243" t="s">
        <v>9</v>
      </c>
    </row>
    <row r="244" spans="1:4" x14ac:dyDescent="0.25">
      <c r="A244" s="2" t="s">
        <v>3</v>
      </c>
      <c r="B244" s="3">
        <v>42733</v>
      </c>
      <c r="C244" s="4">
        <v>35.17</v>
      </c>
      <c r="D244" t="s">
        <v>9</v>
      </c>
    </row>
    <row r="245" spans="1:4" ht="17.25" thickBot="1" x14ac:dyDescent="0.3">
      <c r="A245" s="5" t="s">
        <v>3</v>
      </c>
      <c r="B245" s="6">
        <v>42734</v>
      </c>
      <c r="C245" s="7">
        <v>35.450000000000003</v>
      </c>
      <c r="D245" t="s">
        <v>9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N1473"/>
  <sheetViews>
    <sheetView workbookViewId="0">
      <selection activeCell="K7" sqref="K7"/>
    </sheetView>
  </sheetViews>
  <sheetFormatPr defaultRowHeight="16.5" x14ac:dyDescent="0.25"/>
  <cols>
    <col min="1" max="1" width="10.25" customWidth="1"/>
    <col min="2" max="2" width="10.5" bestFit="1" customWidth="1"/>
    <col min="3" max="3" width="10" customWidth="1"/>
    <col min="4" max="4" width="12.25" bestFit="1" customWidth="1"/>
  </cols>
  <sheetData>
    <row r="1" spans="1:14" s="1" customFormat="1" x14ac:dyDescent="0.25">
      <c r="A1" s="8" t="s">
        <v>21</v>
      </c>
      <c r="B1" s="9" t="s">
        <v>1</v>
      </c>
      <c r="C1" s="8" t="s">
        <v>3</v>
      </c>
      <c r="D1" s="8" t="s">
        <v>20</v>
      </c>
      <c r="E1" s="1" t="s">
        <v>22</v>
      </c>
      <c r="F1" s="1" t="s">
        <v>27</v>
      </c>
      <c r="G1" s="1" t="s">
        <v>28</v>
      </c>
      <c r="K1" s="1" t="s">
        <v>24</v>
      </c>
      <c r="L1" s="21">
        <v>3.0000000000000001E-3</v>
      </c>
    </row>
    <row r="2" spans="1:14" ht="18" x14ac:dyDescent="0.25">
      <c r="A2" s="2" t="s">
        <v>10</v>
      </c>
      <c r="B2" s="3">
        <v>41641</v>
      </c>
      <c r="C2" s="4">
        <v>0.71860000000000002</v>
      </c>
      <c r="D2" s="4">
        <v>-0.95240000000000002</v>
      </c>
      <c r="E2" s="22">
        <f>D2-$L$1</f>
        <v>-0.95540000000000003</v>
      </c>
      <c r="F2">
        <f>L$2+L$3*E2</f>
        <v>-0.12550103397821935</v>
      </c>
      <c r="G2">
        <f>C2-F2</f>
        <v>0.84410103397821934</v>
      </c>
      <c r="I2" t="s">
        <v>25</v>
      </c>
      <c r="K2" s="20" t="s">
        <v>12</v>
      </c>
      <c r="L2">
        <f>INTERCEPT(C2:C737,E2:E737)</f>
        <v>6.0751480073280555E-3</v>
      </c>
    </row>
    <row r="3" spans="1:14" ht="18" x14ac:dyDescent="0.25">
      <c r="A3" s="2" t="s">
        <v>10</v>
      </c>
      <c r="B3" s="3">
        <v>41642</v>
      </c>
      <c r="C3" s="4">
        <v>1.1862999999999999</v>
      </c>
      <c r="D3" s="4">
        <v>-1.9323999999999999</v>
      </c>
      <c r="E3" s="22">
        <f t="shared" ref="E3:E66" si="0">D3-$L$1</f>
        <v>-1.9353999999999998</v>
      </c>
      <c r="F3">
        <f t="shared" ref="F3:F66" si="1">L$2+L$3*E3</f>
        <v>-0.26046508918633782</v>
      </c>
      <c r="G3">
        <f t="shared" ref="G3:G66" si="2">C3-F3</f>
        <v>1.4467650891863377</v>
      </c>
      <c r="I3" t="s">
        <v>26</v>
      </c>
      <c r="K3" s="20" t="s">
        <v>23</v>
      </c>
      <c r="L3" s="23">
        <f>SLOPE(C2:C737,E2:E737)</f>
        <v>0.1377184236817536</v>
      </c>
    </row>
    <row r="4" spans="1:14" x14ac:dyDescent="0.25">
      <c r="A4" s="2" t="s">
        <v>10</v>
      </c>
      <c r="B4" s="3">
        <v>41645</v>
      </c>
      <c r="C4" s="4">
        <v>-1.4252</v>
      </c>
      <c r="D4" s="4">
        <v>0</v>
      </c>
      <c r="E4" s="22">
        <f t="shared" si="0"/>
        <v>-3.0000000000000001E-3</v>
      </c>
      <c r="F4">
        <f t="shared" si="1"/>
        <v>5.6619927362827945E-3</v>
      </c>
      <c r="G4">
        <f t="shared" si="2"/>
        <v>-1.4308619927362829</v>
      </c>
    </row>
    <row r="5" spans="1:14" x14ac:dyDescent="0.25">
      <c r="A5" s="2" t="s">
        <v>10</v>
      </c>
      <c r="B5" s="3">
        <v>41646</v>
      </c>
      <c r="C5" s="4">
        <v>0.95240000000000002</v>
      </c>
      <c r="D5" s="4">
        <v>-0.48899999999999999</v>
      </c>
      <c r="E5" s="22">
        <f t="shared" si="0"/>
        <v>-0.49199999999999999</v>
      </c>
      <c r="F5">
        <f t="shared" si="1"/>
        <v>-6.168231644409472E-2</v>
      </c>
      <c r="G5">
        <f t="shared" si="2"/>
        <v>1.0140823164440946</v>
      </c>
    </row>
    <row r="6" spans="1:14" x14ac:dyDescent="0.25">
      <c r="A6" s="2" t="s">
        <v>10</v>
      </c>
      <c r="B6" s="3">
        <v>41647</v>
      </c>
      <c r="C6" s="4">
        <v>0.70840000000000003</v>
      </c>
      <c r="D6" s="4">
        <v>1.9418</v>
      </c>
      <c r="E6" s="22">
        <f t="shared" si="0"/>
        <v>1.9388000000000001</v>
      </c>
      <c r="F6">
        <f t="shared" si="1"/>
        <v>0.27308362784151197</v>
      </c>
      <c r="G6">
        <f t="shared" si="2"/>
        <v>0.43531637215848806</v>
      </c>
      <c r="M6" t="s">
        <v>31</v>
      </c>
      <c r="N6" t="s">
        <v>32</v>
      </c>
    </row>
    <row r="7" spans="1:14" x14ac:dyDescent="0.25">
      <c r="A7" s="2" t="s">
        <v>10</v>
      </c>
      <c r="B7" s="3">
        <v>41648</v>
      </c>
      <c r="C7" s="4">
        <v>0.58650000000000002</v>
      </c>
      <c r="D7" s="4">
        <v>-2.927</v>
      </c>
      <c r="E7" s="22">
        <f t="shared" si="0"/>
        <v>-2.93</v>
      </c>
      <c r="F7">
        <f t="shared" si="1"/>
        <v>-0.39743983338021005</v>
      </c>
      <c r="G7">
        <f t="shared" si="2"/>
        <v>0.98393983338021007</v>
      </c>
    </row>
    <row r="8" spans="1:14" x14ac:dyDescent="0.25">
      <c r="A8" s="2" t="s">
        <v>10</v>
      </c>
      <c r="B8" s="3">
        <v>41649</v>
      </c>
      <c r="C8" s="4">
        <v>5.1292999999999997</v>
      </c>
      <c r="D8" s="4">
        <v>0.98519999999999996</v>
      </c>
      <c r="E8" s="22">
        <f t="shared" si="0"/>
        <v>0.98219999999999996</v>
      </c>
      <c r="F8">
        <f t="shared" si="1"/>
        <v>0.14134218374754645</v>
      </c>
      <c r="G8">
        <f t="shared" si="2"/>
        <v>4.9879578162524529</v>
      </c>
    </row>
    <row r="9" spans="1:14" x14ac:dyDescent="0.25">
      <c r="A9" s="2" t="s">
        <v>10</v>
      </c>
      <c r="B9" s="3">
        <v>41652</v>
      </c>
      <c r="C9" s="4">
        <v>3.8151999999999999</v>
      </c>
      <c r="D9" s="4">
        <v>0.97560000000000002</v>
      </c>
      <c r="E9" s="22">
        <f t="shared" si="0"/>
        <v>0.97260000000000002</v>
      </c>
      <c r="F9">
        <f t="shared" si="1"/>
        <v>0.14002008688020162</v>
      </c>
      <c r="G9">
        <f t="shared" si="2"/>
        <v>3.6751799131197984</v>
      </c>
    </row>
    <row r="10" spans="1:14" x14ac:dyDescent="0.25">
      <c r="A10" s="2" t="s">
        <v>10</v>
      </c>
      <c r="B10" s="3">
        <v>41653</v>
      </c>
      <c r="C10" s="4">
        <v>0.4269</v>
      </c>
      <c r="D10" s="4">
        <v>0.48430000000000001</v>
      </c>
      <c r="E10" s="22">
        <f t="shared" si="0"/>
        <v>0.48130000000000001</v>
      </c>
      <c r="F10">
        <f t="shared" si="1"/>
        <v>7.2359025325356069E-2</v>
      </c>
      <c r="G10">
        <f t="shared" si="2"/>
        <v>0.35454097467464396</v>
      </c>
    </row>
    <row r="11" spans="1:14" x14ac:dyDescent="0.25">
      <c r="A11" s="2" t="s">
        <v>10</v>
      </c>
      <c r="B11" s="3">
        <v>41654</v>
      </c>
      <c r="C11" s="4">
        <v>-0.85560000000000003</v>
      </c>
      <c r="D11" s="4">
        <v>1.4389000000000001</v>
      </c>
      <c r="E11" s="22">
        <f t="shared" si="0"/>
        <v>1.4359000000000002</v>
      </c>
      <c r="F11">
        <f t="shared" si="1"/>
        <v>0.20382503257195808</v>
      </c>
      <c r="G11">
        <f t="shared" si="2"/>
        <v>-1.0594250325719581</v>
      </c>
    </row>
    <row r="12" spans="1:14" x14ac:dyDescent="0.25">
      <c r="A12" s="2" t="s">
        <v>10</v>
      </c>
      <c r="B12" s="3">
        <v>41655</v>
      </c>
      <c r="C12" s="4">
        <v>-2.0619000000000001</v>
      </c>
      <c r="D12" s="4">
        <v>1.8868</v>
      </c>
      <c r="E12" s="22">
        <f t="shared" si="0"/>
        <v>1.8838000000000001</v>
      </c>
      <c r="F12">
        <f t="shared" si="1"/>
        <v>0.26550911453901549</v>
      </c>
      <c r="G12">
        <f t="shared" si="2"/>
        <v>-2.3274091145390154</v>
      </c>
    </row>
    <row r="13" spans="1:14" x14ac:dyDescent="0.25">
      <c r="A13" s="2" t="s">
        <v>10</v>
      </c>
      <c r="B13" s="3">
        <v>41656</v>
      </c>
      <c r="C13" s="4">
        <v>0.87339999999999995</v>
      </c>
      <c r="D13" s="4">
        <v>0.4662</v>
      </c>
      <c r="E13" s="22">
        <f t="shared" si="0"/>
        <v>0.4632</v>
      </c>
      <c r="F13">
        <f t="shared" si="1"/>
        <v>6.9866321856716332E-2</v>
      </c>
      <c r="G13">
        <f t="shared" si="2"/>
        <v>0.80353367814328358</v>
      </c>
    </row>
    <row r="14" spans="1:14" x14ac:dyDescent="0.25">
      <c r="A14" s="2" t="s">
        <v>10</v>
      </c>
      <c r="B14" s="3">
        <v>41659</v>
      </c>
      <c r="C14" s="4">
        <v>1.2959000000000001</v>
      </c>
      <c r="D14" s="4">
        <v>0</v>
      </c>
      <c r="E14" s="22">
        <f t="shared" si="0"/>
        <v>-3.0000000000000001E-3</v>
      </c>
      <c r="F14">
        <f t="shared" si="1"/>
        <v>5.6619927362827945E-3</v>
      </c>
      <c r="G14">
        <f t="shared" si="2"/>
        <v>1.2902380072637172</v>
      </c>
    </row>
    <row r="15" spans="1:14" x14ac:dyDescent="0.25">
      <c r="A15" s="2" t="s">
        <v>10</v>
      </c>
      <c r="B15" s="3">
        <v>41660</v>
      </c>
      <c r="C15" s="4">
        <v>-1.9501999999999999</v>
      </c>
      <c r="D15" s="4">
        <v>-0.93459999999999999</v>
      </c>
      <c r="E15" s="22">
        <f t="shared" si="0"/>
        <v>-0.93759999999999999</v>
      </c>
      <c r="F15">
        <f t="shared" si="1"/>
        <v>-0.12304964603668411</v>
      </c>
      <c r="G15">
        <f t="shared" si="2"/>
        <v>-1.8271503539633158</v>
      </c>
    </row>
    <row r="16" spans="1:14" x14ac:dyDescent="0.25">
      <c r="A16" s="2" t="s">
        <v>10</v>
      </c>
      <c r="B16" s="3">
        <v>41661</v>
      </c>
      <c r="C16" s="4">
        <v>0.76290000000000002</v>
      </c>
      <c r="D16" s="4">
        <v>0.93459999999999999</v>
      </c>
      <c r="E16" s="22">
        <f t="shared" si="0"/>
        <v>0.93159999999999998</v>
      </c>
      <c r="F16">
        <f t="shared" si="1"/>
        <v>0.13437363150924972</v>
      </c>
      <c r="G16">
        <f t="shared" si="2"/>
        <v>0.62852636849075028</v>
      </c>
    </row>
    <row r="17" spans="1:7" x14ac:dyDescent="0.25">
      <c r="A17" s="2" t="s">
        <v>10</v>
      </c>
      <c r="B17" s="3">
        <v>41662</v>
      </c>
      <c r="C17" s="4">
        <v>0.75719999999999998</v>
      </c>
      <c r="D17" s="4">
        <v>0</v>
      </c>
      <c r="E17" s="22">
        <f t="shared" si="0"/>
        <v>-3.0000000000000001E-3</v>
      </c>
      <c r="F17">
        <f t="shared" si="1"/>
        <v>5.6619927362827945E-3</v>
      </c>
      <c r="G17">
        <f t="shared" si="2"/>
        <v>0.75153800726371722</v>
      </c>
    </row>
    <row r="18" spans="1:7" x14ac:dyDescent="0.25">
      <c r="A18" s="2" t="s">
        <v>10</v>
      </c>
      <c r="B18" s="3">
        <v>41663</v>
      </c>
      <c r="C18" s="4">
        <v>-1.0833999999999999</v>
      </c>
      <c r="D18" s="4">
        <v>0.46400000000000002</v>
      </c>
      <c r="E18" s="22">
        <f t="shared" si="0"/>
        <v>0.46100000000000002</v>
      </c>
      <c r="F18">
        <f t="shared" si="1"/>
        <v>6.9563341324616473E-2</v>
      </c>
      <c r="G18">
        <f t="shared" si="2"/>
        <v>-1.1529633413246163</v>
      </c>
    </row>
    <row r="19" spans="1:7" x14ac:dyDescent="0.25">
      <c r="A19" s="2" t="s">
        <v>10</v>
      </c>
      <c r="B19" s="3">
        <v>41666</v>
      </c>
      <c r="C19" s="4">
        <v>-1.8692</v>
      </c>
      <c r="D19" s="4">
        <v>-2.8170999999999999</v>
      </c>
      <c r="E19" s="22">
        <f t="shared" si="0"/>
        <v>-2.8201000000000001</v>
      </c>
      <c r="F19">
        <f t="shared" si="1"/>
        <v>-0.38230457861758527</v>
      </c>
      <c r="G19">
        <f t="shared" si="2"/>
        <v>-1.4868954213824148</v>
      </c>
    </row>
    <row r="20" spans="1:7" x14ac:dyDescent="0.25">
      <c r="A20" s="2" t="s">
        <v>10</v>
      </c>
      <c r="B20" s="3">
        <v>41675</v>
      </c>
      <c r="C20" s="4">
        <v>0.5534</v>
      </c>
      <c r="D20" s="4">
        <v>-4.3803000000000001</v>
      </c>
      <c r="E20" s="22">
        <f t="shared" si="0"/>
        <v>-4.3833000000000002</v>
      </c>
      <c r="F20">
        <f t="shared" si="1"/>
        <v>-0.59758601851690263</v>
      </c>
      <c r="G20">
        <f t="shared" si="2"/>
        <v>1.1509860185169027</v>
      </c>
    </row>
    <row r="21" spans="1:7" x14ac:dyDescent="0.25">
      <c r="A21" s="2" t="s">
        <v>10</v>
      </c>
      <c r="B21" s="3">
        <v>41676</v>
      </c>
      <c r="C21" s="4">
        <v>2.5068999999999999</v>
      </c>
      <c r="D21" s="4">
        <v>1.4815</v>
      </c>
      <c r="E21" s="22">
        <f t="shared" si="0"/>
        <v>1.4785000000000001</v>
      </c>
      <c r="F21">
        <f t="shared" si="1"/>
        <v>0.20969183742080078</v>
      </c>
      <c r="G21">
        <f t="shared" si="2"/>
        <v>2.2972081625791994</v>
      </c>
    </row>
    <row r="22" spans="1:7" x14ac:dyDescent="0.25">
      <c r="A22" s="2" t="s">
        <v>10</v>
      </c>
      <c r="B22" s="3">
        <v>41677</v>
      </c>
      <c r="C22" s="4">
        <v>-2.0663999999999998</v>
      </c>
      <c r="D22" s="4">
        <v>1.9418</v>
      </c>
      <c r="E22" s="22">
        <f t="shared" si="0"/>
        <v>1.9388000000000001</v>
      </c>
      <c r="F22">
        <f t="shared" si="1"/>
        <v>0.27308362784151197</v>
      </c>
      <c r="G22">
        <f t="shared" si="2"/>
        <v>-2.3394836278415116</v>
      </c>
    </row>
    <row r="23" spans="1:7" x14ac:dyDescent="0.25">
      <c r="A23" s="2" t="s">
        <v>10</v>
      </c>
      <c r="B23" s="3">
        <v>41680</v>
      </c>
      <c r="C23" s="4">
        <v>4.0910000000000002</v>
      </c>
      <c r="D23" s="4">
        <v>-0.96619999999999995</v>
      </c>
      <c r="E23" s="22">
        <f t="shared" si="0"/>
        <v>-0.96919999999999995</v>
      </c>
      <c r="F23">
        <f t="shared" si="1"/>
        <v>-0.12740154822502753</v>
      </c>
      <c r="G23">
        <f t="shared" si="2"/>
        <v>4.2184015482250281</v>
      </c>
    </row>
    <row r="24" spans="1:7" x14ac:dyDescent="0.25">
      <c r="A24" s="2" t="s">
        <v>10</v>
      </c>
      <c r="B24" s="3">
        <v>41681</v>
      </c>
      <c r="C24" s="4">
        <v>-0.74109999999999998</v>
      </c>
      <c r="D24" s="4">
        <v>1.4458</v>
      </c>
      <c r="E24" s="22">
        <f t="shared" si="0"/>
        <v>1.4428000000000001</v>
      </c>
      <c r="F24">
        <f t="shared" si="1"/>
        <v>0.20477528969536216</v>
      </c>
      <c r="G24">
        <f t="shared" si="2"/>
        <v>-0.94587528969536216</v>
      </c>
    </row>
    <row r="25" spans="1:7" x14ac:dyDescent="0.25">
      <c r="A25" s="2" t="s">
        <v>10</v>
      </c>
      <c r="B25" s="3">
        <v>41682</v>
      </c>
      <c r="C25" s="4">
        <v>3.1383000000000001</v>
      </c>
      <c r="D25" s="4">
        <v>0.4773</v>
      </c>
      <c r="E25" s="22">
        <f t="shared" si="0"/>
        <v>0.4743</v>
      </c>
      <c r="F25">
        <f t="shared" si="1"/>
        <v>7.1394996359583796E-2</v>
      </c>
      <c r="G25">
        <f t="shared" si="2"/>
        <v>3.0669050036404162</v>
      </c>
    </row>
    <row r="26" spans="1:7" x14ac:dyDescent="0.25">
      <c r="A26" s="2" t="s">
        <v>10</v>
      </c>
      <c r="B26" s="3">
        <v>41683</v>
      </c>
      <c r="C26" s="4">
        <v>-0.93120000000000003</v>
      </c>
      <c r="D26" s="4">
        <v>0</v>
      </c>
      <c r="E26" s="22">
        <f t="shared" si="0"/>
        <v>-3.0000000000000001E-3</v>
      </c>
      <c r="F26">
        <f t="shared" si="1"/>
        <v>5.6619927362827945E-3</v>
      </c>
      <c r="G26">
        <f t="shared" si="2"/>
        <v>-0.93686199273628279</v>
      </c>
    </row>
    <row r="27" spans="1:7" x14ac:dyDescent="0.25">
      <c r="A27" s="2" t="s">
        <v>10</v>
      </c>
      <c r="B27" s="3">
        <v>41684</v>
      </c>
      <c r="C27" s="4">
        <v>0.41489999999999999</v>
      </c>
      <c r="D27" s="4">
        <v>2.3530000000000002</v>
      </c>
      <c r="E27" s="22">
        <f t="shared" si="0"/>
        <v>2.35</v>
      </c>
      <c r="F27">
        <f t="shared" si="1"/>
        <v>0.32971344365944905</v>
      </c>
      <c r="G27">
        <f t="shared" si="2"/>
        <v>8.5186556340550945E-2</v>
      </c>
    </row>
    <row r="28" spans="1:7" x14ac:dyDescent="0.25">
      <c r="A28" s="2" t="s">
        <v>10</v>
      </c>
      <c r="B28" s="3">
        <v>41687</v>
      </c>
      <c r="C28" s="4">
        <v>0.31009999999999999</v>
      </c>
      <c r="D28" s="4">
        <v>0.92589999999999995</v>
      </c>
      <c r="E28" s="22">
        <f t="shared" si="0"/>
        <v>0.92289999999999994</v>
      </c>
      <c r="F28">
        <f t="shared" si="1"/>
        <v>0.13317548122321846</v>
      </c>
      <c r="G28">
        <f t="shared" si="2"/>
        <v>0.17692451877678153</v>
      </c>
    </row>
    <row r="29" spans="1:7" x14ac:dyDescent="0.25">
      <c r="A29" s="2" t="s">
        <v>10</v>
      </c>
      <c r="B29" s="3">
        <v>41688</v>
      </c>
      <c r="C29" s="4">
        <v>0</v>
      </c>
      <c r="D29" s="4">
        <v>-0.46189999999999998</v>
      </c>
      <c r="E29" s="22">
        <f t="shared" si="0"/>
        <v>-0.46489999999999998</v>
      </c>
      <c r="F29">
        <f t="shared" si="1"/>
        <v>-5.7950147162319193E-2</v>
      </c>
      <c r="G29">
        <f t="shared" si="2"/>
        <v>5.7950147162319193E-2</v>
      </c>
    </row>
    <row r="30" spans="1:7" x14ac:dyDescent="0.25">
      <c r="A30" s="2" t="s">
        <v>10</v>
      </c>
      <c r="B30" s="3">
        <v>41689</v>
      </c>
      <c r="C30" s="4">
        <v>2.4466000000000001</v>
      </c>
      <c r="D30" s="4">
        <v>0</v>
      </c>
      <c r="E30" s="22">
        <f t="shared" si="0"/>
        <v>-3.0000000000000001E-3</v>
      </c>
      <c r="F30">
        <f t="shared" si="1"/>
        <v>5.6619927362827945E-3</v>
      </c>
      <c r="G30">
        <f t="shared" si="2"/>
        <v>2.4409380072637172</v>
      </c>
    </row>
    <row r="31" spans="1:7" x14ac:dyDescent="0.25">
      <c r="A31" s="2" t="s">
        <v>10</v>
      </c>
      <c r="B31" s="3">
        <v>41690</v>
      </c>
      <c r="C31" s="4">
        <v>0.60240000000000005</v>
      </c>
      <c r="D31" s="4">
        <v>-1.3986000000000001</v>
      </c>
      <c r="E31" s="22">
        <f t="shared" si="0"/>
        <v>-1.4016</v>
      </c>
      <c r="F31">
        <f t="shared" si="1"/>
        <v>-0.1869509946250178</v>
      </c>
      <c r="G31">
        <f t="shared" si="2"/>
        <v>0.7893509946250179</v>
      </c>
    </row>
    <row r="32" spans="1:7" x14ac:dyDescent="0.25">
      <c r="A32" s="2" t="s">
        <v>10</v>
      </c>
      <c r="B32" s="3">
        <v>41691</v>
      </c>
      <c r="C32" s="4">
        <v>0.10009999999999999</v>
      </c>
      <c r="D32" s="4">
        <v>0.93459999999999999</v>
      </c>
      <c r="E32" s="22">
        <f t="shared" si="0"/>
        <v>0.93159999999999998</v>
      </c>
      <c r="F32">
        <f t="shared" si="1"/>
        <v>0.13437363150924972</v>
      </c>
      <c r="G32">
        <f t="shared" si="2"/>
        <v>-3.4273631509249725E-2</v>
      </c>
    </row>
    <row r="33" spans="1:7" x14ac:dyDescent="0.25">
      <c r="A33" s="2" t="s">
        <v>10</v>
      </c>
      <c r="B33" s="3">
        <v>41694</v>
      </c>
      <c r="C33" s="4">
        <v>0.79679999999999995</v>
      </c>
      <c r="D33" s="4">
        <v>-0.4662</v>
      </c>
      <c r="E33" s="22">
        <f t="shared" si="0"/>
        <v>-0.46920000000000001</v>
      </c>
      <c r="F33">
        <f t="shared" si="1"/>
        <v>-5.8542336384150739E-2</v>
      </c>
      <c r="G33">
        <f t="shared" si="2"/>
        <v>0.85534233638415069</v>
      </c>
    </row>
    <row r="34" spans="1:7" x14ac:dyDescent="0.25">
      <c r="A34" s="2" t="s">
        <v>10</v>
      </c>
      <c r="B34" s="3">
        <v>41695</v>
      </c>
      <c r="C34" s="4">
        <v>-2.7151000000000001</v>
      </c>
      <c r="D34" s="4">
        <v>0.93020000000000003</v>
      </c>
      <c r="E34" s="22">
        <f t="shared" si="0"/>
        <v>0.92720000000000002</v>
      </c>
      <c r="F34">
        <f t="shared" si="1"/>
        <v>0.13376767044505</v>
      </c>
      <c r="G34">
        <f t="shared" si="2"/>
        <v>-2.84886767044505</v>
      </c>
    </row>
    <row r="35" spans="1:7" x14ac:dyDescent="0.25">
      <c r="A35" s="2" t="s">
        <v>10</v>
      </c>
      <c r="B35" s="3">
        <v>41696</v>
      </c>
      <c r="C35" s="4">
        <v>-1.0246</v>
      </c>
      <c r="D35" s="4">
        <v>-0.46400000000000002</v>
      </c>
      <c r="E35" s="22">
        <f t="shared" si="0"/>
        <v>-0.46700000000000003</v>
      </c>
      <c r="F35">
        <f t="shared" si="1"/>
        <v>-5.8239355852050881E-2</v>
      </c>
      <c r="G35">
        <f t="shared" si="2"/>
        <v>-0.96636064414794909</v>
      </c>
    </row>
    <row r="36" spans="1:7" x14ac:dyDescent="0.25">
      <c r="A36" s="2" t="s">
        <v>10</v>
      </c>
      <c r="B36" s="3">
        <v>41697</v>
      </c>
      <c r="C36" s="4">
        <v>0.82050000000000001</v>
      </c>
      <c r="D36" s="4">
        <v>0.46400000000000002</v>
      </c>
      <c r="E36" s="22">
        <f t="shared" si="0"/>
        <v>0.46100000000000002</v>
      </c>
      <c r="F36">
        <f t="shared" si="1"/>
        <v>6.9563341324616473E-2</v>
      </c>
      <c r="G36">
        <f t="shared" si="2"/>
        <v>0.75093665867538351</v>
      </c>
    </row>
    <row r="37" spans="1:7" x14ac:dyDescent="0.25">
      <c r="A37" s="2" t="s">
        <v>10</v>
      </c>
      <c r="B37" s="3">
        <v>41701</v>
      </c>
      <c r="C37" s="4">
        <v>-0.61480000000000001</v>
      </c>
      <c r="D37" s="4">
        <v>0</v>
      </c>
      <c r="E37" s="22">
        <f t="shared" si="0"/>
        <v>-3.0000000000000001E-3</v>
      </c>
      <c r="F37">
        <f t="shared" si="1"/>
        <v>5.6619927362827945E-3</v>
      </c>
      <c r="G37">
        <f t="shared" si="2"/>
        <v>-0.62046199273628277</v>
      </c>
    </row>
    <row r="38" spans="1:7" x14ac:dyDescent="0.25">
      <c r="A38" s="2" t="s">
        <v>10</v>
      </c>
      <c r="B38" s="3">
        <v>41702</v>
      </c>
      <c r="C38" s="4">
        <v>2.5369000000000002</v>
      </c>
      <c r="D38" s="4">
        <v>-0.46400000000000002</v>
      </c>
      <c r="E38" s="22">
        <f t="shared" si="0"/>
        <v>-0.46700000000000003</v>
      </c>
      <c r="F38">
        <f t="shared" si="1"/>
        <v>-5.8239355852050881E-2</v>
      </c>
      <c r="G38">
        <f t="shared" si="2"/>
        <v>2.595139355852051</v>
      </c>
    </row>
    <row r="39" spans="1:7" x14ac:dyDescent="0.25">
      <c r="A39" s="2" t="s">
        <v>10</v>
      </c>
      <c r="B39" s="3">
        <v>41703</v>
      </c>
      <c r="C39" s="4">
        <v>1.9842</v>
      </c>
      <c r="D39" s="4">
        <v>2.2989999999999999</v>
      </c>
      <c r="E39" s="22">
        <f t="shared" si="0"/>
        <v>2.2959999999999998</v>
      </c>
      <c r="F39">
        <f t="shared" si="1"/>
        <v>0.32227664878063433</v>
      </c>
      <c r="G39">
        <f t="shared" si="2"/>
        <v>1.6619233512193656</v>
      </c>
    </row>
    <row r="40" spans="1:7" x14ac:dyDescent="0.25">
      <c r="A40" s="2" t="s">
        <v>10</v>
      </c>
      <c r="B40" s="3">
        <v>41704</v>
      </c>
      <c r="C40" s="4">
        <v>0.1963</v>
      </c>
      <c r="D40" s="4">
        <v>2.6907000000000001</v>
      </c>
      <c r="E40" s="22">
        <f t="shared" si="0"/>
        <v>2.6877</v>
      </c>
      <c r="F40">
        <f t="shared" si="1"/>
        <v>0.37622095533677724</v>
      </c>
      <c r="G40">
        <f t="shared" si="2"/>
        <v>-0.17992095533677724</v>
      </c>
    </row>
    <row r="41" spans="1:7" x14ac:dyDescent="0.25">
      <c r="A41" s="2" t="s">
        <v>10</v>
      </c>
      <c r="B41" s="3">
        <v>41705</v>
      </c>
      <c r="C41" s="4">
        <v>-2.3811</v>
      </c>
      <c r="D41" s="4">
        <v>1.3187</v>
      </c>
      <c r="E41" s="22">
        <f t="shared" si="0"/>
        <v>1.3157000000000001</v>
      </c>
      <c r="F41">
        <f t="shared" si="1"/>
        <v>0.1872712780454113</v>
      </c>
      <c r="G41">
        <f t="shared" si="2"/>
        <v>-2.5683712780454111</v>
      </c>
    </row>
    <row r="42" spans="1:7" x14ac:dyDescent="0.25">
      <c r="A42" s="2" t="s">
        <v>10</v>
      </c>
      <c r="B42" s="3">
        <v>41708</v>
      </c>
      <c r="C42" s="4">
        <v>0.999</v>
      </c>
      <c r="D42" s="4">
        <v>-1.3187</v>
      </c>
      <c r="E42" s="22">
        <f t="shared" si="0"/>
        <v>-1.3216999999999999</v>
      </c>
      <c r="F42">
        <f t="shared" si="1"/>
        <v>-0.17594729257284566</v>
      </c>
      <c r="G42">
        <f t="shared" si="2"/>
        <v>1.1749472925728457</v>
      </c>
    </row>
    <row r="43" spans="1:7" x14ac:dyDescent="0.25">
      <c r="A43" s="2" t="s">
        <v>10</v>
      </c>
      <c r="B43" s="3">
        <v>41709</v>
      </c>
      <c r="C43" s="4">
        <v>-0.69830000000000003</v>
      </c>
      <c r="D43" s="4">
        <v>0.88109999999999999</v>
      </c>
      <c r="E43" s="22">
        <f t="shared" si="0"/>
        <v>0.87809999999999999</v>
      </c>
      <c r="F43">
        <f t="shared" si="1"/>
        <v>0.12700569584227589</v>
      </c>
      <c r="G43">
        <f t="shared" si="2"/>
        <v>-0.82530569584227598</v>
      </c>
    </row>
    <row r="44" spans="1:7" x14ac:dyDescent="0.25">
      <c r="A44" s="2" t="s">
        <v>10</v>
      </c>
      <c r="B44" s="3">
        <v>41710</v>
      </c>
      <c r="C44" s="4">
        <v>-0.1002</v>
      </c>
      <c r="D44" s="4">
        <v>-0.88109999999999999</v>
      </c>
      <c r="E44" s="22">
        <f t="shared" si="0"/>
        <v>-0.8841</v>
      </c>
      <c r="F44">
        <f t="shared" si="1"/>
        <v>-0.1156817103697103</v>
      </c>
      <c r="G44">
        <f t="shared" si="2"/>
        <v>1.54817103697103E-2</v>
      </c>
    </row>
    <row r="45" spans="1:7" x14ac:dyDescent="0.25">
      <c r="A45" s="2" t="s">
        <v>10</v>
      </c>
      <c r="B45" s="3">
        <v>41711</v>
      </c>
      <c r="C45" s="4">
        <v>0.1002</v>
      </c>
      <c r="D45" s="4">
        <v>3.0503</v>
      </c>
      <c r="E45" s="22">
        <f t="shared" si="0"/>
        <v>3.0472999999999999</v>
      </c>
      <c r="F45">
        <f t="shared" si="1"/>
        <v>0.42574450049273582</v>
      </c>
      <c r="G45">
        <f t="shared" si="2"/>
        <v>-0.32554450049273581</v>
      </c>
    </row>
    <row r="46" spans="1:7" x14ac:dyDescent="0.25">
      <c r="A46" s="2" t="s">
        <v>10</v>
      </c>
      <c r="B46" s="3">
        <v>41712</v>
      </c>
      <c r="C46" s="4">
        <v>-0.1002</v>
      </c>
      <c r="D46" s="4">
        <v>-1.2959000000000001</v>
      </c>
      <c r="E46" s="22">
        <f t="shared" si="0"/>
        <v>-1.2988999999999999</v>
      </c>
      <c r="F46">
        <f t="shared" si="1"/>
        <v>-0.17280731251290168</v>
      </c>
      <c r="G46">
        <f t="shared" si="2"/>
        <v>7.2607312512901687E-2</v>
      </c>
    </row>
    <row r="47" spans="1:7" x14ac:dyDescent="0.25">
      <c r="A47" s="2" t="s">
        <v>10</v>
      </c>
      <c r="B47" s="3">
        <v>41715</v>
      </c>
      <c r="C47" s="4">
        <v>-0.40160000000000001</v>
      </c>
      <c r="D47" s="4">
        <v>-0.87339999999999995</v>
      </c>
      <c r="E47" s="22">
        <f t="shared" si="0"/>
        <v>-0.87639999999999996</v>
      </c>
      <c r="F47">
        <f t="shared" si="1"/>
        <v>-0.1146212785073608</v>
      </c>
      <c r="G47">
        <f t="shared" si="2"/>
        <v>-0.2869787214926392</v>
      </c>
    </row>
    <row r="48" spans="1:7" x14ac:dyDescent="0.25">
      <c r="A48" s="2" t="s">
        <v>10</v>
      </c>
      <c r="B48" s="3">
        <v>41716</v>
      </c>
      <c r="C48" s="4">
        <v>-1.3165</v>
      </c>
      <c r="D48" s="4">
        <v>0.43759999999999999</v>
      </c>
      <c r="E48" s="22">
        <f t="shared" si="0"/>
        <v>0.43459999999999999</v>
      </c>
      <c r="F48">
        <f t="shared" si="1"/>
        <v>6.5927574939418171E-2</v>
      </c>
      <c r="G48">
        <f t="shared" si="2"/>
        <v>-1.3824275749394181</v>
      </c>
    </row>
    <row r="49" spans="1:7" x14ac:dyDescent="0.25">
      <c r="A49" s="2" t="s">
        <v>10</v>
      </c>
      <c r="B49" s="3">
        <v>41717</v>
      </c>
      <c r="C49" s="4">
        <v>-1.0246</v>
      </c>
      <c r="D49" s="4">
        <v>0</v>
      </c>
      <c r="E49" s="22">
        <f t="shared" si="0"/>
        <v>-3.0000000000000001E-3</v>
      </c>
      <c r="F49">
        <f t="shared" si="1"/>
        <v>5.6619927362827945E-3</v>
      </c>
      <c r="G49">
        <f t="shared" si="2"/>
        <v>-1.0302619927362828</v>
      </c>
    </row>
    <row r="50" spans="1:7" x14ac:dyDescent="0.25">
      <c r="A50" s="2" t="s">
        <v>10</v>
      </c>
      <c r="B50" s="3">
        <v>41718</v>
      </c>
      <c r="C50" s="4">
        <v>-2.0811999999999999</v>
      </c>
      <c r="D50" s="4">
        <v>-2.2075999999999998</v>
      </c>
      <c r="E50" s="22">
        <f t="shared" si="0"/>
        <v>-2.2105999999999999</v>
      </c>
      <c r="F50">
        <f t="shared" si="1"/>
        <v>-0.29836519938355643</v>
      </c>
      <c r="G50">
        <f t="shared" si="2"/>
        <v>-1.7828348006164436</v>
      </c>
    </row>
    <row r="51" spans="1:7" x14ac:dyDescent="0.25">
      <c r="A51" s="2" t="s">
        <v>10</v>
      </c>
      <c r="B51" s="3">
        <v>41719</v>
      </c>
      <c r="C51" s="4">
        <v>1.3576999999999999</v>
      </c>
      <c r="D51" s="4">
        <v>0.44540000000000002</v>
      </c>
      <c r="E51" s="22">
        <f t="shared" si="0"/>
        <v>0.44240000000000002</v>
      </c>
      <c r="F51">
        <f t="shared" si="1"/>
        <v>6.7001778644135854E-2</v>
      </c>
      <c r="G51">
        <f t="shared" si="2"/>
        <v>1.290698221355864</v>
      </c>
    </row>
    <row r="52" spans="1:7" x14ac:dyDescent="0.25">
      <c r="A52" s="2" t="s">
        <v>10</v>
      </c>
      <c r="B52" s="3">
        <v>41722</v>
      </c>
      <c r="C52" s="4">
        <v>-1.2525999999999999</v>
      </c>
      <c r="D52" s="4">
        <v>0</v>
      </c>
      <c r="E52" s="22">
        <f t="shared" si="0"/>
        <v>-3.0000000000000001E-3</v>
      </c>
      <c r="F52">
        <f t="shared" si="1"/>
        <v>5.6619927362827945E-3</v>
      </c>
      <c r="G52">
        <f t="shared" si="2"/>
        <v>-1.2582619927362828</v>
      </c>
    </row>
    <row r="53" spans="1:7" x14ac:dyDescent="0.25">
      <c r="A53" s="2" t="s">
        <v>10</v>
      </c>
      <c r="B53" s="3">
        <v>41723</v>
      </c>
      <c r="C53" s="4">
        <v>3.1025999999999998</v>
      </c>
      <c r="D53" s="4">
        <v>0.88500000000000001</v>
      </c>
      <c r="E53" s="22">
        <f t="shared" si="0"/>
        <v>0.88200000000000001</v>
      </c>
      <c r="F53">
        <f t="shared" si="1"/>
        <v>0.12754279769463472</v>
      </c>
      <c r="G53">
        <f t="shared" si="2"/>
        <v>2.975057202305365</v>
      </c>
    </row>
    <row r="54" spans="1:7" x14ac:dyDescent="0.25">
      <c r="A54" s="2" t="s">
        <v>10</v>
      </c>
      <c r="B54" s="3">
        <v>41724</v>
      </c>
      <c r="C54" s="4">
        <v>0.30499999999999999</v>
      </c>
      <c r="D54" s="4">
        <v>1.7467999999999999</v>
      </c>
      <c r="E54" s="22">
        <f t="shared" si="0"/>
        <v>1.7438</v>
      </c>
      <c r="F54">
        <f t="shared" si="1"/>
        <v>0.24622853522356999</v>
      </c>
      <c r="G54">
        <f t="shared" si="2"/>
        <v>5.8771464776429999E-2</v>
      </c>
    </row>
    <row r="55" spans="1:7" x14ac:dyDescent="0.25">
      <c r="A55" s="2" t="s">
        <v>10</v>
      </c>
      <c r="B55" s="3">
        <v>41725</v>
      </c>
      <c r="C55" s="4">
        <v>0.40529999999999999</v>
      </c>
      <c r="D55" s="4">
        <v>0.432</v>
      </c>
      <c r="E55" s="22">
        <f t="shared" si="0"/>
        <v>0.42899999999999999</v>
      </c>
      <c r="F55">
        <f t="shared" si="1"/>
        <v>6.5156351766800347E-2</v>
      </c>
      <c r="G55">
        <f t="shared" si="2"/>
        <v>0.34014364823319965</v>
      </c>
    </row>
    <row r="56" spans="1:7" x14ac:dyDescent="0.25">
      <c r="A56" s="2" t="s">
        <v>10</v>
      </c>
      <c r="B56" s="3">
        <v>41726</v>
      </c>
      <c r="C56" s="4">
        <v>-2.3530000000000002</v>
      </c>
      <c r="D56" s="4">
        <v>1.2847999999999999</v>
      </c>
      <c r="E56" s="22">
        <f t="shared" si="0"/>
        <v>1.2818000000000001</v>
      </c>
      <c r="F56">
        <f t="shared" si="1"/>
        <v>0.18260262348259984</v>
      </c>
      <c r="G56">
        <f t="shared" si="2"/>
        <v>-2.5356026234826001</v>
      </c>
    </row>
    <row r="57" spans="1:7" x14ac:dyDescent="0.25">
      <c r="A57" s="2" t="s">
        <v>10</v>
      </c>
      <c r="B57" s="3">
        <v>41729</v>
      </c>
      <c r="C57" s="4">
        <v>2.2519</v>
      </c>
      <c r="D57" s="4">
        <v>0.84750000000000003</v>
      </c>
      <c r="E57" s="22">
        <f t="shared" si="0"/>
        <v>0.84450000000000003</v>
      </c>
      <c r="F57">
        <f t="shared" si="1"/>
        <v>0.12237835680656899</v>
      </c>
      <c r="G57">
        <f t="shared" si="2"/>
        <v>2.129521643193431</v>
      </c>
    </row>
    <row r="58" spans="1:7" x14ac:dyDescent="0.25">
      <c r="A58" s="2" t="s">
        <v>10</v>
      </c>
      <c r="B58" s="3">
        <v>41730</v>
      </c>
      <c r="C58" s="4">
        <v>-0.30409999999999998</v>
      </c>
      <c r="D58" s="4">
        <v>0.84030000000000005</v>
      </c>
      <c r="E58" s="22">
        <f t="shared" si="0"/>
        <v>0.83730000000000004</v>
      </c>
      <c r="F58">
        <f t="shared" si="1"/>
        <v>0.12138678415606036</v>
      </c>
      <c r="G58">
        <f t="shared" si="2"/>
        <v>-0.42548678415606034</v>
      </c>
    </row>
    <row r="59" spans="1:7" x14ac:dyDescent="0.25">
      <c r="A59" s="2" t="s">
        <v>10</v>
      </c>
      <c r="B59" s="3">
        <v>41731</v>
      </c>
      <c r="C59" s="4">
        <v>-0.1016</v>
      </c>
      <c r="D59" s="4">
        <v>0.41749999999999998</v>
      </c>
      <c r="E59" s="22">
        <f t="shared" si="0"/>
        <v>0.41449999999999998</v>
      </c>
      <c r="F59">
        <f t="shared" si="1"/>
        <v>6.3159434623414917E-2</v>
      </c>
      <c r="G59">
        <f t="shared" si="2"/>
        <v>-0.16475943462341491</v>
      </c>
    </row>
    <row r="60" spans="1:7" x14ac:dyDescent="0.25">
      <c r="A60" s="2" t="s">
        <v>10</v>
      </c>
      <c r="B60" s="3">
        <v>41732</v>
      </c>
      <c r="C60" s="4">
        <v>0.70889999999999997</v>
      </c>
      <c r="D60" s="4">
        <v>-1.2579</v>
      </c>
      <c r="E60" s="22">
        <f t="shared" si="0"/>
        <v>-1.2608999999999999</v>
      </c>
      <c r="F60">
        <f t="shared" si="1"/>
        <v>-0.16757401241299505</v>
      </c>
      <c r="G60">
        <f t="shared" si="2"/>
        <v>0.87647401241299505</v>
      </c>
    </row>
    <row r="61" spans="1:7" x14ac:dyDescent="0.25">
      <c r="A61" s="2" t="s">
        <v>10</v>
      </c>
      <c r="B61" s="3">
        <v>41736</v>
      </c>
      <c r="C61" s="4">
        <v>0.80400000000000005</v>
      </c>
      <c r="D61" s="4">
        <v>-0.84750000000000003</v>
      </c>
      <c r="E61" s="22">
        <f t="shared" si="0"/>
        <v>-0.85050000000000003</v>
      </c>
      <c r="F61">
        <f t="shared" si="1"/>
        <v>-0.11105437133400339</v>
      </c>
      <c r="G61">
        <f t="shared" si="2"/>
        <v>0.91505437133400347</v>
      </c>
    </row>
    <row r="62" spans="1:7" x14ac:dyDescent="0.25">
      <c r="A62" s="2" t="s">
        <v>10</v>
      </c>
      <c r="B62" s="3">
        <v>41737</v>
      </c>
      <c r="C62" s="4">
        <v>-0.50180000000000002</v>
      </c>
      <c r="D62" s="4">
        <v>1.2685</v>
      </c>
      <c r="E62" s="22">
        <f t="shared" si="0"/>
        <v>1.2655000000000001</v>
      </c>
      <c r="F62">
        <f t="shared" si="1"/>
        <v>0.18035781317658725</v>
      </c>
      <c r="G62">
        <f t="shared" si="2"/>
        <v>-0.6821578131765873</v>
      </c>
    </row>
    <row r="63" spans="1:7" x14ac:dyDescent="0.25">
      <c r="A63" s="2" t="s">
        <v>10</v>
      </c>
      <c r="B63" s="3">
        <v>41738</v>
      </c>
      <c r="C63" s="4">
        <v>0</v>
      </c>
      <c r="D63" s="4">
        <v>0</v>
      </c>
      <c r="E63" s="22">
        <f t="shared" si="0"/>
        <v>-3.0000000000000001E-3</v>
      </c>
      <c r="F63">
        <f t="shared" si="1"/>
        <v>5.6619927362827945E-3</v>
      </c>
      <c r="G63">
        <f t="shared" si="2"/>
        <v>-5.6619927362827945E-3</v>
      </c>
    </row>
    <row r="64" spans="1:7" x14ac:dyDescent="0.25">
      <c r="A64" s="2" t="s">
        <v>10</v>
      </c>
      <c r="B64" s="3">
        <v>41739</v>
      </c>
      <c r="C64" s="4">
        <v>-1.1128</v>
      </c>
      <c r="D64" s="4">
        <v>0.41930000000000001</v>
      </c>
      <c r="E64" s="22">
        <f t="shared" si="0"/>
        <v>0.4163</v>
      </c>
      <c r="F64">
        <f t="shared" si="1"/>
        <v>6.3407327786042078E-2</v>
      </c>
      <c r="G64">
        <f t="shared" si="2"/>
        <v>-1.1762073277860421</v>
      </c>
    </row>
    <row r="65" spans="1:7" x14ac:dyDescent="0.25">
      <c r="A65" s="2" t="s">
        <v>10</v>
      </c>
      <c r="B65" s="3">
        <v>41740</v>
      </c>
      <c r="C65" s="4">
        <v>-0.7147</v>
      </c>
      <c r="D65" s="4">
        <v>0.41749999999999998</v>
      </c>
      <c r="E65" s="22">
        <f t="shared" si="0"/>
        <v>0.41449999999999998</v>
      </c>
      <c r="F65">
        <f t="shared" si="1"/>
        <v>6.3159434623414917E-2</v>
      </c>
      <c r="G65">
        <f t="shared" si="2"/>
        <v>-0.77785943462341489</v>
      </c>
    </row>
    <row r="66" spans="1:7" x14ac:dyDescent="0.25">
      <c r="A66" s="2" t="s">
        <v>10</v>
      </c>
      <c r="B66" s="3">
        <v>41743</v>
      </c>
      <c r="C66" s="4">
        <v>-2.2799</v>
      </c>
      <c r="D66" s="4">
        <v>0.4158</v>
      </c>
      <c r="E66" s="22">
        <f t="shared" si="0"/>
        <v>0.4128</v>
      </c>
      <c r="F66">
        <f t="shared" si="1"/>
        <v>6.2925313303155941E-2</v>
      </c>
      <c r="G66">
        <f t="shared" si="2"/>
        <v>-2.3428253133031558</v>
      </c>
    </row>
    <row r="67" spans="1:7" x14ac:dyDescent="0.25">
      <c r="A67" s="2" t="s">
        <v>10</v>
      </c>
      <c r="B67" s="3">
        <v>41744</v>
      </c>
      <c r="C67" s="4">
        <v>1.25</v>
      </c>
      <c r="D67" s="4">
        <v>1.6460999999999999</v>
      </c>
      <c r="E67" s="22">
        <f t="shared" ref="E67:E130" si="3">D67-$L$1</f>
        <v>1.6431</v>
      </c>
      <c r="F67">
        <f t="shared" ref="F67:F130" si="4">L$2+L$3*E67</f>
        <v>0.23236028995881741</v>
      </c>
      <c r="G67">
        <f t="shared" ref="G67:G130" si="5">C67-F67</f>
        <v>1.0176397100411827</v>
      </c>
    </row>
    <row r="68" spans="1:7" x14ac:dyDescent="0.25">
      <c r="A68" s="2" t="s">
        <v>10</v>
      </c>
      <c r="B68" s="3">
        <v>41745</v>
      </c>
      <c r="C68" s="4">
        <v>0.82469999999999999</v>
      </c>
      <c r="D68" s="4">
        <v>-1.232</v>
      </c>
      <c r="E68" s="22">
        <f t="shared" si="3"/>
        <v>-1.2349999999999999</v>
      </c>
      <c r="F68">
        <f t="shared" si="4"/>
        <v>-0.16400710523963763</v>
      </c>
      <c r="G68">
        <f t="shared" si="5"/>
        <v>0.98870710523963767</v>
      </c>
    </row>
    <row r="69" spans="1:7" x14ac:dyDescent="0.25">
      <c r="A69" s="2" t="s">
        <v>10</v>
      </c>
      <c r="B69" s="3">
        <v>41746</v>
      </c>
      <c r="C69" s="4">
        <v>1.123</v>
      </c>
      <c r="D69" s="4">
        <v>-0.82989999999999997</v>
      </c>
      <c r="E69" s="22">
        <f t="shared" si="3"/>
        <v>-0.83289999999999997</v>
      </c>
      <c r="F69">
        <f t="shared" si="4"/>
        <v>-0.10863052707720451</v>
      </c>
      <c r="G69">
        <f t="shared" si="5"/>
        <v>1.2316305270772046</v>
      </c>
    </row>
    <row r="70" spans="1:7" x14ac:dyDescent="0.25">
      <c r="A70" s="2" t="s">
        <v>10</v>
      </c>
      <c r="B70" s="3">
        <v>41747</v>
      </c>
      <c r="C70" s="4">
        <v>-1.0204</v>
      </c>
      <c r="D70" s="4">
        <v>2.4693000000000001</v>
      </c>
      <c r="E70" s="22">
        <f t="shared" si="3"/>
        <v>2.4662999999999999</v>
      </c>
      <c r="F70">
        <f t="shared" si="4"/>
        <v>0.34573009633363694</v>
      </c>
      <c r="G70">
        <f t="shared" si="5"/>
        <v>-1.3661300963336369</v>
      </c>
    </row>
    <row r="71" spans="1:7" x14ac:dyDescent="0.25">
      <c r="A71" s="2" t="s">
        <v>10</v>
      </c>
      <c r="B71" s="3">
        <v>41750</v>
      </c>
      <c r="C71" s="4">
        <v>1.2233000000000001</v>
      </c>
      <c r="D71" s="4">
        <v>-1.2270000000000001</v>
      </c>
      <c r="E71" s="22">
        <f t="shared" si="3"/>
        <v>-1.23</v>
      </c>
      <c r="F71">
        <f t="shared" si="4"/>
        <v>-0.16331851312122889</v>
      </c>
      <c r="G71">
        <f t="shared" si="5"/>
        <v>1.386618513121229</v>
      </c>
    </row>
    <row r="72" spans="1:7" x14ac:dyDescent="0.25">
      <c r="A72" s="2" t="s">
        <v>10</v>
      </c>
      <c r="B72" s="3">
        <v>41751</v>
      </c>
      <c r="C72" s="4">
        <v>1.3085</v>
      </c>
      <c r="D72" s="4">
        <v>0</v>
      </c>
      <c r="E72" s="22">
        <f t="shared" si="3"/>
        <v>-3.0000000000000001E-3</v>
      </c>
      <c r="F72">
        <f t="shared" si="4"/>
        <v>5.6619927362827945E-3</v>
      </c>
      <c r="G72">
        <f t="shared" si="5"/>
        <v>1.3028380072637171</v>
      </c>
    </row>
    <row r="73" spans="1:7" x14ac:dyDescent="0.25">
      <c r="A73" s="2" t="s">
        <v>10</v>
      </c>
      <c r="B73" s="3">
        <v>41752</v>
      </c>
      <c r="C73" s="4">
        <v>0.59819999999999995</v>
      </c>
      <c r="D73" s="4">
        <v>-0.41239999999999999</v>
      </c>
      <c r="E73" s="22">
        <f t="shared" si="3"/>
        <v>-0.41539999999999999</v>
      </c>
      <c r="F73">
        <f t="shared" si="4"/>
        <v>-5.113308519007239E-2</v>
      </c>
      <c r="G73">
        <f t="shared" si="5"/>
        <v>0.64933308519007238</v>
      </c>
    </row>
    <row r="74" spans="1:7" x14ac:dyDescent="0.25">
      <c r="A74" s="2" t="s">
        <v>10</v>
      </c>
      <c r="B74" s="3">
        <v>41753</v>
      </c>
      <c r="C74" s="4">
        <v>0.39679999999999999</v>
      </c>
      <c r="D74" s="4">
        <v>0</v>
      </c>
      <c r="E74" s="22">
        <f t="shared" si="3"/>
        <v>-3.0000000000000001E-3</v>
      </c>
      <c r="F74">
        <f t="shared" si="4"/>
        <v>5.6619927362827945E-3</v>
      </c>
      <c r="G74">
        <f t="shared" si="5"/>
        <v>0.39113800726371717</v>
      </c>
    </row>
    <row r="75" spans="1:7" x14ac:dyDescent="0.25">
      <c r="A75" s="2" t="s">
        <v>10</v>
      </c>
      <c r="B75" s="3">
        <v>41754</v>
      </c>
      <c r="C75" s="4">
        <v>1.5717000000000001</v>
      </c>
      <c r="D75" s="4">
        <v>-2.0878000000000001</v>
      </c>
      <c r="E75" s="22">
        <f t="shared" si="3"/>
        <v>-2.0908000000000002</v>
      </c>
      <c r="F75">
        <f t="shared" si="4"/>
        <v>-0.28186653222648239</v>
      </c>
      <c r="G75">
        <f t="shared" si="5"/>
        <v>1.8535665322264825</v>
      </c>
    </row>
    <row r="76" spans="1:7" x14ac:dyDescent="0.25">
      <c r="A76" s="2" t="s">
        <v>10</v>
      </c>
      <c r="B76" s="3">
        <v>41757</v>
      </c>
      <c r="C76" s="4">
        <v>1.7392000000000001</v>
      </c>
      <c r="D76" s="4">
        <v>0.42109999999999997</v>
      </c>
      <c r="E76" s="22">
        <f t="shared" si="3"/>
        <v>0.41809999999999997</v>
      </c>
      <c r="F76">
        <f t="shared" si="4"/>
        <v>6.3655220948669239E-2</v>
      </c>
      <c r="G76">
        <f t="shared" si="5"/>
        <v>1.6755447790513309</v>
      </c>
    </row>
    <row r="77" spans="1:7" x14ac:dyDescent="0.25">
      <c r="A77" s="2" t="s">
        <v>10</v>
      </c>
      <c r="B77" s="3">
        <v>41758</v>
      </c>
      <c r="C77" s="4">
        <v>-0.38390000000000002</v>
      </c>
      <c r="D77" s="4">
        <v>1.2525999999999999</v>
      </c>
      <c r="E77" s="22">
        <f t="shared" si="3"/>
        <v>1.2496</v>
      </c>
      <c r="F77">
        <f t="shared" si="4"/>
        <v>0.17816809024004737</v>
      </c>
      <c r="G77">
        <f t="shared" si="5"/>
        <v>-0.56206809024004745</v>
      </c>
    </row>
    <row r="78" spans="1:7" x14ac:dyDescent="0.25">
      <c r="A78" s="2" t="s">
        <v>10</v>
      </c>
      <c r="B78" s="3">
        <v>41759</v>
      </c>
      <c r="C78" s="4">
        <v>-2.7292000000000001</v>
      </c>
      <c r="D78" s="4">
        <v>-1.6737</v>
      </c>
      <c r="E78" s="22">
        <f t="shared" si="3"/>
        <v>-1.6766999999999999</v>
      </c>
      <c r="F78">
        <f t="shared" si="4"/>
        <v>-0.22483733297986819</v>
      </c>
      <c r="G78">
        <f t="shared" si="5"/>
        <v>-2.504362667020132</v>
      </c>
    </row>
    <row r="79" spans="1:7" x14ac:dyDescent="0.25">
      <c r="A79" s="2" t="s">
        <v>10</v>
      </c>
      <c r="B79" s="3">
        <v>41761</v>
      </c>
      <c r="C79" s="4">
        <v>0.19739999999999999</v>
      </c>
      <c r="D79" s="4">
        <v>-0.42280000000000001</v>
      </c>
      <c r="E79" s="22">
        <f t="shared" si="3"/>
        <v>-0.42580000000000001</v>
      </c>
      <c r="F79">
        <f t="shared" si="4"/>
        <v>-5.2565356796362629E-2</v>
      </c>
      <c r="G79">
        <f t="shared" si="5"/>
        <v>0.24996535679636261</v>
      </c>
    </row>
    <row r="80" spans="1:7" x14ac:dyDescent="0.25">
      <c r="A80" s="2" t="s">
        <v>10</v>
      </c>
      <c r="B80" s="3">
        <v>41764</v>
      </c>
      <c r="C80" s="4">
        <v>-1.5905</v>
      </c>
      <c r="D80" s="4">
        <v>-0.85109999999999997</v>
      </c>
      <c r="E80" s="22">
        <f t="shared" si="3"/>
        <v>-0.85409999999999997</v>
      </c>
      <c r="F80">
        <f t="shared" si="4"/>
        <v>-0.11155015765925769</v>
      </c>
      <c r="G80">
        <f t="shared" si="5"/>
        <v>-1.4789498423407423</v>
      </c>
    </row>
    <row r="81" spans="1:7" x14ac:dyDescent="0.25">
      <c r="A81" s="2" t="s">
        <v>10</v>
      </c>
      <c r="B81" s="3">
        <v>41765</v>
      </c>
      <c r="C81" s="4">
        <v>0.20019999999999999</v>
      </c>
      <c r="D81" s="4">
        <v>0.85109999999999997</v>
      </c>
      <c r="E81" s="22">
        <f t="shared" si="3"/>
        <v>0.84809999999999997</v>
      </c>
      <c r="F81">
        <f t="shared" si="4"/>
        <v>0.12287414313182328</v>
      </c>
      <c r="G81">
        <f t="shared" si="5"/>
        <v>7.7325856868176709E-2</v>
      </c>
    </row>
    <row r="82" spans="1:7" x14ac:dyDescent="0.25">
      <c r="A82" s="2" t="s">
        <v>10</v>
      </c>
      <c r="B82" s="3">
        <v>41766</v>
      </c>
      <c r="C82" s="4">
        <v>0</v>
      </c>
      <c r="D82" s="4">
        <v>0.42280000000000001</v>
      </c>
      <c r="E82" s="22">
        <f t="shared" si="3"/>
        <v>0.41980000000000001</v>
      </c>
      <c r="F82">
        <f t="shared" si="4"/>
        <v>6.3889342268928215E-2</v>
      </c>
      <c r="G82">
        <f t="shared" si="5"/>
        <v>-6.3889342268928215E-2</v>
      </c>
    </row>
    <row r="83" spans="1:7" x14ac:dyDescent="0.25">
      <c r="A83" s="2" t="s">
        <v>10</v>
      </c>
      <c r="B83" s="3">
        <v>41767</v>
      </c>
      <c r="C83" s="4">
        <v>0.19980000000000001</v>
      </c>
      <c r="D83" s="4">
        <v>0.84030000000000005</v>
      </c>
      <c r="E83" s="22">
        <f t="shared" si="3"/>
        <v>0.83730000000000004</v>
      </c>
      <c r="F83">
        <f t="shared" si="4"/>
        <v>0.12138678415606036</v>
      </c>
      <c r="G83">
        <f t="shared" si="5"/>
        <v>7.8413215843939649E-2</v>
      </c>
    </row>
    <row r="84" spans="1:7" x14ac:dyDescent="0.25">
      <c r="A84" s="2" t="s">
        <v>10</v>
      </c>
      <c r="B84" s="3">
        <v>41768</v>
      </c>
      <c r="C84" s="4">
        <v>1.1904999999999999</v>
      </c>
      <c r="D84" s="4">
        <v>0.41749999999999998</v>
      </c>
      <c r="E84" s="22">
        <f t="shared" si="3"/>
        <v>0.41449999999999998</v>
      </c>
      <c r="F84">
        <f t="shared" si="4"/>
        <v>6.3159434623414917E-2</v>
      </c>
      <c r="G84">
        <f t="shared" si="5"/>
        <v>1.1273405653765849</v>
      </c>
    </row>
    <row r="85" spans="1:7" x14ac:dyDescent="0.25">
      <c r="A85" s="2" t="s">
        <v>10</v>
      </c>
      <c r="B85" s="3">
        <v>41771</v>
      </c>
      <c r="C85" s="4">
        <v>-0.19739999999999999</v>
      </c>
      <c r="D85" s="4">
        <v>-1.2579</v>
      </c>
      <c r="E85" s="22">
        <f t="shared" si="3"/>
        <v>-1.2608999999999999</v>
      </c>
      <c r="F85">
        <f t="shared" si="4"/>
        <v>-0.16757401241299505</v>
      </c>
      <c r="G85">
        <f t="shared" si="5"/>
        <v>-2.9825987587004943E-2</v>
      </c>
    </row>
    <row r="86" spans="1:7" x14ac:dyDescent="0.25">
      <c r="A86" s="2" t="s">
        <v>10</v>
      </c>
      <c r="B86" s="3">
        <v>41772</v>
      </c>
      <c r="C86" s="4">
        <v>-2.9075000000000002</v>
      </c>
      <c r="D86" s="4">
        <v>1.6737</v>
      </c>
      <c r="E86" s="22">
        <f t="shared" si="3"/>
        <v>1.6707000000000001</v>
      </c>
      <c r="F86">
        <f t="shared" si="4"/>
        <v>0.23616131845243382</v>
      </c>
      <c r="G86">
        <f t="shared" si="5"/>
        <v>-3.143661318452434</v>
      </c>
    </row>
    <row r="87" spans="1:7" x14ac:dyDescent="0.25">
      <c r="A87" s="2" t="s">
        <v>10</v>
      </c>
      <c r="B87" s="3">
        <v>41773</v>
      </c>
      <c r="C87" s="4">
        <v>0.20330000000000001</v>
      </c>
      <c r="D87" s="4">
        <v>1.2371000000000001</v>
      </c>
      <c r="E87" s="22">
        <f t="shared" si="3"/>
        <v>1.2341000000000002</v>
      </c>
      <c r="F87">
        <f t="shared" si="4"/>
        <v>0.17603345467298021</v>
      </c>
      <c r="G87">
        <f t="shared" si="5"/>
        <v>2.7266545327019803E-2</v>
      </c>
    </row>
    <row r="88" spans="1:7" x14ac:dyDescent="0.25">
      <c r="A88" s="2" t="s">
        <v>10</v>
      </c>
      <c r="B88" s="3">
        <v>41774</v>
      </c>
      <c r="C88" s="4">
        <v>-0.20330000000000001</v>
      </c>
      <c r="D88" s="4">
        <v>0</v>
      </c>
      <c r="E88" s="22">
        <f t="shared" si="3"/>
        <v>-3.0000000000000001E-3</v>
      </c>
      <c r="F88">
        <f t="shared" si="4"/>
        <v>5.6619927362827945E-3</v>
      </c>
      <c r="G88">
        <f t="shared" si="5"/>
        <v>-0.2089619927362828</v>
      </c>
    </row>
    <row r="89" spans="1:7" x14ac:dyDescent="0.25">
      <c r="A89" s="2" t="s">
        <v>10</v>
      </c>
      <c r="B89" s="3">
        <v>41775</v>
      </c>
      <c r="C89" s="4">
        <v>-0.50990000000000002</v>
      </c>
      <c r="D89" s="4">
        <v>0</v>
      </c>
      <c r="E89" s="22">
        <f t="shared" si="3"/>
        <v>-3.0000000000000001E-3</v>
      </c>
      <c r="F89">
        <f t="shared" si="4"/>
        <v>5.6619927362827945E-3</v>
      </c>
      <c r="G89">
        <f t="shared" si="5"/>
        <v>-0.51556199273628278</v>
      </c>
    </row>
    <row r="90" spans="1:7" x14ac:dyDescent="0.25">
      <c r="A90" s="2" t="s">
        <v>10</v>
      </c>
      <c r="B90" s="3">
        <v>41778</v>
      </c>
      <c r="C90" s="4">
        <v>0.81469999999999998</v>
      </c>
      <c r="D90" s="4">
        <v>-0.82299999999999995</v>
      </c>
      <c r="E90" s="22">
        <f t="shared" si="3"/>
        <v>-0.82599999999999996</v>
      </c>
      <c r="F90">
        <f t="shared" si="4"/>
        <v>-0.10768026995380041</v>
      </c>
      <c r="G90">
        <f t="shared" si="5"/>
        <v>0.9223802699538004</v>
      </c>
    </row>
    <row r="91" spans="1:7" x14ac:dyDescent="0.25">
      <c r="A91" s="2" t="s">
        <v>10</v>
      </c>
      <c r="B91" s="3">
        <v>41779</v>
      </c>
      <c r="C91" s="4">
        <v>0.80810000000000004</v>
      </c>
      <c r="D91" s="4">
        <v>0</v>
      </c>
      <c r="E91" s="22">
        <f t="shared" si="3"/>
        <v>-3.0000000000000001E-3</v>
      </c>
      <c r="F91">
        <f t="shared" si="4"/>
        <v>5.6619927362827945E-3</v>
      </c>
      <c r="G91">
        <f t="shared" si="5"/>
        <v>0.80243800726371728</v>
      </c>
    </row>
    <row r="92" spans="1:7" x14ac:dyDescent="0.25">
      <c r="A92" s="2" t="s">
        <v>10</v>
      </c>
      <c r="B92" s="3">
        <v>41780</v>
      </c>
      <c r="C92" s="4">
        <v>-0.80810000000000004</v>
      </c>
      <c r="D92" s="4">
        <v>-0.41410000000000002</v>
      </c>
      <c r="E92" s="22">
        <f t="shared" si="3"/>
        <v>-0.41710000000000003</v>
      </c>
      <c r="F92">
        <f t="shared" si="4"/>
        <v>-5.1367206510331373E-2</v>
      </c>
      <c r="G92">
        <f t="shared" si="5"/>
        <v>-0.75673279348966871</v>
      </c>
    </row>
    <row r="93" spans="1:7" x14ac:dyDescent="0.25">
      <c r="A93" s="2" t="s">
        <v>10</v>
      </c>
      <c r="B93" s="3">
        <v>41781</v>
      </c>
      <c r="C93" s="4">
        <v>0.1014</v>
      </c>
      <c r="D93" s="4">
        <v>1.2371000000000001</v>
      </c>
      <c r="E93" s="22">
        <f t="shared" si="3"/>
        <v>1.2341000000000002</v>
      </c>
      <c r="F93">
        <f t="shared" si="4"/>
        <v>0.17603345467298021</v>
      </c>
      <c r="G93">
        <f t="shared" si="5"/>
        <v>-7.4633454672980201E-2</v>
      </c>
    </row>
    <row r="94" spans="1:7" x14ac:dyDescent="0.25">
      <c r="A94" s="2" t="s">
        <v>10</v>
      </c>
      <c r="B94" s="3">
        <v>41782</v>
      </c>
      <c r="C94" s="4">
        <v>0.30349999999999999</v>
      </c>
      <c r="D94" s="4">
        <v>0</v>
      </c>
      <c r="E94" s="22">
        <f t="shared" si="3"/>
        <v>-3.0000000000000001E-3</v>
      </c>
      <c r="F94">
        <f t="shared" si="4"/>
        <v>5.6619927362827945E-3</v>
      </c>
      <c r="G94">
        <f t="shared" si="5"/>
        <v>0.29783800726371717</v>
      </c>
    </row>
    <row r="95" spans="1:7" x14ac:dyDescent="0.25">
      <c r="A95" s="2" t="s">
        <v>10</v>
      </c>
      <c r="B95" s="3">
        <v>41785</v>
      </c>
      <c r="C95" s="4">
        <v>-0.50629999999999997</v>
      </c>
      <c r="D95" s="4">
        <v>0.81630000000000003</v>
      </c>
      <c r="E95" s="22">
        <f t="shared" si="3"/>
        <v>0.81330000000000002</v>
      </c>
      <c r="F95">
        <f t="shared" si="4"/>
        <v>0.11808154198769827</v>
      </c>
      <c r="G95">
        <f t="shared" si="5"/>
        <v>-0.62438154198769824</v>
      </c>
    </row>
    <row r="96" spans="1:7" x14ac:dyDescent="0.25">
      <c r="A96" s="2" t="s">
        <v>10</v>
      </c>
      <c r="B96" s="3">
        <v>41786</v>
      </c>
      <c r="C96" s="4">
        <v>-0.30499999999999999</v>
      </c>
      <c r="D96" s="4">
        <v>0.40570000000000001</v>
      </c>
      <c r="E96" s="22">
        <f t="shared" si="3"/>
        <v>0.4027</v>
      </c>
      <c r="F96">
        <f t="shared" si="4"/>
        <v>6.1534357223970236E-2</v>
      </c>
      <c r="G96">
        <f t="shared" si="5"/>
        <v>-0.36653435722397021</v>
      </c>
    </row>
    <row r="97" spans="1:7" x14ac:dyDescent="0.25">
      <c r="A97" s="2" t="s">
        <v>10</v>
      </c>
      <c r="B97" s="3">
        <v>41787</v>
      </c>
      <c r="C97" s="4">
        <v>1.0132000000000001</v>
      </c>
      <c r="D97" s="4">
        <v>0.40400000000000003</v>
      </c>
      <c r="E97" s="22">
        <f t="shared" si="3"/>
        <v>0.40100000000000002</v>
      </c>
      <c r="F97">
        <f t="shared" si="4"/>
        <v>6.1300235903711253E-2</v>
      </c>
      <c r="G97">
        <f t="shared" si="5"/>
        <v>0.95189976409628885</v>
      </c>
    </row>
    <row r="98" spans="1:7" x14ac:dyDescent="0.25">
      <c r="A98" s="2" t="s">
        <v>10</v>
      </c>
      <c r="B98" s="3">
        <v>41788</v>
      </c>
      <c r="C98" s="4">
        <v>-0.50529999999999997</v>
      </c>
      <c r="D98" s="4">
        <v>-1.6261000000000001</v>
      </c>
      <c r="E98" s="22">
        <f t="shared" si="3"/>
        <v>-1.6291</v>
      </c>
      <c r="F98">
        <f t="shared" si="4"/>
        <v>-0.21828193601261675</v>
      </c>
      <c r="G98">
        <f t="shared" si="5"/>
        <v>-0.28701806398738322</v>
      </c>
    </row>
    <row r="99" spans="1:7" x14ac:dyDescent="0.25">
      <c r="A99" s="2" t="s">
        <v>10</v>
      </c>
      <c r="B99" s="3">
        <v>41789</v>
      </c>
      <c r="C99" s="4">
        <v>0.50529999999999997</v>
      </c>
      <c r="D99" s="4">
        <v>-2.0705</v>
      </c>
      <c r="E99" s="22">
        <f t="shared" si="3"/>
        <v>-2.0735000000000001</v>
      </c>
      <c r="F99">
        <f t="shared" si="4"/>
        <v>-0.27948400349678804</v>
      </c>
      <c r="G99">
        <f t="shared" si="5"/>
        <v>0.78478400349678801</v>
      </c>
    </row>
    <row r="100" spans="1:7" x14ac:dyDescent="0.25">
      <c r="A100" s="2" t="s">
        <v>10</v>
      </c>
      <c r="B100" s="3">
        <v>41793</v>
      </c>
      <c r="C100" s="4">
        <v>1.0029999999999999</v>
      </c>
      <c r="D100" s="4">
        <v>2.4794999999999998</v>
      </c>
      <c r="E100" s="22">
        <f t="shared" si="3"/>
        <v>2.4764999999999997</v>
      </c>
      <c r="F100">
        <f t="shared" si="4"/>
        <v>0.34713482425519082</v>
      </c>
      <c r="G100">
        <f t="shared" si="5"/>
        <v>0.65586517574480907</v>
      </c>
    </row>
    <row r="101" spans="1:7" x14ac:dyDescent="0.25">
      <c r="A101" s="2" t="s">
        <v>10</v>
      </c>
      <c r="B101" s="3">
        <v>41794</v>
      </c>
      <c r="C101" s="4">
        <v>1.3875</v>
      </c>
      <c r="D101" s="4">
        <v>0.81299999999999994</v>
      </c>
      <c r="E101" s="22">
        <f t="shared" si="3"/>
        <v>0.80999999999999994</v>
      </c>
      <c r="F101">
        <f t="shared" si="4"/>
        <v>0.11762707118954847</v>
      </c>
      <c r="G101">
        <f t="shared" si="5"/>
        <v>1.2698729288104516</v>
      </c>
    </row>
    <row r="102" spans="1:7" x14ac:dyDescent="0.25">
      <c r="A102" s="2" t="s">
        <v>10</v>
      </c>
      <c r="B102" s="3">
        <v>41795</v>
      </c>
      <c r="C102" s="4">
        <v>0.19670000000000001</v>
      </c>
      <c r="D102" s="4">
        <v>-0.40570000000000001</v>
      </c>
      <c r="E102" s="22">
        <f t="shared" si="3"/>
        <v>-0.40870000000000001</v>
      </c>
      <c r="F102">
        <f t="shared" si="4"/>
        <v>-5.0210371751404644E-2</v>
      </c>
      <c r="G102">
        <f t="shared" si="5"/>
        <v>0.24691037175140465</v>
      </c>
    </row>
    <row r="103" spans="1:7" x14ac:dyDescent="0.25">
      <c r="A103" s="2" t="s">
        <v>10</v>
      </c>
      <c r="B103" s="3">
        <v>41796</v>
      </c>
      <c r="C103" s="4">
        <v>-0.98719999999999997</v>
      </c>
      <c r="D103" s="4">
        <v>-0.4073</v>
      </c>
      <c r="E103" s="22">
        <f t="shared" si="3"/>
        <v>-0.4103</v>
      </c>
      <c r="F103">
        <f t="shared" si="4"/>
        <v>-5.0430721229295448E-2</v>
      </c>
      <c r="G103">
        <f t="shared" si="5"/>
        <v>-0.93676927877070448</v>
      </c>
    </row>
    <row r="104" spans="1:7" x14ac:dyDescent="0.25">
      <c r="A104" s="2" t="s">
        <v>10</v>
      </c>
      <c r="B104" s="3">
        <v>41799</v>
      </c>
      <c r="C104" s="4">
        <v>-0.39760000000000001</v>
      </c>
      <c r="D104" s="4">
        <v>0.4073</v>
      </c>
      <c r="E104" s="22">
        <f t="shared" si="3"/>
        <v>0.40429999999999999</v>
      </c>
      <c r="F104">
        <f t="shared" si="4"/>
        <v>6.1754706701861041E-2</v>
      </c>
      <c r="G104">
        <f t="shared" si="5"/>
        <v>-0.45935470670186107</v>
      </c>
    </row>
    <row r="105" spans="1:7" x14ac:dyDescent="0.25">
      <c r="A105" s="2" t="s">
        <v>10</v>
      </c>
      <c r="B105" s="3">
        <v>41800</v>
      </c>
      <c r="C105" s="4">
        <v>-0.59940000000000004</v>
      </c>
      <c r="D105" s="4">
        <v>1.2121</v>
      </c>
      <c r="E105" s="22">
        <f t="shared" si="3"/>
        <v>1.2091000000000001</v>
      </c>
      <c r="F105">
        <f t="shared" si="4"/>
        <v>0.17259049408093635</v>
      </c>
      <c r="G105">
        <f t="shared" si="5"/>
        <v>-0.77199049408093634</v>
      </c>
    </row>
    <row r="106" spans="1:7" x14ac:dyDescent="0.25">
      <c r="A106" s="2" t="s">
        <v>10</v>
      </c>
      <c r="B106" s="3">
        <v>41801</v>
      </c>
      <c r="C106" s="4">
        <v>0.997</v>
      </c>
      <c r="D106" s="4">
        <v>0.40079999999999999</v>
      </c>
      <c r="E106" s="22">
        <f t="shared" si="3"/>
        <v>0.39779999999999999</v>
      </c>
      <c r="F106">
        <f t="shared" si="4"/>
        <v>6.0859536947929636E-2</v>
      </c>
      <c r="G106">
        <f t="shared" si="5"/>
        <v>0.93614046305207033</v>
      </c>
    </row>
    <row r="107" spans="1:7" x14ac:dyDescent="0.25">
      <c r="A107" s="2" t="s">
        <v>10</v>
      </c>
      <c r="B107" s="3">
        <v>41802</v>
      </c>
      <c r="C107" s="4">
        <v>-0.59699999999999998</v>
      </c>
      <c r="D107" s="4">
        <v>-1.2073</v>
      </c>
      <c r="E107" s="22">
        <f t="shared" si="3"/>
        <v>-1.2102999999999999</v>
      </c>
      <c r="F107">
        <f t="shared" si="4"/>
        <v>-0.16060546017469832</v>
      </c>
      <c r="G107">
        <f t="shared" si="5"/>
        <v>-0.43639453982530163</v>
      </c>
    </row>
    <row r="108" spans="1:7" x14ac:dyDescent="0.25">
      <c r="A108" s="2" t="s">
        <v>10</v>
      </c>
      <c r="B108" s="3">
        <v>41803</v>
      </c>
      <c r="C108" s="4">
        <v>0.59699999999999998</v>
      </c>
      <c r="D108" s="4">
        <v>-0.40570000000000001</v>
      </c>
      <c r="E108" s="22">
        <f t="shared" si="3"/>
        <v>-0.40870000000000001</v>
      </c>
      <c r="F108">
        <f t="shared" si="4"/>
        <v>-5.0210371751404644E-2</v>
      </c>
      <c r="G108">
        <f t="shared" si="5"/>
        <v>0.64721037175140461</v>
      </c>
    </row>
    <row r="109" spans="1:7" x14ac:dyDescent="0.25">
      <c r="A109" s="2" t="s">
        <v>10</v>
      </c>
      <c r="B109" s="3">
        <v>41806</v>
      </c>
      <c r="C109" s="4">
        <v>-0.79679999999999995</v>
      </c>
      <c r="D109" s="4">
        <v>0.80969999999999998</v>
      </c>
      <c r="E109" s="22">
        <f t="shared" si="3"/>
        <v>0.80669999999999997</v>
      </c>
      <c r="F109">
        <f t="shared" si="4"/>
        <v>0.11717260039139869</v>
      </c>
      <c r="G109">
        <f t="shared" si="5"/>
        <v>-0.9139726003913986</v>
      </c>
    </row>
    <row r="110" spans="1:7" x14ac:dyDescent="0.25">
      <c r="A110" s="2" t="s">
        <v>10</v>
      </c>
      <c r="B110" s="3">
        <v>41807</v>
      </c>
      <c r="C110" s="4">
        <v>0</v>
      </c>
      <c r="D110" s="4">
        <v>0.80320000000000003</v>
      </c>
      <c r="E110" s="22">
        <f t="shared" si="3"/>
        <v>0.80020000000000002</v>
      </c>
      <c r="F110">
        <f t="shared" si="4"/>
        <v>0.11627743063746729</v>
      </c>
      <c r="G110">
        <f t="shared" si="5"/>
        <v>-0.11627743063746729</v>
      </c>
    </row>
    <row r="111" spans="1:7" x14ac:dyDescent="0.25">
      <c r="A111" s="2" t="s">
        <v>10</v>
      </c>
      <c r="B111" s="3">
        <v>41808</v>
      </c>
      <c r="C111" s="4">
        <v>0.19980000000000001</v>
      </c>
      <c r="D111" s="4">
        <v>0.3992</v>
      </c>
      <c r="E111" s="22">
        <f t="shared" si="3"/>
        <v>0.3962</v>
      </c>
      <c r="F111">
        <f t="shared" si="4"/>
        <v>6.0639187470038838E-2</v>
      </c>
      <c r="G111">
        <f t="shared" si="5"/>
        <v>0.13916081252996115</v>
      </c>
    </row>
    <row r="112" spans="1:7" x14ac:dyDescent="0.25">
      <c r="A112" s="2" t="s">
        <v>10</v>
      </c>
      <c r="B112" s="3">
        <v>41809</v>
      </c>
      <c r="C112" s="4">
        <v>0.59699999999999998</v>
      </c>
      <c r="D112" s="4">
        <v>0.39760000000000001</v>
      </c>
      <c r="E112" s="22">
        <f t="shared" si="3"/>
        <v>0.39460000000000001</v>
      </c>
      <c r="F112">
        <f t="shared" si="4"/>
        <v>6.0418837992148033E-2</v>
      </c>
      <c r="G112">
        <f t="shared" si="5"/>
        <v>0.536581162007852</v>
      </c>
    </row>
    <row r="113" spans="1:7" x14ac:dyDescent="0.25">
      <c r="A113" s="2" t="s">
        <v>10</v>
      </c>
      <c r="B113" s="3">
        <v>41810</v>
      </c>
      <c r="C113" s="4">
        <v>-0.1986</v>
      </c>
      <c r="D113" s="4">
        <v>-1.1976</v>
      </c>
      <c r="E113" s="22">
        <f t="shared" si="3"/>
        <v>-1.2005999999999999</v>
      </c>
      <c r="F113">
        <f t="shared" si="4"/>
        <v>-0.15926959146498532</v>
      </c>
      <c r="G113">
        <f t="shared" si="5"/>
        <v>-3.9330408535014683E-2</v>
      </c>
    </row>
    <row r="114" spans="1:7" x14ac:dyDescent="0.25">
      <c r="A114" s="2" t="s">
        <v>10</v>
      </c>
      <c r="B114" s="3">
        <v>41813</v>
      </c>
      <c r="C114" s="4">
        <v>-0.999</v>
      </c>
      <c r="D114" s="4">
        <v>-1.2121</v>
      </c>
      <c r="E114" s="22">
        <f t="shared" si="3"/>
        <v>-1.2150999999999998</v>
      </c>
      <c r="F114">
        <f t="shared" si="4"/>
        <v>-0.16126650860837072</v>
      </c>
      <c r="G114">
        <f t="shared" si="5"/>
        <v>-0.83773349139162923</v>
      </c>
    </row>
    <row r="115" spans="1:7" x14ac:dyDescent="0.25">
      <c r="A115" s="2" t="s">
        <v>10</v>
      </c>
      <c r="B115" s="3">
        <v>41814</v>
      </c>
      <c r="C115" s="4">
        <v>0.30080000000000001</v>
      </c>
      <c r="D115" s="4">
        <v>0</v>
      </c>
      <c r="E115" s="22">
        <f t="shared" si="3"/>
        <v>-3.0000000000000001E-3</v>
      </c>
      <c r="F115">
        <f t="shared" si="4"/>
        <v>5.6619927362827945E-3</v>
      </c>
      <c r="G115">
        <f t="shared" si="5"/>
        <v>0.29513800726371719</v>
      </c>
    </row>
    <row r="116" spans="1:7" x14ac:dyDescent="0.25">
      <c r="A116" s="2" t="s">
        <v>10</v>
      </c>
      <c r="B116" s="3">
        <v>41815</v>
      </c>
      <c r="C116" s="4">
        <v>3.0558999999999998</v>
      </c>
      <c r="D116" s="4">
        <v>0.40570000000000001</v>
      </c>
      <c r="E116" s="22">
        <f t="shared" si="3"/>
        <v>0.4027</v>
      </c>
      <c r="F116">
        <f t="shared" si="4"/>
        <v>6.1534357223970236E-2</v>
      </c>
      <c r="G116">
        <f t="shared" si="5"/>
        <v>2.9943656427760295</v>
      </c>
    </row>
    <row r="117" spans="1:7" x14ac:dyDescent="0.25">
      <c r="A117" s="2" t="s">
        <v>10</v>
      </c>
      <c r="B117" s="3">
        <v>41816</v>
      </c>
      <c r="C117" s="4">
        <v>-1.1718999999999999</v>
      </c>
      <c r="D117" s="4">
        <v>0.80649999999999999</v>
      </c>
      <c r="E117" s="22">
        <f t="shared" si="3"/>
        <v>0.80349999999999999</v>
      </c>
      <c r="F117">
        <f t="shared" si="4"/>
        <v>0.11673190143561708</v>
      </c>
      <c r="G117">
        <f t="shared" si="5"/>
        <v>-1.2886319014356171</v>
      </c>
    </row>
    <row r="118" spans="1:7" x14ac:dyDescent="0.25">
      <c r="A118" s="2" t="s">
        <v>10</v>
      </c>
      <c r="B118" s="3">
        <v>41817</v>
      </c>
      <c r="C118" s="4">
        <v>-0.59109999999999996</v>
      </c>
      <c r="D118" s="4">
        <v>0.8</v>
      </c>
      <c r="E118" s="22">
        <f t="shared" si="3"/>
        <v>0.79700000000000004</v>
      </c>
      <c r="F118">
        <f t="shared" si="4"/>
        <v>0.11583673168168569</v>
      </c>
      <c r="G118">
        <f t="shared" si="5"/>
        <v>-0.70693673168168569</v>
      </c>
    </row>
    <row r="119" spans="1:7" x14ac:dyDescent="0.25">
      <c r="A119" s="2" t="s">
        <v>10</v>
      </c>
      <c r="B119" s="3">
        <v>41820</v>
      </c>
      <c r="C119" s="4">
        <v>0.59109999999999996</v>
      </c>
      <c r="D119" s="4">
        <v>0.79369999999999996</v>
      </c>
      <c r="E119" s="22">
        <f t="shared" si="3"/>
        <v>0.79069999999999996</v>
      </c>
      <c r="F119">
        <f t="shared" si="4"/>
        <v>0.11496910561249063</v>
      </c>
      <c r="G119">
        <f t="shared" si="5"/>
        <v>0.47613089438750933</v>
      </c>
    </row>
    <row r="120" spans="1:7" x14ac:dyDescent="0.25">
      <c r="A120" s="2" t="s">
        <v>10</v>
      </c>
      <c r="B120" s="3">
        <v>41821</v>
      </c>
      <c r="C120" s="4">
        <v>2.1381000000000001</v>
      </c>
      <c r="D120" s="4">
        <v>1.1788000000000001</v>
      </c>
      <c r="E120" s="22">
        <f t="shared" si="3"/>
        <v>1.1758000000000002</v>
      </c>
      <c r="F120">
        <f t="shared" si="4"/>
        <v>0.16800447057233397</v>
      </c>
      <c r="G120">
        <f t="shared" si="5"/>
        <v>1.9700955294276661</v>
      </c>
    </row>
    <row r="121" spans="1:7" x14ac:dyDescent="0.25">
      <c r="A121" s="2" t="s">
        <v>10</v>
      </c>
      <c r="B121" s="3">
        <v>41822</v>
      </c>
      <c r="C121" s="4">
        <v>-2.4948999999999999</v>
      </c>
      <c r="D121" s="4">
        <v>3.4552</v>
      </c>
      <c r="E121" s="22">
        <f t="shared" si="3"/>
        <v>3.4521999999999999</v>
      </c>
      <c r="F121">
        <f t="shared" si="4"/>
        <v>0.48150669024147785</v>
      </c>
      <c r="G121">
        <f t="shared" si="5"/>
        <v>-2.9764066902414776</v>
      </c>
    </row>
    <row r="122" spans="1:7" x14ac:dyDescent="0.25">
      <c r="A122" s="2" t="s">
        <v>10</v>
      </c>
      <c r="B122" s="3">
        <v>41823</v>
      </c>
      <c r="C122" s="4">
        <v>3.7193999999999998</v>
      </c>
      <c r="D122" s="4">
        <v>1.4982</v>
      </c>
      <c r="E122" s="22">
        <f t="shared" si="3"/>
        <v>1.4952000000000001</v>
      </c>
      <c r="F122">
        <f t="shared" si="4"/>
        <v>0.21199173509628605</v>
      </c>
      <c r="G122">
        <f t="shared" si="5"/>
        <v>3.5074082649037139</v>
      </c>
    </row>
    <row r="123" spans="1:7" x14ac:dyDescent="0.25">
      <c r="A123" s="2" t="s">
        <v>10</v>
      </c>
      <c r="B123" s="3">
        <v>41824</v>
      </c>
      <c r="C123" s="4">
        <v>-1.2244999999999999</v>
      </c>
      <c r="D123" s="4">
        <v>0.37109999999999999</v>
      </c>
      <c r="E123" s="22">
        <f t="shared" si="3"/>
        <v>0.36809999999999998</v>
      </c>
      <c r="F123">
        <f t="shared" si="4"/>
        <v>5.676929976458156E-2</v>
      </c>
      <c r="G123">
        <f t="shared" si="5"/>
        <v>-1.2812692997645816</v>
      </c>
    </row>
    <row r="124" spans="1:7" x14ac:dyDescent="0.25">
      <c r="A124" s="2" t="s">
        <v>10</v>
      </c>
      <c r="B124" s="3">
        <v>41827</v>
      </c>
      <c r="C124" s="4">
        <v>-0.6179</v>
      </c>
      <c r="D124" s="4">
        <v>0.73799999999999999</v>
      </c>
      <c r="E124" s="22">
        <f t="shared" si="3"/>
        <v>0.73499999999999999</v>
      </c>
      <c r="F124">
        <f t="shared" si="4"/>
        <v>0.10729818941341696</v>
      </c>
      <c r="G124">
        <f t="shared" si="5"/>
        <v>-0.72519818941341696</v>
      </c>
    </row>
    <row r="125" spans="1:7" x14ac:dyDescent="0.25">
      <c r="A125" s="2" t="s">
        <v>10</v>
      </c>
      <c r="B125" s="3">
        <v>41828</v>
      </c>
      <c r="C125" s="4">
        <v>3.1522999999999999</v>
      </c>
      <c r="D125" s="4">
        <v>-1.1091</v>
      </c>
      <c r="E125" s="22">
        <f t="shared" si="3"/>
        <v>-1.1120999999999999</v>
      </c>
      <c r="F125">
        <f t="shared" si="4"/>
        <v>-0.14708151096915012</v>
      </c>
      <c r="G125">
        <f t="shared" si="5"/>
        <v>3.29938151096915</v>
      </c>
    </row>
    <row r="126" spans="1:7" x14ac:dyDescent="0.25">
      <c r="A126" s="2" t="s">
        <v>10</v>
      </c>
      <c r="B126" s="3">
        <v>41829</v>
      </c>
      <c r="C126" s="4">
        <v>1.2928999999999999</v>
      </c>
      <c r="D126" s="4">
        <v>-0.37240000000000001</v>
      </c>
      <c r="E126" s="22">
        <f t="shared" si="3"/>
        <v>-0.37540000000000001</v>
      </c>
      <c r="F126">
        <f t="shared" si="4"/>
        <v>-4.5624348242802246E-2</v>
      </c>
      <c r="G126">
        <f t="shared" si="5"/>
        <v>1.3385243482428022</v>
      </c>
    </row>
    <row r="127" spans="1:7" x14ac:dyDescent="0.25">
      <c r="A127" s="2" t="s">
        <v>10</v>
      </c>
      <c r="B127" s="3">
        <v>41830</v>
      </c>
      <c r="C127" s="4">
        <v>0.39450000000000002</v>
      </c>
      <c r="D127" s="4">
        <v>0.37240000000000001</v>
      </c>
      <c r="E127" s="22">
        <f t="shared" si="3"/>
        <v>0.36940000000000001</v>
      </c>
      <c r="F127">
        <f t="shared" si="4"/>
        <v>5.6948333715367838E-2</v>
      </c>
      <c r="G127">
        <f t="shared" si="5"/>
        <v>0.33755166628463218</v>
      </c>
    </row>
    <row r="128" spans="1:7" x14ac:dyDescent="0.25">
      <c r="A128" s="2" t="s">
        <v>10</v>
      </c>
      <c r="B128" s="3">
        <v>41831</v>
      </c>
      <c r="C128" s="4">
        <v>-2.3906000000000001</v>
      </c>
      <c r="D128" s="4">
        <v>1.476</v>
      </c>
      <c r="E128" s="22">
        <f t="shared" si="3"/>
        <v>1.4730000000000001</v>
      </c>
      <c r="F128">
        <f t="shared" si="4"/>
        <v>0.20893438609055112</v>
      </c>
      <c r="G128">
        <f t="shared" si="5"/>
        <v>-2.5995343860905513</v>
      </c>
    </row>
    <row r="129" spans="1:7" x14ac:dyDescent="0.25">
      <c r="A129" s="2" t="s">
        <v>10</v>
      </c>
      <c r="B129" s="3">
        <v>41834</v>
      </c>
      <c r="C129" s="4">
        <v>2.7835000000000001</v>
      </c>
      <c r="D129" s="4">
        <v>-0.73540000000000005</v>
      </c>
      <c r="E129" s="22">
        <f t="shared" si="3"/>
        <v>-0.73840000000000006</v>
      </c>
      <c r="F129">
        <f t="shared" si="4"/>
        <v>-9.5616136039278807E-2</v>
      </c>
      <c r="G129">
        <f t="shared" si="5"/>
        <v>2.8791161360392787</v>
      </c>
    </row>
    <row r="130" spans="1:7" x14ac:dyDescent="0.25">
      <c r="A130" s="2" t="s">
        <v>10</v>
      </c>
      <c r="B130" s="3">
        <v>41835</v>
      </c>
      <c r="C130" s="4">
        <v>0</v>
      </c>
      <c r="D130" s="4">
        <v>0.37659999999999999</v>
      </c>
      <c r="E130" s="22">
        <f t="shared" si="3"/>
        <v>0.37359999999999999</v>
      </c>
      <c r="F130">
        <f t="shared" si="4"/>
        <v>5.7526751094831199E-2</v>
      </c>
      <c r="G130">
        <f t="shared" si="5"/>
        <v>-5.7526751094831199E-2</v>
      </c>
    </row>
    <row r="131" spans="1:7" x14ac:dyDescent="0.25">
      <c r="A131" s="2" t="s">
        <v>10</v>
      </c>
      <c r="B131" s="3">
        <v>41836</v>
      </c>
      <c r="C131" s="4">
        <v>-1.1834</v>
      </c>
      <c r="D131" s="4">
        <v>-1.8976</v>
      </c>
      <c r="E131" s="22">
        <f t="shared" ref="E131:E194" si="6">D131-$L$1</f>
        <v>-1.9005999999999998</v>
      </c>
      <c r="F131">
        <f t="shared" ref="F131:F194" si="7">L$2+L$3*E131</f>
        <v>-0.25567248804221282</v>
      </c>
      <c r="G131">
        <f t="shared" ref="G131:G194" si="8">C131-F131</f>
        <v>-0.92772751195778724</v>
      </c>
    </row>
    <row r="132" spans="1:7" x14ac:dyDescent="0.25">
      <c r="A132" s="2" t="s">
        <v>10</v>
      </c>
      <c r="B132" s="3">
        <v>41837</v>
      </c>
      <c r="C132" s="4">
        <v>0.19819999999999999</v>
      </c>
      <c r="D132" s="4">
        <v>-4.7068000000000003</v>
      </c>
      <c r="E132" s="22">
        <f t="shared" si="6"/>
        <v>-4.7098000000000004</v>
      </c>
      <c r="F132">
        <f t="shared" si="7"/>
        <v>-0.64255108384899517</v>
      </c>
      <c r="G132">
        <f t="shared" si="8"/>
        <v>0.84075108384899511</v>
      </c>
    </row>
    <row r="133" spans="1:7" x14ac:dyDescent="0.25">
      <c r="A133" s="2" t="s">
        <v>10</v>
      </c>
      <c r="B133" s="3">
        <v>41838</v>
      </c>
      <c r="C133" s="4">
        <v>-0.995</v>
      </c>
      <c r="D133" s="4">
        <v>-0.80649999999999999</v>
      </c>
      <c r="E133" s="22">
        <f t="shared" si="6"/>
        <v>-0.8095</v>
      </c>
      <c r="F133">
        <f t="shared" si="7"/>
        <v>-0.10540791596305149</v>
      </c>
      <c r="G133">
        <f t="shared" si="8"/>
        <v>-0.88959208403694845</v>
      </c>
    </row>
    <row r="134" spans="1:7" x14ac:dyDescent="0.25">
      <c r="A134" s="2" t="s">
        <v>10</v>
      </c>
      <c r="B134" s="3">
        <v>41841</v>
      </c>
      <c r="C134" s="4">
        <v>-0.40079999999999999</v>
      </c>
      <c r="D134" s="4">
        <v>0</v>
      </c>
      <c r="E134" s="22">
        <f t="shared" si="6"/>
        <v>-3.0000000000000001E-3</v>
      </c>
      <c r="F134">
        <f t="shared" si="7"/>
        <v>5.6619927362827945E-3</v>
      </c>
      <c r="G134">
        <f t="shared" si="8"/>
        <v>-0.40646199273628281</v>
      </c>
    </row>
    <row r="135" spans="1:7" x14ac:dyDescent="0.25">
      <c r="A135" s="2" t="s">
        <v>10</v>
      </c>
      <c r="B135" s="3">
        <v>41842</v>
      </c>
      <c r="C135" s="4">
        <v>3.3567</v>
      </c>
      <c r="D135" s="4">
        <v>0.80649999999999999</v>
      </c>
      <c r="E135" s="22">
        <f t="shared" si="6"/>
        <v>0.80349999999999999</v>
      </c>
      <c r="F135">
        <f t="shared" si="7"/>
        <v>0.11673190143561708</v>
      </c>
      <c r="G135">
        <f t="shared" si="8"/>
        <v>3.2399680985643831</v>
      </c>
    </row>
    <row r="136" spans="1:7" x14ac:dyDescent="0.25">
      <c r="A136" s="2" t="s">
        <v>10</v>
      </c>
      <c r="B136" s="3">
        <v>41844</v>
      </c>
      <c r="C136" s="4">
        <v>-0.19439999999999999</v>
      </c>
      <c r="D136" s="4">
        <v>0.40079999999999999</v>
      </c>
      <c r="E136" s="22">
        <f t="shared" si="6"/>
        <v>0.39779999999999999</v>
      </c>
      <c r="F136">
        <f t="shared" si="7"/>
        <v>6.0859536947929636E-2</v>
      </c>
      <c r="G136">
        <f t="shared" si="8"/>
        <v>-0.25525953694792963</v>
      </c>
    </row>
    <row r="137" spans="1:7" x14ac:dyDescent="0.25">
      <c r="A137" s="2" t="s">
        <v>10</v>
      </c>
      <c r="B137" s="3">
        <v>41845</v>
      </c>
      <c r="C137" s="4">
        <v>-0.78129999999999999</v>
      </c>
      <c r="D137" s="4">
        <v>-1.6129</v>
      </c>
      <c r="E137" s="22">
        <f t="shared" si="6"/>
        <v>-1.6158999999999999</v>
      </c>
      <c r="F137">
        <f t="shared" si="7"/>
        <v>-0.21646405282001757</v>
      </c>
      <c r="G137">
        <f t="shared" si="8"/>
        <v>-0.56483594717998242</v>
      </c>
    </row>
    <row r="138" spans="1:7" x14ac:dyDescent="0.25">
      <c r="A138" s="2" t="s">
        <v>10</v>
      </c>
      <c r="B138" s="3">
        <v>41848</v>
      </c>
      <c r="C138" s="4">
        <v>-2.4815</v>
      </c>
      <c r="D138" s="4">
        <v>-1.2270000000000001</v>
      </c>
      <c r="E138" s="22">
        <f t="shared" si="6"/>
        <v>-1.23</v>
      </c>
      <c r="F138">
        <f t="shared" si="7"/>
        <v>-0.16331851312122889</v>
      </c>
      <c r="G138">
        <f t="shared" si="8"/>
        <v>-2.3181814868787711</v>
      </c>
    </row>
    <row r="139" spans="1:7" x14ac:dyDescent="0.25">
      <c r="A139" s="2" t="s">
        <v>10</v>
      </c>
      <c r="B139" s="3">
        <v>41849</v>
      </c>
      <c r="C139" s="4">
        <v>-0.40279999999999999</v>
      </c>
      <c r="D139" s="4">
        <v>2.0367000000000002</v>
      </c>
      <c r="E139" s="22">
        <f t="shared" si="6"/>
        <v>2.0337000000000001</v>
      </c>
      <c r="F139">
        <f t="shared" si="7"/>
        <v>0.28615310624891038</v>
      </c>
      <c r="G139">
        <f t="shared" si="8"/>
        <v>-0.68895310624891037</v>
      </c>
    </row>
    <row r="140" spans="1:7" x14ac:dyDescent="0.25">
      <c r="A140" s="2" t="s">
        <v>10</v>
      </c>
      <c r="B140" s="3">
        <v>41850</v>
      </c>
      <c r="C140" s="4">
        <v>0.80400000000000005</v>
      </c>
      <c r="D140" s="4">
        <v>0.40239999999999998</v>
      </c>
      <c r="E140" s="22">
        <f t="shared" si="6"/>
        <v>0.39939999999999998</v>
      </c>
      <c r="F140">
        <f t="shared" si="7"/>
        <v>6.1079886425820441E-2</v>
      </c>
      <c r="G140">
        <f t="shared" si="8"/>
        <v>0.74292011357417964</v>
      </c>
    </row>
    <row r="141" spans="1:7" x14ac:dyDescent="0.25">
      <c r="A141" s="2" t="s">
        <v>10</v>
      </c>
      <c r="B141" s="3">
        <v>41851</v>
      </c>
      <c r="C141" s="4">
        <v>1.0951</v>
      </c>
      <c r="D141" s="4">
        <v>-2.8515000000000001</v>
      </c>
      <c r="E141" s="22">
        <f t="shared" si="6"/>
        <v>-2.8545000000000003</v>
      </c>
      <c r="F141">
        <f t="shared" si="7"/>
        <v>-0.38704209239223764</v>
      </c>
      <c r="G141">
        <f t="shared" si="8"/>
        <v>1.4821420923922375</v>
      </c>
    </row>
    <row r="142" spans="1:7" x14ac:dyDescent="0.25">
      <c r="A142" s="2" t="s">
        <v>10</v>
      </c>
      <c r="B142" s="3">
        <v>41852</v>
      </c>
      <c r="C142" s="4">
        <v>0</v>
      </c>
      <c r="D142" s="4">
        <v>-0.82989999999999997</v>
      </c>
      <c r="E142" s="22">
        <f t="shared" si="6"/>
        <v>-0.83289999999999997</v>
      </c>
      <c r="F142">
        <f t="shared" si="7"/>
        <v>-0.10863052707720451</v>
      </c>
      <c r="G142">
        <f t="shared" si="8"/>
        <v>0.10863052707720451</v>
      </c>
    </row>
    <row r="143" spans="1:7" x14ac:dyDescent="0.25">
      <c r="A143" s="2" t="s">
        <v>10</v>
      </c>
      <c r="B143" s="3">
        <v>41855</v>
      </c>
      <c r="C143" s="4">
        <v>6.7011000000000003</v>
      </c>
      <c r="D143" s="4">
        <v>2.8748999999999998</v>
      </c>
      <c r="E143" s="22">
        <f t="shared" si="6"/>
        <v>2.8718999999999997</v>
      </c>
      <c r="F143">
        <f t="shared" si="7"/>
        <v>0.40158868897895617</v>
      </c>
      <c r="G143">
        <f t="shared" si="8"/>
        <v>6.2995113110210443</v>
      </c>
    </row>
    <row r="144" spans="1:7" x14ac:dyDescent="0.25">
      <c r="A144" s="2" t="s">
        <v>10</v>
      </c>
      <c r="B144" s="3">
        <v>41856</v>
      </c>
      <c r="C144" s="4">
        <v>3.4580000000000002</v>
      </c>
      <c r="D144" s="4">
        <v>-3.2925</v>
      </c>
      <c r="E144" s="22">
        <f t="shared" si="6"/>
        <v>-3.2955000000000001</v>
      </c>
      <c r="F144">
        <f t="shared" si="7"/>
        <v>-0.44777591723589094</v>
      </c>
      <c r="G144">
        <f t="shared" si="8"/>
        <v>3.905775917235891</v>
      </c>
    </row>
    <row r="145" spans="1:7" x14ac:dyDescent="0.25">
      <c r="A145" s="2" t="s">
        <v>10</v>
      </c>
      <c r="B145" s="3">
        <v>41857</v>
      </c>
      <c r="C145" s="4">
        <v>-2.5364</v>
      </c>
      <c r="D145" s="4">
        <v>0.83330000000000004</v>
      </c>
      <c r="E145" s="22">
        <f t="shared" si="6"/>
        <v>0.83030000000000004</v>
      </c>
      <c r="F145">
        <f t="shared" si="7"/>
        <v>0.12042275519028808</v>
      </c>
      <c r="G145">
        <f t="shared" si="8"/>
        <v>-2.6568227551902881</v>
      </c>
    </row>
    <row r="146" spans="1:7" x14ac:dyDescent="0.25">
      <c r="A146" s="2" t="s">
        <v>10</v>
      </c>
      <c r="B146" s="3">
        <v>41858</v>
      </c>
      <c r="C146" s="4">
        <v>-3.7387999999999999</v>
      </c>
      <c r="D146" s="4">
        <v>0.82650000000000001</v>
      </c>
      <c r="E146" s="22">
        <f t="shared" si="6"/>
        <v>0.82350000000000001</v>
      </c>
      <c r="F146">
        <f t="shared" si="7"/>
        <v>0.11948626990925215</v>
      </c>
      <c r="G146">
        <f t="shared" si="8"/>
        <v>-3.8582862699092519</v>
      </c>
    </row>
    <row r="147" spans="1:7" x14ac:dyDescent="0.25">
      <c r="A147" s="2" t="s">
        <v>10</v>
      </c>
      <c r="B147" s="3">
        <v>41859</v>
      </c>
      <c r="C147" s="4">
        <v>-5.8841000000000001</v>
      </c>
      <c r="D147" s="4">
        <v>-0.82650000000000001</v>
      </c>
      <c r="E147" s="22">
        <f t="shared" si="6"/>
        <v>-0.82950000000000002</v>
      </c>
      <c r="F147">
        <f t="shared" si="7"/>
        <v>-0.10816228443668656</v>
      </c>
      <c r="G147">
        <f t="shared" si="8"/>
        <v>-5.7759377155633134</v>
      </c>
    </row>
    <row r="148" spans="1:7" x14ac:dyDescent="0.25">
      <c r="A148" s="2" t="s">
        <v>10</v>
      </c>
      <c r="B148" s="3">
        <v>41862</v>
      </c>
      <c r="C148" s="4">
        <v>3.7665999999999999</v>
      </c>
      <c r="D148" s="4">
        <v>0</v>
      </c>
      <c r="E148" s="22">
        <f t="shared" si="6"/>
        <v>-3.0000000000000001E-3</v>
      </c>
      <c r="F148">
        <f t="shared" si="7"/>
        <v>5.6619927362827945E-3</v>
      </c>
      <c r="G148">
        <f t="shared" si="8"/>
        <v>3.7609380072637171</v>
      </c>
    </row>
    <row r="149" spans="1:7" x14ac:dyDescent="0.25">
      <c r="A149" s="2" t="s">
        <v>10</v>
      </c>
      <c r="B149" s="3">
        <v>41863</v>
      </c>
      <c r="C149" s="4">
        <v>-2.5617000000000001</v>
      </c>
      <c r="D149" s="4">
        <v>0.82650000000000001</v>
      </c>
      <c r="E149" s="22">
        <f t="shared" si="6"/>
        <v>0.82350000000000001</v>
      </c>
      <c r="F149">
        <f t="shared" si="7"/>
        <v>0.11948626990925215</v>
      </c>
      <c r="G149">
        <f t="shared" si="8"/>
        <v>-2.6811862699092521</v>
      </c>
    </row>
    <row r="150" spans="1:7" x14ac:dyDescent="0.25">
      <c r="A150" s="2" t="s">
        <v>10</v>
      </c>
      <c r="B150" s="3">
        <v>41864</v>
      </c>
      <c r="C150" s="4">
        <v>1.7805</v>
      </c>
      <c r="D150" s="4">
        <v>0.81969999999999998</v>
      </c>
      <c r="E150" s="22">
        <f t="shared" si="6"/>
        <v>0.81669999999999998</v>
      </c>
      <c r="F150">
        <f t="shared" si="7"/>
        <v>0.11854978462821622</v>
      </c>
      <c r="G150">
        <f t="shared" si="8"/>
        <v>1.6619502153717838</v>
      </c>
    </row>
    <row r="151" spans="1:7" x14ac:dyDescent="0.25">
      <c r="A151" s="2" t="s">
        <v>10</v>
      </c>
      <c r="B151" s="3">
        <v>41865</v>
      </c>
      <c r="C151" s="4">
        <v>-0.98519999999999996</v>
      </c>
      <c r="D151" s="4">
        <v>1.2171000000000001</v>
      </c>
      <c r="E151" s="22">
        <f t="shared" si="6"/>
        <v>1.2141000000000002</v>
      </c>
      <c r="F151">
        <f t="shared" si="7"/>
        <v>0.17327908619934512</v>
      </c>
      <c r="G151">
        <f t="shared" si="8"/>
        <v>-1.158479086199345</v>
      </c>
    </row>
    <row r="152" spans="1:7" x14ac:dyDescent="0.25">
      <c r="A152" s="2" t="s">
        <v>10</v>
      </c>
      <c r="B152" s="3">
        <v>41866</v>
      </c>
      <c r="C152" s="4">
        <v>-0.39679999999999999</v>
      </c>
      <c r="D152" s="4">
        <v>0</v>
      </c>
      <c r="E152" s="22">
        <f t="shared" si="6"/>
        <v>-3.0000000000000001E-3</v>
      </c>
      <c r="F152">
        <f t="shared" si="7"/>
        <v>5.6619927362827945E-3</v>
      </c>
      <c r="G152">
        <f t="shared" si="8"/>
        <v>-0.4024619927362828</v>
      </c>
    </row>
    <row r="153" spans="1:7" x14ac:dyDescent="0.25">
      <c r="A153" s="2" t="s">
        <v>10</v>
      </c>
      <c r="B153" s="3">
        <v>41869</v>
      </c>
      <c r="C153" s="4">
        <v>-1.3007</v>
      </c>
      <c r="D153" s="4">
        <v>-0.80969999999999998</v>
      </c>
      <c r="E153" s="22">
        <f t="shared" si="6"/>
        <v>-0.81269999999999998</v>
      </c>
      <c r="F153">
        <f t="shared" si="7"/>
        <v>-0.1058486149188331</v>
      </c>
      <c r="G153">
        <f t="shared" si="8"/>
        <v>-1.1948513850811668</v>
      </c>
    </row>
    <row r="154" spans="1:7" x14ac:dyDescent="0.25">
      <c r="A154" s="2" t="s">
        <v>10</v>
      </c>
      <c r="B154" s="3">
        <v>41870</v>
      </c>
      <c r="C154" s="4">
        <v>0.70250000000000001</v>
      </c>
      <c r="D154" s="4">
        <v>0.80969999999999998</v>
      </c>
      <c r="E154" s="22">
        <f t="shared" si="6"/>
        <v>0.80669999999999997</v>
      </c>
      <c r="F154">
        <f t="shared" si="7"/>
        <v>0.11717260039139869</v>
      </c>
      <c r="G154">
        <f t="shared" si="8"/>
        <v>0.58532739960860136</v>
      </c>
    </row>
    <row r="155" spans="1:7" x14ac:dyDescent="0.25">
      <c r="A155" s="2" t="s">
        <v>10</v>
      </c>
      <c r="B155" s="3">
        <v>41871</v>
      </c>
      <c r="C155" s="4">
        <v>-0.20019999999999999</v>
      </c>
      <c r="D155" s="4">
        <v>1.2023999999999999</v>
      </c>
      <c r="E155" s="22">
        <f t="shared" si="6"/>
        <v>1.1994</v>
      </c>
      <c r="F155">
        <f t="shared" si="7"/>
        <v>0.17125462537122332</v>
      </c>
      <c r="G155">
        <f t="shared" si="8"/>
        <v>-0.37145462537122331</v>
      </c>
    </row>
    <row r="156" spans="1:7" x14ac:dyDescent="0.25">
      <c r="A156" s="2" t="s">
        <v>10</v>
      </c>
      <c r="B156" s="3">
        <v>41872</v>
      </c>
      <c r="C156" s="4">
        <v>2.3763000000000001</v>
      </c>
      <c r="D156" s="4">
        <v>-0.8</v>
      </c>
      <c r="E156" s="22">
        <f t="shared" si="6"/>
        <v>-0.80300000000000005</v>
      </c>
      <c r="F156">
        <f t="shared" si="7"/>
        <v>-0.1045127462091201</v>
      </c>
      <c r="G156">
        <f t="shared" si="8"/>
        <v>2.4808127462091201</v>
      </c>
    </row>
    <row r="157" spans="1:7" x14ac:dyDescent="0.25">
      <c r="A157" s="2" t="s">
        <v>10</v>
      </c>
      <c r="B157" s="3">
        <v>41873</v>
      </c>
      <c r="C157" s="4">
        <v>-0.58879999999999999</v>
      </c>
      <c r="D157" s="4">
        <v>0.8</v>
      </c>
      <c r="E157" s="22">
        <f t="shared" si="6"/>
        <v>0.79700000000000004</v>
      </c>
      <c r="F157">
        <f t="shared" si="7"/>
        <v>0.11583673168168569</v>
      </c>
      <c r="G157">
        <f t="shared" si="8"/>
        <v>-0.70463673168168572</v>
      </c>
    </row>
    <row r="158" spans="1:7" x14ac:dyDescent="0.25">
      <c r="A158" s="2" t="s">
        <v>10</v>
      </c>
      <c r="B158" s="3">
        <v>41876</v>
      </c>
      <c r="C158" s="4">
        <v>0.58879999999999999</v>
      </c>
      <c r="D158" s="4">
        <v>-0.3992</v>
      </c>
      <c r="E158" s="22">
        <f t="shared" si="6"/>
        <v>-0.4022</v>
      </c>
      <c r="F158">
        <f t="shared" si="7"/>
        <v>-4.9315201997473246E-2</v>
      </c>
      <c r="G158">
        <f t="shared" si="8"/>
        <v>0.63811520199747318</v>
      </c>
    </row>
    <row r="159" spans="1:7" x14ac:dyDescent="0.25">
      <c r="A159" s="2" t="s">
        <v>10</v>
      </c>
      <c r="B159" s="3">
        <v>41877</v>
      </c>
      <c r="C159" s="4">
        <v>-0.78590000000000004</v>
      </c>
      <c r="D159" s="4">
        <v>-0.40079999999999999</v>
      </c>
      <c r="E159" s="22">
        <f t="shared" si="6"/>
        <v>-0.40379999999999999</v>
      </c>
      <c r="F159">
        <f t="shared" si="7"/>
        <v>-4.9535551475364044E-2</v>
      </c>
      <c r="G159">
        <f t="shared" si="8"/>
        <v>-0.73636444852463601</v>
      </c>
    </row>
    <row r="160" spans="1:7" x14ac:dyDescent="0.25">
      <c r="A160" s="2" t="s">
        <v>10</v>
      </c>
      <c r="B160" s="3">
        <v>41878</v>
      </c>
      <c r="C160" s="4">
        <v>4.0585000000000004</v>
      </c>
      <c r="D160" s="4">
        <v>0.8</v>
      </c>
      <c r="E160" s="22">
        <f t="shared" si="6"/>
        <v>0.79700000000000004</v>
      </c>
      <c r="F160">
        <f t="shared" si="7"/>
        <v>0.11583673168168569</v>
      </c>
      <c r="G160">
        <f t="shared" si="8"/>
        <v>3.9426632683183147</v>
      </c>
    </row>
    <row r="161" spans="1:7" x14ac:dyDescent="0.25">
      <c r="A161" s="2" t="s">
        <v>10</v>
      </c>
      <c r="B161" s="3">
        <v>41879</v>
      </c>
      <c r="C161" s="4">
        <v>-1.1429</v>
      </c>
      <c r="D161" s="4">
        <v>-0.3992</v>
      </c>
      <c r="E161" s="22">
        <f t="shared" si="6"/>
        <v>-0.4022</v>
      </c>
      <c r="F161">
        <f t="shared" si="7"/>
        <v>-4.9315201997473246E-2</v>
      </c>
      <c r="G161">
        <f t="shared" si="8"/>
        <v>-1.0935847980025268</v>
      </c>
    </row>
    <row r="162" spans="1:7" x14ac:dyDescent="0.25">
      <c r="A162" s="2" t="s">
        <v>10</v>
      </c>
      <c r="B162" s="3">
        <v>41880</v>
      </c>
      <c r="C162" s="4">
        <v>0.95330000000000004</v>
      </c>
      <c r="D162" s="4">
        <v>-0.80320000000000003</v>
      </c>
      <c r="E162" s="22">
        <f t="shared" si="6"/>
        <v>-0.80620000000000003</v>
      </c>
      <c r="F162">
        <f t="shared" si="7"/>
        <v>-0.1049534451649017</v>
      </c>
      <c r="G162">
        <f t="shared" si="8"/>
        <v>1.0582534451649017</v>
      </c>
    </row>
    <row r="163" spans="1:7" x14ac:dyDescent="0.25">
      <c r="A163" s="2" t="s">
        <v>10</v>
      </c>
      <c r="B163" s="3">
        <v>41883</v>
      </c>
      <c r="C163" s="4">
        <v>1.1321000000000001</v>
      </c>
      <c r="D163" s="4">
        <v>3.5647000000000002</v>
      </c>
      <c r="E163" s="22">
        <f t="shared" si="6"/>
        <v>3.5617000000000001</v>
      </c>
      <c r="F163">
        <f t="shared" si="7"/>
        <v>0.4965868576346299</v>
      </c>
      <c r="G163">
        <f t="shared" si="8"/>
        <v>0.63551314236537015</v>
      </c>
    </row>
    <row r="164" spans="1:7" x14ac:dyDescent="0.25">
      <c r="A164" s="2" t="s">
        <v>10</v>
      </c>
      <c r="B164" s="3">
        <v>41884</v>
      </c>
      <c r="C164" s="4">
        <v>-1.5123</v>
      </c>
      <c r="D164" s="4">
        <v>-1.9646999999999999</v>
      </c>
      <c r="E164" s="22">
        <f t="shared" si="6"/>
        <v>-1.9676999999999998</v>
      </c>
      <c r="F164">
        <f t="shared" si="7"/>
        <v>-0.26491339427125848</v>
      </c>
      <c r="G164">
        <f t="shared" si="8"/>
        <v>-1.2473866057287415</v>
      </c>
    </row>
    <row r="165" spans="1:7" x14ac:dyDescent="0.25">
      <c r="A165" s="2" t="s">
        <v>10</v>
      </c>
      <c r="B165" s="3">
        <v>41885</v>
      </c>
      <c r="C165" s="4">
        <v>4.6520000000000001</v>
      </c>
      <c r="D165" s="4">
        <v>1.5748</v>
      </c>
      <c r="E165" s="22">
        <f t="shared" si="6"/>
        <v>1.5718000000000001</v>
      </c>
      <c r="F165">
        <f t="shared" si="7"/>
        <v>0.22254096635030837</v>
      </c>
      <c r="G165">
        <f t="shared" si="8"/>
        <v>4.4294590336496915</v>
      </c>
    </row>
    <row r="166" spans="1:7" x14ac:dyDescent="0.25">
      <c r="A166" s="2" t="s">
        <v>10</v>
      </c>
      <c r="B166" s="3">
        <v>41886</v>
      </c>
      <c r="C166" s="4">
        <v>-4.2717999999999998</v>
      </c>
      <c r="D166" s="4">
        <v>-0.39140000000000003</v>
      </c>
      <c r="E166" s="22">
        <f t="shared" si="6"/>
        <v>-0.39440000000000003</v>
      </c>
      <c r="F166">
        <f t="shared" si="7"/>
        <v>-4.824099829275557E-2</v>
      </c>
      <c r="G166">
        <f t="shared" si="8"/>
        <v>-4.223559001707244</v>
      </c>
    </row>
    <row r="167" spans="1:7" x14ac:dyDescent="0.25">
      <c r="A167" s="2" t="s">
        <v>10</v>
      </c>
      <c r="B167" s="3">
        <v>41887</v>
      </c>
      <c r="C167" s="4">
        <v>0.94430000000000003</v>
      </c>
      <c r="D167" s="4">
        <v>-0.39290000000000003</v>
      </c>
      <c r="E167" s="22">
        <f t="shared" si="6"/>
        <v>-0.39590000000000003</v>
      </c>
      <c r="F167">
        <f t="shared" si="7"/>
        <v>-4.8447575928278197E-2</v>
      </c>
      <c r="G167">
        <f t="shared" si="8"/>
        <v>0.99274757592827823</v>
      </c>
    </row>
    <row r="168" spans="1:7" x14ac:dyDescent="0.25">
      <c r="A168" s="2" t="s">
        <v>10</v>
      </c>
      <c r="B168" s="3">
        <v>41891</v>
      </c>
      <c r="C168" s="4">
        <v>0.56230000000000002</v>
      </c>
      <c r="D168" s="4">
        <v>0</v>
      </c>
      <c r="E168" s="22">
        <f t="shared" si="6"/>
        <v>-3.0000000000000001E-3</v>
      </c>
      <c r="F168">
        <f t="shared" si="7"/>
        <v>5.6619927362827945E-3</v>
      </c>
      <c r="G168">
        <f t="shared" si="8"/>
        <v>0.55663800726371726</v>
      </c>
    </row>
    <row r="169" spans="1:7" x14ac:dyDescent="0.25">
      <c r="A169" s="2" t="s">
        <v>10</v>
      </c>
      <c r="B169" s="3">
        <v>41892</v>
      </c>
      <c r="C169" s="4">
        <v>0.93020000000000003</v>
      </c>
      <c r="D169" s="4">
        <v>-1.5872999999999999</v>
      </c>
      <c r="E169" s="22">
        <f t="shared" si="6"/>
        <v>-1.5902999999999998</v>
      </c>
      <c r="F169">
        <f t="shared" si="7"/>
        <v>-0.21293846117376466</v>
      </c>
      <c r="G169">
        <f t="shared" si="8"/>
        <v>1.1431384611737647</v>
      </c>
    </row>
    <row r="170" spans="1:7" x14ac:dyDescent="0.25">
      <c r="A170" s="2" t="s">
        <v>10</v>
      </c>
      <c r="B170" s="3">
        <v>41893</v>
      </c>
      <c r="C170" s="4">
        <v>-1.4925999999999999</v>
      </c>
      <c r="D170" s="4">
        <v>0</v>
      </c>
      <c r="E170" s="22">
        <f t="shared" si="6"/>
        <v>-3.0000000000000001E-3</v>
      </c>
      <c r="F170">
        <f t="shared" si="7"/>
        <v>5.6619927362827945E-3</v>
      </c>
      <c r="G170">
        <f t="shared" si="8"/>
        <v>-1.4982619927362828</v>
      </c>
    </row>
    <row r="171" spans="1:7" x14ac:dyDescent="0.25">
      <c r="A171" s="2" t="s">
        <v>10</v>
      </c>
      <c r="B171" s="3">
        <v>41894</v>
      </c>
      <c r="C171" s="4">
        <v>-2.0893000000000002</v>
      </c>
      <c r="D171" s="4">
        <v>-1.6129</v>
      </c>
      <c r="E171" s="22">
        <f t="shared" si="6"/>
        <v>-1.6158999999999999</v>
      </c>
      <c r="F171">
        <f t="shared" si="7"/>
        <v>-0.21646405282001757</v>
      </c>
      <c r="G171">
        <f t="shared" si="8"/>
        <v>-1.8728359471799827</v>
      </c>
    </row>
    <row r="172" spans="1:7" x14ac:dyDescent="0.25">
      <c r="A172" s="2" t="s">
        <v>10</v>
      </c>
      <c r="B172" s="3">
        <v>41897</v>
      </c>
      <c r="C172" s="4">
        <v>0.1918</v>
      </c>
      <c r="D172" s="4">
        <v>0.40570000000000001</v>
      </c>
      <c r="E172" s="22">
        <f t="shared" si="6"/>
        <v>0.4027</v>
      </c>
      <c r="F172">
        <f t="shared" si="7"/>
        <v>6.1534357223970236E-2</v>
      </c>
      <c r="G172">
        <f t="shared" si="8"/>
        <v>0.13026564277602976</v>
      </c>
    </row>
    <row r="173" spans="1:7" x14ac:dyDescent="0.25">
      <c r="A173" s="2" t="s">
        <v>10</v>
      </c>
      <c r="B173" s="3">
        <v>41898</v>
      </c>
      <c r="C173" s="4">
        <v>-1.3501000000000001</v>
      </c>
      <c r="D173" s="4">
        <v>-0.81299999999999994</v>
      </c>
      <c r="E173" s="22">
        <f t="shared" si="6"/>
        <v>-0.81599999999999995</v>
      </c>
      <c r="F173">
        <f t="shared" si="7"/>
        <v>-0.10630308571698288</v>
      </c>
      <c r="G173">
        <f t="shared" si="8"/>
        <v>-1.2437969142830172</v>
      </c>
    </row>
    <row r="174" spans="1:7" x14ac:dyDescent="0.25">
      <c r="A174" s="2" t="s">
        <v>10</v>
      </c>
      <c r="B174" s="3">
        <v>41899</v>
      </c>
      <c r="C174" s="4">
        <v>1.7324999999999999</v>
      </c>
      <c r="D174" s="4">
        <v>1.6194999999999999</v>
      </c>
      <c r="E174" s="22">
        <f t="shared" si="6"/>
        <v>1.6165</v>
      </c>
      <c r="F174">
        <f t="shared" si="7"/>
        <v>0.22869697988888277</v>
      </c>
      <c r="G174">
        <f t="shared" si="8"/>
        <v>1.5038030201111172</v>
      </c>
    </row>
    <row r="175" spans="1:7" x14ac:dyDescent="0.25">
      <c r="A175" s="2" t="s">
        <v>10</v>
      </c>
      <c r="B175" s="3">
        <v>41900</v>
      </c>
      <c r="C175" s="4">
        <v>3.1928000000000001</v>
      </c>
      <c r="D175" s="4">
        <v>0.40079999999999999</v>
      </c>
      <c r="E175" s="22">
        <f t="shared" si="6"/>
        <v>0.39779999999999999</v>
      </c>
      <c r="F175">
        <f t="shared" si="7"/>
        <v>6.0859536947929636E-2</v>
      </c>
      <c r="G175">
        <f t="shared" si="8"/>
        <v>3.1319404630520706</v>
      </c>
    </row>
    <row r="176" spans="1:7" x14ac:dyDescent="0.25">
      <c r="A176" s="2" t="s">
        <v>10</v>
      </c>
      <c r="B176" s="3">
        <v>41901</v>
      </c>
      <c r="C176" s="4">
        <v>-1.3023</v>
      </c>
      <c r="D176" s="4">
        <v>0</v>
      </c>
      <c r="E176" s="22">
        <f t="shared" si="6"/>
        <v>-3.0000000000000001E-3</v>
      </c>
      <c r="F176">
        <f t="shared" si="7"/>
        <v>5.6619927362827945E-3</v>
      </c>
      <c r="G176">
        <f t="shared" si="8"/>
        <v>-1.3079619927362829</v>
      </c>
    </row>
    <row r="177" spans="1:7" x14ac:dyDescent="0.25">
      <c r="A177" s="2" t="s">
        <v>10</v>
      </c>
      <c r="B177" s="3">
        <v>41904</v>
      </c>
      <c r="C177" s="4">
        <v>-2.2728000000000002</v>
      </c>
      <c r="D177" s="4">
        <v>-2.4293</v>
      </c>
      <c r="E177" s="22">
        <f t="shared" si="6"/>
        <v>-2.4323000000000001</v>
      </c>
      <c r="F177">
        <f t="shared" si="7"/>
        <v>-0.32889737391380125</v>
      </c>
      <c r="G177">
        <f t="shared" si="8"/>
        <v>-1.9439026260861989</v>
      </c>
    </row>
    <row r="178" spans="1:7" x14ac:dyDescent="0.25">
      <c r="A178" s="2" t="s">
        <v>10</v>
      </c>
      <c r="B178" s="3">
        <v>41905</v>
      </c>
      <c r="C178" s="4">
        <v>-0.1918</v>
      </c>
      <c r="D178" s="4">
        <v>0.40899999999999997</v>
      </c>
      <c r="E178" s="22">
        <f t="shared" si="6"/>
        <v>0.40599999999999997</v>
      </c>
      <c r="F178">
        <f t="shared" si="7"/>
        <v>6.1988828022120017E-2</v>
      </c>
      <c r="G178">
        <f t="shared" si="8"/>
        <v>-0.25378882802211999</v>
      </c>
    </row>
    <row r="179" spans="1:7" x14ac:dyDescent="0.25">
      <c r="A179" s="2" t="s">
        <v>10</v>
      </c>
      <c r="B179" s="3">
        <v>41906</v>
      </c>
      <c r="C179" s="4">
        <v>0.3831</v>
      </c>
      <c r="D179" s="4">
        <v>0.4073</v>
      </c>
      <c r="E179" s="22">
        <f t="shared" si="6"/>
        <v>0.40429999999999999</v>
      </c>
      <c r="F179">
        <f t="shared" si="7"/>
        <v>6.1754706701861041E-2</v>
      </c>
      <c r="G179">
        <f t="shared" si="8"/>
        <v>0.32134529329813893</v>
      </c>
    </row>
    <row r="180" spans="1:7" x14ac:dyDescent="0.25">
      <c r="A180" s="2" t="s">
        <v>10</v>
      </c>
      <c r="B180" s="3">
        <v>41907</v>
      </c>
      <c r="C180" s="4">
        <v>-0.3831</v>
      </c>
      <c r="D180" s="4">
        <v>-0.81630000000000003</v>
      </c>
      <c r="E180" s="22">
        <f t="shared" si="6"/>
        <v>-0.81930000000000003</v>
      </c>
      <c r="F180">
        <f t="shared" si="7"/>
        <v>-0.10675755651513268</v>
      </c>
      <c r="G180">
        <f t="shared" si="8"/>
        <v>-0.27634244348486731</v>
      </c>
    </row>
    <row r="181" spans="1:7" x14ac:dyDescent="0.25">
      <c r="A181" s="2" t="s">
        <v>10</v>
      </c>
      <c r="B181" s="3">
        <v>41908</v>
      </c>
      <c r="C181" s="4">
        <v>-0.57750000000000001</v>
      </c>
      <c r="D181" s="4">
        <v>-0.82299999999999995</v>
      </c>
      <c r="E181" s="22">
        <f t="shared" si="6"/>
        <v>-0.82599999999999996</v>
      </c>
      <c r="F181">
        <f t="shared" si="7"/>
        <v>-0.10768026995380041</v>
      </c>
      <c r="G181">
        <f t="shared" si="8"/>
        <v>-0.46981973004619959</v>
      </c>
    </row>
    <row r="182" spans="1:7" x14ac:dyDescent="0.25">
      <c r="A182" s="2" t="s">
        <v>10</v>
      </c>
      <c r="B182" s="3">
        <v>41911</v>
      </c>
      <c r="C182" s="4">
        <v>0.38540000000000002</v>
      </c>
      <c r="D182" s="4">
        <v>-0.41410000000000002</v>
      </c>
      <c r="E182" s="22">
        <f t="shared" si="6"/>
        <v>-0.41710000000000003</v>
      </c>
      <c r="F182">
        <f t="shared" si="7"/>
        <v>-5.1367206510331373E-2</v>
      </c>
      <c r="G182">
        <f t="shared" si="8"/>
        <v>0.43676720651033141</v>
      </c>
    </row>
    <row r="183" spans="1:7" x14ac:dyDescent="0.25">
      <c r="A183" s="2" t="s">
        <v>10</v>
      </c>
      <c r="B183" s="3">
        <v>41912</v>
      </c>
      <c r="C183" s="4">
        <v>3.774</v>
      </c>
      <c r="D183" s="4">
        <v>-0.4158</v>
      </c>
      <c r="E183" s="22">
        <f t="shared" si="6"/>
        <v>-0.41880000000000001</v>
      </c>
      <c r="F183">
        <f t="shared" si="7"/>
        <v>-5.1601327830590356E-2</v>
      </c>
      <c r="G183">
        <f t="shared" si="8"/>
        <v>3.8256013278305905</v>
      </c>
    </row>
    <row r="184" spans="1:7" x14ac:dyDescent="0.25">
      <c r="A184" s="2" t="s">
        <v>10</v>
      </c>
      <c r="B184" s="3">
        <v>41913</v>
      </c>
      <c r="C184" s="4">
        <v>-1.1173</v>
      </c>
      <c r="D184" s="4">
        <v>1.2423</v>
      </c>
      <c r="E184" s="22">
        <f t="shared" si="6"/>
        <v>1.2393000000000001</v>
      </c>
      <c r="F184">
        <f t="shared" si="7"/>
        <v>0.17674959047612532</v>
      </c>
      <c r="G184">
        <f t="shared" si="8"/>
        <v>-1.2940495904761253</v>
      </c>
    </row>
    <row r="185" spans="1:7" x14ac:dyDescent="0.25">
      <c r="A185" s="2" t="s">
        <v>10</v>
      </c>
      <c r="B185" s="3">
        <v>41914</v>
      </c>
      <c r="C185" s="4">
        <v>1.8552999999999999</v>
      </c>
      <c r="D185" s="4">
        <v>-0.41239999999999999</v>
      </c>
      <c r="E185" s="22">
        <f t="shared" si="6"/>
        <v>-0.41539999999999999</v>
      </c>
      <c r="F185">
        <f t="shared" si="7"/>
        <v>-5.113308519007239E-2</v>
      </c>
      <c r="G185">
        <f t="shared" si="8"/>
        <v>1.9064330851900724</v>
      </c>
    </row>
    <row r="186" spans="1:7" x14ac:dyDescent="0.25">
      <c r="A186" s="2" t="s">
        <v>10</v>
      </c>
      <c r="B186" s="3">
        <v>41915</v>
      </c>
      <c r="C186" s="4">
        <v>-6.4539</v>
      </c>
      <c r="D186" s="4">
        <v>2.8515000000000001</v>
      </c>
      <c r="E186" s="22">
        <f t="shared" si="6"/>
        <v>2.8485</v>
      </c>
      <c r="F186">
        <f t="shared" si="7"/>
        <v>0.39836607786480321</v>
      </c>
      <c r="G186">
        <f t="shared" si="8"/>
        <v>-6.8522660778648028</v>
      </c>
    </row>
    <row r="187" spans="1:7" x14ac:dyDescent="0.25">
      <c r="A187" s="2" t="s">
        <v>10</v>
      </c>
      <c r="B187" s="3">
        <v>41918</v>
      </c>
      <c r="C187" s="4">
        <v>0.39140000000000003</v>
      </c>
      <c r="D187" s="4">
        <v>1.1976</v>
      </c>
      <c r="E187" s="22">
        <f t="shared" si="6"/>
        <v>1.1946000000000001</v>
      </c>
      <c r="F187">
        <f t="shared" si="7"/>
        <v>0.17059357693755092</v>
      </c>
      <c r="G187">
        <f t="shared" si="8"/>
        <v>0.2208064230624491</v>
      </c>
    </row>
    <row r="188" spans="1:7" x14ac:dyDescent="0.25">
      <c r="A188" s="2" t="s">
        <v>10</v>
      </c>
      <c r="B188" s="3">
        <v>41919</v>
      </c>
      <c r="C188" s="4">
        <v>-0.39140000000000003</v>
      </c>
      <c r="D188" s="4">
        <v>-0.79679999999999995</v>
      </c>
      <c r="E188" s="22">
        <f t="shared" si="6"/>
        <v>-0.79979999999999996</v>
      </c>
      <c r="F188">
        <f t="shared" si="7"/>
        <v>-0.10407204725333848</v>
      </c>
      <c r="G188">
        <f t="shared" si="8"/>
        <v>-0.28732795274666156</v>
      </c>
    </row>
    <row r="189" spans="1:7" x14ac:dyDescent="0.25">
      <c r="A189" s="2" t="s">
        <v>10</v>
      </c>
      <c r="B189" s="3">
        <v>41920</v>
      </c>
      <c r="C189" s="4">
        <v>1.1696</v>
      </c>
      <c r="D189" s="4">
        <v>-2.0203000000000002</v>
      </c>
      <c r="E189" s="22">
        <f t="shared" si="6"/>
        <v>-2.0233000000000003</v>
      </c>
      <c r="F189">
        <f t="shared" si="7"/>
        <v>-0.27257053862796404</v>
      </c>
      <c r="G189">
        <f t="shared" si="8"/>
        <v>1.442170538627964</v>
      </c>
    </row>
    <row r="190" spans="1:7" x14ac:dyDescent="0.25">
      <c r="A190" s="2" t="s">
        <v>10</v>
      </c>
      <c r="B190" s="3">
        <v>41921</v>
      </c>
      <c r="C190" s="4">
        <v>-0.19400000000000001</v>
      </c>
      <c r="D190" s="4">
        <v>2.0203000000000002</v>
      </c>
      <c r="E190" s="22">
        <f t="shared" si="6"/>
        <v>2.0173000000000001</v>
      </c>
      <c r="F190">
        <f t="shared" si="7"/>
        <v>0.28389452410052962</v>
      </c>
      <c r="G190">
        <f t="shared" si="8"/>
        <v>-0.47789452410052963</v>
      </c>
    </row>
    <row r="191" spans="1:7" x14ac:dyDescent="0.25">
      <c r="A191" s="2" t="s">
        <v>10</v>
      </c>
      <c r="B191" s="3">
        <v>41925</v>
      </c>
      <c r="C191" s="4">
        <v>-4.1631</v>
      </c>
      <c r="D191" s="4">
        <v>-3.6663999999999999</v>
      </c>
      <c r="E191" s="22">
        <f t="shared" si="6"/>
        <v>-3.6694</v>
      </c>
      <c r="F191">
        <f t="shared" si="7"/>
        <v>-0.49926883585049858</v>
      </c>
      <c r="G191">
        <f t="shared" si="8"/>
        <v>-3.6638311641495016</v>
      </c>
    </row>
    <row r="192" spans="1:7" x14ac:dyDescent="0.25">
      <c r="A192" s="2" t="s">
        <v>10</v>
      </c>
      <c r="B192" s="3">
        <v>41926</v>
      </c>
      <c r="C192" s="4">
        <v>0.80649999999999999</v>
      </c>
      <c r="D192" s="4">
        <v>0.41410000000000002</v>
      </c>
      <c r="E192" s="22">
        <f t="shared" si="6"/>
        <v>0.41110000000000002</v>
      </c>
      <c r="F192">
        <f t="shared" si="7"/>
        <v>6.2691191982896965E-2</v>
      </c>
      <c r="G192">
        <f t="shared" si="8"/>
        <v>0.74380880801710303</v>
      </c>
    </row>
    <row r="193" spans="1:7" x14ac:dyDescent="0.25">
      <c r="A193" s="2" t="s">
        <v>10</v>
      </c>
      <c r="B193" s="3">
        <v>41927</v>
      </c>
      <c r="C193" s="4">
        <v>0.8</v>
      </c>
      <c r="D193" s="4">
        <v>0.41239999999999999</v>
      </c>
      <c r="E193" s="22">
        <f t="shared" si="6"/>
        <v>0.40939999999999999</v>
      </c>
      <c r="F193">
        <f t="shared" si="7"/>
        <v>6.2457070662637983E-2</v>
      </c>
      <c r="G193">
        <f t="shared" si="8"/>
        <v>0.7375429293373621</v>
      </c>
    </row>
    <row r="194" spans="1:7" x14ac:dyDescent="0.25">
      <c r="A194" s="2" t="s">
        <v>10</v>
      </c>
      <c r="B194" s="3">
        <v>41928</v>
      </c>
      <c r="C194" s="4">
        <v>-0.59940000000000004</v>
      </c>
      <c r="D194" s="4">
        <v>0</v>
      </c>
      <c r="E194" s="22">
        <f t="shared" si="6"/>
        <v>-3.0000000000000001E-3</v>
      </c>
      <c r="F194">
        <f t="shared" si="7"/>
        <v>5.6619927362827945E-3</v>
      </c>
      <c r="G194">
        <f t="shared" si="8"/>
        <v>-0.60506199273628281</v>
      </c>
    </row>
    <row r="195" spans="1:7" x14ac:dyDescent="0.25">
      <c r="A195" s="2" t="s">
        <v>10</v>
      </c>
      <c r="B195" s="3">
        <v>41929</v>
      </c>
      <c r="C195" s="4">
        <v>-0.80479999999999996</v>
      </c>
      <c r="D195" s="4">
        <v>1.6327</v>
      </c>
      <c r="E195" s="22">
        <f t="shared" ref="E195:E258" si="9">D195-$L$1</f>
        <v>1.6297000000000001</v>
      </c>
      <c r="F195">
        <f t="shared" ref="F195:F258" si="10">L$2+L$3*E195</f>
        <v>0.23051486308148192</v>
      </c>
      <c r="G195">
        <f t="shared" ref="G195:G258" si="11">C195-F195</f>
        <v>-1.0353148630814819</v>
      </c>
    </row>
    <row r="196" spans="1:7" x14ac:dyDescent="0.25">
      <c r="A196" s="2" t="s">
        <v>10</v>
      </c>
      <c r="B196" s="3">
        <v>41932</v>
      </c>
      <c r="C196" s="4">
        <v>1.4041999999999999</v>
      </c>
      <c r="D196" s="4">
        <v>2.0041000000000002</v>
      </c>
      <c r="E196" s="22">
        <f t="shared" si="9"/>
        <v>2.0011000000000001</v>
      </c>
      <c r="F196">
        <f t="shared" si="10"/>
        <v>0.2816634856368852</v>
      </c>
      <c r="G196">
        <f t="shared" si="11"/>
        <v>1.1225365143631147</v>
      </c>
    </row>
    <row r="197" spans="1:7" x14ac:dyDescent="0.25">
      <c r="A197" s="2" t="s">
        <v>10</v>
      </c>
      <c r="B197" s="3">
        <v>41933</v>
      </c>
      <c r="C197" s="4">
        <v>-0.59940000000000004</v>
      </c>
      <c r="D197" s="4">
        <v>-0.79679999999999995</v>
      </c>
      <c r="E197" s="22">
        <f t="shared" si="9"/>
        <v>-0.79979999999999996</v>
      </c>
      <c r="F197">
        <f t="shared" si="10"/>
        <v>-0.10407204725333848</v>
      </c>
      <c r="G197">
        <f t="shared" si="11"/>
        <v>-0.49532795274666158</v>
      </c>
    </row>
    <row r="198" spans="1:7" x14ac:dyDescent="0.25">
      <c r="A198" s="2" t="s">
        <v>10</v>
      </c>
      <c r="B198" s="3">
        <v>41934</v>
      </c>
      <c r="C198" s="4">
        <v>2.1804999999999999</v>
      </c>
      <c r="D198" s="4">
        <v>3.1499000000000001</v>
      </c>
      <c r="E198" s="22">
        <f t="shared" si="9"/>
        <v>3.1469</v>
      </c>
      <c r="F198">
        <f t="shared" si="10"/>
        <v>0.4394612554914385</v>
      </c>
      <c r="G198">
        <f t="shared" si="11"/>
        <v>1.7410387445085613</v>
      </c>
    </row>
    <row r="199" spans="1:7" x14ac:dyDescent="0.25">
      <c r="A199" s="2" t="s">
        <v>10</v>
      </c>
      <c r="B199" s="3">
        <v>41935</v>
      </c>
      <c r="C199" s="4">
        <v>-0.78739999999999999</v>
      </c>
      <c r="D199" s="4">
        <v>-1.1696</v>
      </c>
      <c r="E199" s="22">
        <f t="shared" si="9"/>
        <v>-1.1725999999999999</v>
      </c>
      <c r="F199">
        <f t="shared" si="10"/>
        <v>-0.15541347560189619</v>
      </c>
      <c r="G199">
        <f t="shared" si="11"/>
        <v>-0.63198652439810377</v>
      </c>
    </row>
    <row r="200" spans="1:7" x14ac:dyDescent="0.25">
      <c r="A200" s="2" t="s">
        <v>10</v>
      </c>
      <c r="B200" s="3">
        <v>41936</v>
      </c>
      <c r="C200" s="4">
        <v>-0.79369999999999996</v>
      </c>
      <c r="D200" s="4">
        <v>-1.5810999999999999</v>
      </c>
      <c r="E200" s="22">
        <f t="shared" si="9"/>
        <v>-1.5840999999999998</v>
      </c>
      <c r="F200">
        <f t="shared" si="10"/>
        <v>-0.21208460694693781</v>
      </c>
      <c r="G200">
        <f t="shared" si="11"/>
        <v>-0.58161539305306209</v>
      </c>
    </row>
    <row r="201" spans="1:7" x14ac:dyDescent="0.25">
      <c r="A201" s="2" t="s">
        <v>10</v>
      </c>
      <c r="B201" s="3">
        <v>41939</v>
      </c>
      <c r="C201" s="4">
        <v>-3.3420999999999998</v>
      </c>
      <c r="D201" s="4">
        <v>1.9724999999999999</v>
      </c>
      <c r="E201" s="22">
        <f t="shared" si="9"/>
        <v>1.9695</v>
      </c>
      <c r="F201">
        <f t="shared" si="10"/>
        <v>0.27731158344854179</v>
      </c>
      <c r="G201">
        <f t="shared" si="11"/>
        <v>-3.6194115834485414</v>
      </c>
    </row>
    <row r="202" spans="1:7" x14ac:dyDescent="0.25">
      <c r="A202" s="2" t="s">
        <v>10</v>
      </c>
      <c r="B202" s="3">
        <v>41940</v>
      </c>
      <c r="C202" s="4">
        <v>2.3411</v>
      </c>
      <c r="D202" s="4">
        <v>0</v>
      </c>
      <c r="E202" s="22">
        <f t="shared" si="9"/>
        <v>-3.0000000000000001E-3</v>
      </c>
      <c r="F202">
        <f t="shared" si="10"/>
        <v>5.6619927362827945E-3</v>
      </c>
      <c r="G202">
        <f t="shared" si="11"/>
        <v>2.3354380072637171</v>
      </c>
    </row>
    <row r="203" spans="1:7" x14ac:dyDescent="0.25">
      <c r="A203" s="2" t="s">
        <v>10</v>
      </c>
      <c r="B203" s="3">
        <v>41941</v>
      </c>
      <c r="C203" s="4">
        <v>1.0009999999999999</v>
      </c>
      <c r="D203" s="4">
        <v>0.7782</v>
      </c>
      <c r="E203" s="22">
        <f t="shared" si="9"/>
        <v>0.7752</v>
      </c>
      <c r="F203">
        <f t="shared" si="10"/>
        <v>0.11283447004542345</v>
      </c>
      <c r="G203">
        <f t="shared" si="11"/>
        <v>0.88816552995457643</v>
      </c>
    </row>
    <row r="204" spans="1:7" x14ac:dyDescent="0.25">
      <c r="A204" s="2" t="s">
        <v>10</v>
      </c>
      <c r="B204" s="3">
        <v>41942</v>
      </c>
      <c r="C204" s="4">
        <v>-1.3032999999999999</v>
      </c>
      <c r="D204" s="4">
        <v>-0.38840000000000002</v>
      </c>
      <c r="E204" s="22">
        <f t="shared" si="9"/>
        <v>-0.39140000000000003</v>
      </c>
      <c r="F204">
        <f t="shared" si="10"/>
        <v>-4.7827843021710309E-2</v>
      </c>
      <c r="G204">
        <f t="shared" si="11"/>
        <v>-1.2554721569782896</v>
      </c>
    </row>
    <row r="205" spans="1:7" x14ac:dyDescent="0.25">
      <c r="A205" s="2" t="s">
        <v>10</v>
      </c>
      <c r="B205" s="3">
        <v>41943</v>
      </c>
      <c r="C205" s="4">
        <v>0.2016</v>
      </c>
      <c r="D205" s="4">
        <v>1.5444</v>
      </c>
      <c r="E205" s="22">
        <f t="shared" si="9"/>
        <v>1.5414000000000001</v>
      </c>
      <c r="F205">
        <f t="shared" si="10"/>
        <v>0.21835432627038306</v>
      </c>
      <c r="G205">
        <f t="shared" si="11"/>
        <v>-1.6754326270383063E-2</v>
      </c>
    </row>
    <row r="206" spans="1:7" x14ac:dyDescent="0.25">
      <c r="A206" s="2" t="s">
        <v>10</v>
      </c>
      <c r="B206" s="3">
        <v>41946</v>
      </c>
      <c r="C206" s="4">
        <v>0.60240000000000005</v>
      </c>
      <c r="D206" s="4">
        <v>0.38240000000000002</v>
      </c>
      <c r="E206" s="22">
        <f t="shared" si="9"/>
        <v>0.37940000000000002</v>
      </c>
      <c r="F206">
        <f t="shared" si="10"/>
        <v>5.8325517952185379E-2</v>
      </c>
      <c r="G206">
        <f t="shared" si="11"/>
        <v>0.54407448204781472</v>
      </c>
    </row>
    <row r="207" spans="1:7" x14ac:dyDescent="0.25">
      <c r="A207" s="2" t="s">
        <v>10</v>
      </c>
      <c r="B207" s="3">
        <v>41947</v>
      </c>
      <c r="C207" s="4">
        <v>-0.1002</v>
      </c>
      <c r="D207" s="4">
        <v>0.76049999999999995</v>
      </c>
      <c r="E207" s="22">
        <f t="shared" si="9"/>
        <v>0.75749999999999995</v>
      </c>
      <c r="F207">
        <f t="shared" si="10"/>
        <v>0.11039685394625641</v>
      </c>
      <c r="G207">
        <f t="shared" si="11"/>
        <v>-0.21059685394625641</v>
      </c>
    </row>
    <row r="208" spans="1:7" x14ac:dyDescent="0.25">
      <c r="A208" s="2" t="s">
        <v>10</v>
      </c>
      <c r="B208" s="3">
        <v>41948</v>
      </c>
      <c r="C208" s="4">
        <v>-5.1398999999999999</v>
      </c>
      <c r="D208" s="4">
        <v>0</v>
      </c>
      <c r="E208" s="22">
        <f t="shared" si="9"/>
        <v>-3.0000000000000001E-3</v>
      </c>
      <c r="F208">
        <f t="shared" si="10"/>
        <v>5.6619927362827945E-3</v>
      </c>
      <c r="G208">
        <f t="shared" si="11"/>
        <v>-5.1455619927362823</v>
      </c>
    </row>
    <row r="209" spans="1:7" x14ac:dyDescent="0.25">
      <c r="A209" s="2" t="s">
        <v>10</v>
      </c>
      <c r="B209" s="3">
        <v>41949</v>
      </c>
      <c r="C209" s="4">
        <v>-0.52880000000000005</v>
      </c>
      <c r="D209" s="4">
        <v>0</v>
      </c>
      <c r="E209" s="22">
        <f t="shared" si="9"/>
        <v>-3.0000000000000001E-3</v>
      </c>
      <c r="F209">
        <f t="shared" si="10"/>
        <v>5.6619927362827945E-3</v>
      </c>
      <c r="G209">
        <f t="shared" si="11"/>
        <v>-0.53446199273628281</v>
      </c>
    </row>
    <row r="210" spans="1:7" x14ac:dyDescent="0.25">
      <c r="A210" s="2" t="s">
        <v>10</v>
      </c>
      <c r="B210" s="3">
        <v>41950</v>
      </c>
      <c r="C210" s="4">
        <v>1.1597</v>
      </c>
      <c r="D210" s="4">
        <v>-0.76049999999999995</v>
      </c>
      <c r="E210" s="22">
        <f t="shared" si="9"/>
        <v>-0.76349999999999996</v>
      </c>
      <c r="F210">
        <f t="shared" si="10"/>
        <v>-9.9072868473690817E-2</v>
      </c>
      <c r="G210">
        <f t="shared" si="11"/>
        <v>1.2587728684736907</v>
      </c>
    </row>
    <row r="211" spans="1:7" x14ac:dyDescent="0.25">
      <c r="A211" s="2" t="s">
        <v>10</v>
      </c>
      <c r="B211" s="3">
        <v>41953</v>
      </c>
      <c r="C211" s="4">
        <v>0</v>
      </c>
      <c r="D211" s="4">
        <v>2.6366999999999998</v>
      </c>
      <c r="E211" s="22">
        <f t="shared" si="9"/>
        <v>2.6336999999999997</v>
      </c>
      <c r="F211">
        <f t="shared" si="10"/>
        <v>0.36878416045796247</v>
      </c>
      <c r="G211">
        <f t="shared" si="11"/>
        <v>-0.36878416045796247</v>
      </c>
    </row>
    <row r="212" spans="1:7" x14ac:dyDescent="0.25">
      <c r="A212" s="2" t="s">
        <v>10</v>
      </c>
      <c r="B212" s="3">
        <v>41954</v>
      </c>
      <c r="C212" s="4">
        <v>1.5601</v>
      </c>
      <c r="D212" s="4">
        <v>-0.37240000000000001</v>
      </c>
      <c r="E212" s="22">
        <f t="shared" si="9"/>
        <v>-0.37540000000000001</v>
      </c>
      <c r="F212">
        <f t="shared" si="10"/>
        <v>-4.5624348242802246E-2</v>
      </c>
      <c r="G212">
        <f t="shared" si="11"/>
        <v>1.6057243482428023</v>
      </c>
    </row>
    <row r="213" spans="1:7" x14ac:dyDescent="0.25">
      <c r="A213" s="2" t="s">
        <v>10</v>
      </c>
      <c r="B213" s="3">
        <v>41955</v>
      </c>
      <c r="C213" s="4">
        <v>-0.82899999999999996</v>
      </c>
      <c r="D213" s="4">
        <v>-1.5038</v>
      </c>
      <c r="E213" s="22">
        <f t="shared" si="9"/>
        <v>-1.5067999999999999</v>
      </c>
      <c r="F213">
        <f t="shared" si="10"/>
        <v>-0.20143897279633827</v>
      </c>
      <c r="G213">
        <f t="shared" si="11"/>
        <v>-0.62756102720366169</v>
      </c>
    </row>
    <row r="214" spans="1:7" x14ac:dyDescent="0.25">
      <c r="A214" s="2" t="s">
        <v>10</v>
      </c>
      <c r="B214" s="3">
        <v>41956</v>
      </c>
      <c r="C214" s="4">
        <v>-0.20830000000000001</v>
      </c>
      <c r="D214" s="4">
        <v>1.5038</v>
      </c>
      <c r="E214" s="22">
        <f t="shared" si="9"/>
        <v>1.5008000000000001</v>
      </c>
      <c r="F214">
        <f t="shared" si="10"/>
        <v>0.21276295826890387</v>
      </c>
      <c r="G214">
        <f t="shared" si="11"/>
        <v>-0.42106295826890389</v>
      </c>
    </row>
    <row r="215" spans="1:7" x14ac:dyDescent="0.25">
      <c r="A215" s="2" t="s">
        <v>10</v>
      </c>
      <c r="B215" s="3">
        <v>41957</v>
      </c>
      <c r="C215" s="4">
        <v>-0.31330000000000002</v>
      </c>
      <c r="D215" s="4">
        <v>0.74350000000000005</v>
      </c>
      <c r="E215" s="22">
        <f t="shared" si="9"/>
        <v>0.74050000000000005</v>
      </c>
      <c r="F215">
        <f t="shared" si="10"/>
        <v>0.10805564074366661</v>
      </c>
      <c r="G215">
        <f t="shared" si="11"/>
        <v>-0.4213556407436666</v>
      </c>
    </row>
    <row r="216" spans="1:7" x14ac:dyDescent="0.25">
      <c r="A216" s="2" t="s">
        <v>10</v>
      </c>
      <c r="B216" s="3">
        <v>41960</v>
      </c>
      <c r="C216" s="4">
        <v>-0.7349</v>
      </c>
      <c r="D216" s="4">
        <v>-1.4925999999999999</v>
      </c>
      <c r="E216" s="22">
        <f t="shared" si="9"/>
        <v>-1.4955999999999998</v>
      </c>
      <c r="F216">
        <f t="shared" si="10"/>
        <v>-0.19989652645110262</v>
      </c>
      <c r="G216">
        <f t="shared" si="11"/>
        <v>-0.53500347354889732</v>
      </c>
    </row>
    <row r="217" spans="1:7" x14ac:dyDescent="0.25">
      <c r="A217" s="2" t="s">
        <v>10</v>
      </c>
      <c r="B217" s="3">
        <v>41961</v>
      </c>
      <c r="C217" s="4">
        <v>-0.52829999999999999</v>
      </c>
      <c r="D217" s="4">
        <v>-1.1342000000000001</v>
      </c>
      <c r="E217" s="22">
        <f t="shared" si="9"/>
        <v>-1.1372</v>
      </c>
      <c r="F217">
        <f t="shared" si="10"/>
        <v>-0.15053824340356214</v>
      </c>
      <c r="G217">
        <f t="shared" si="11"/>
        <v>-0.37776175659643785</v>
      </c>
    </row>
    <row r="218" spans="1:7" x14ac:dyDescent="0.25">
      <c r="A218" s="2" t="s">
        <v>10</v>
      </c>
      <c r="B218" s="3">
        <v>41962</v>
      </c>
      <c r="C218" s="4">
        <v>0.21160000000000001</v>
      </c>
      <c r="D218" s="4">
        <v>3.3647999999999998</v>
      </c>
      <c r="E218" s="22">
        <f t="shared" si="9"/>
        <v>3.3617999999999997</v>
      </c>
      <c r="F218">
        <f t="shared" si="10"/>
        <v>0.4690569447406473</v>
      </c>
      <c r="G218">
        <f t="shared" si="11"/>
        <v>-0.25745694474064729</v>
      </c>
    </row>
    <row r="219" spans="1:7" x14ac:dyDescent="0.25">
      <c r="A219" s="2" t="s">
        <v>10</v>
      </c>
      <c r="B219" s="3">
        <v>41963</v>
      </c>
      <c r="C219" s="4">
        <v>2.4022000000000001</v>
      </c>
      <c r="D219" s="4">
        <v>2.1819000000000002</v>
      </c>
      <c r="E219" s="22">
        <f t="shared" si="9"/>
        <v>2.1789000000000001</v>
      </c>
      <c r="F219">
        <f t="shared" si="10"/>
        <v>0.30614982136750102</v>
      </c>
      <c r="G219">
        <f t="shared" si="11"/>
        <v>2.096050178632499</v>
      </c>
    </row>
    <row r="220" spans="1:7" x14ac:dyDescent="0.25">
      <c r="A220" s="2" t="s">
        <v>10</v>
      </c>
      <c r="B220" s="3">
        <v>41964</v>
      </c>
      <c r="C220" s="4">
        <v>1.5361</v>
      </c>
      <c r="D220" s="4">
        <v>-0.3604</v>
      </c>
      <c r="E220" s="22">
        <f t="shared" si="9"/>
        <v>-0.3634</v>
      </c>
      <c r="F220">
        <f t="shared" si="10"/>
        <v>-4.3971727158621202E-2</v>
      </c>
      <c r="G220">
        <f t="shared" si="11"/>
        <v>1.5800717271586213</v>
      </c>
    </row>
    <row r="221" spans="1:7" x14ac:dyDescent="0.25">
      <c r="A221" s="2" t="s">
        <v>10</v>
      </c>
      <c r="B221" s="3">
        <v>41967</v>
      </c>
      <c r="C221" s="4">
        <v>0.70889999999999997</v>
      </c>
      <c r="D221" s="4">
        <v>0</v>
      </c>
      <c r="E221" s="22">
        <f t="shared" si="9"/>
        <v>-3.0000000000000001E-3</v>
      </c>
      <c r="F221">
        <f t="shared" si="10"/>
        <v>5.6619927362827945E-3</v>
      </c>
      <c r="G221">
        <f t="shared" si="11"/>
        <v>0.70323800726371721</v>
      </c>
    </row>
    <row r="222" spans="1:7" x14ac:dyDescent="0.25">
      <c r="A222" s="2" t="s">
        <v>10</v>
      </c>
      <c r="B222" s="3">
        <v>41968</v>
      </c>
      <c r="C222" s="4">
        <v>0</v>
      </c>
      <c r="D222" s="4">
        <v>0.3604</v>
      </c>
      <c r="E222" s="22">
        <f t="shared" si="9"/>
        <v>0.3574</v>
      </c>
      <c r="F222">
        <f t="shared" si="10"/>
        <v>5.5295712631186794E-2</v>
      </c>
      <c r="G222">
        <f t="shared" si="11"/>
        <v>-5.5295712631186794E-2</v>
      </c>
    </row>
    <row r="223" spans="1:7" x14ac:dyDescent="0.25">
      <c r="A223" s="2" t="s">
        <v>10</v>
      </c>
      <c r="B223" s="3">
        <v>41969</v>
      </c>
      <c r="C223" s="4">
        <v>0.70389999999999997</v>
      </c>
      <c r="D223" s="4">
        <v>0</v>
      </c>
      <c r="E223" s="22">
        <f t="shared" si="9"/>
        <v>-3.0000000000000001E-3</v>
      </c>
      <c r="F223">
        <f t="shared" si="10"/>
        <v>5.6619927362827945E-3</v>
      </c>
      <c r="G223">
        <f t="shared" si="11"/>
        <v>0.69823800726371721</v>
      </c>
    </row>
    <row r="224" spans="1:7" x14ac:dyDescent="0.25">
      <c r="A224" s="2" t="s">
        <v>10</v>
      </c>
      <c r="B224" s="3">
        <v>41970</v>
      </c>
      <c r="C224" s="4">
        <v>-0.40160000000000001</v>
      </c>
      <c r="D224" s="4">
        <v>0.71679999999999999</v>
      </c>
      <c r="E224" s="22">
        <f t="shared" si="9"/>
        <v>0.71379999999999999</v>
      </c>
      <c r="F224">
        <f t="shared" si="10"/>
        <v>0.10437855883136378</v>
      </c>
      <c r="G224">
        <f t="shared" si="11"/>
        <v>-0.50597855883136378</v>
      </c>
    </row>
    <row r="225" spans="1:7" x14ac:dyDescent="0.25">
      <c r="A225" s="2" t="s">
        <v>10</v>
      </c>
      <c r="B225" s="3">
        <v>41971</v>
      </c>
      <c r="C225" s="4">
        <v>-0.50429999999999997</v>
      </c>
      <c r="D225" s="4">
        <v>1.0657000000000001</v>
      </c>
      <c r="E225" s="22">
        <f t="shared" si="9"/>
        <v>1.0627000000000002</v>
      </c>
      <c r="F225">
        <f t="shared" si="10"/>
        <v>0.15242851685392764</v>
      </c>
      <c r="G225">
        <f t="shared" si="11"/>
        <v>-0.65672851685392764</v>
      </c>
    </row>
    <row r="226" spans="1:7" x14ac:dyDescent="0.25">
      <c r="A226" s="2" t="s">
        <v>10</v>
      </c>
      <c r="B226" s="3">
        <v>41974</v>
      </c>
      <c r="C226" s="4">
        <v>0.90590000000000004</v>
      </c>
      <c r="D226" s="4">
        <v>-1.0657000000000001</v>
      </c>
      <c r="E226" s="22">
        <f t="shared" si="9"/>
        <v>-1.0687</v>
      </c>
      <c r="F226">
        <f t="shared" si="10"/>
        <v>-0.14110453138136203</v>
      </c>
      <c r="G226">
        <f t="shared" si="11"/>
        <v>1.0470045313813621</v>
      </c>
    </row>
    <row r="227" spans="1:7" x14ac:dyDescent="0.25">
      <c r="A227" s="2" t="s">
        <v>10</v>
      </c>
      <c r="B227" s="3">
        <v>41975</v>
      </c>
      <c r="C227" s="4">
        <v>-0.2006</v>
      </c>
      <c r="D227" s="4">
        <v>-1.8019000000000001</v>
      </c>
      <c r="E227" s="22">
        <f t="shared" si="9"/>
        <v>-1.8048999999999999</v>
      </c>
      <c r="F227">
        <f t="shared" si="10"/>
        <v>-0.24249283489586901</v>
      </c>
      <c r="G227">
        <f t="shared" si="11"/>
        <v>4.1892834895869008E-2</v>
      </c>
    </row>
    <row r="228" spans="1:7" x14ac:dyDescent="0.25">
      <c r="A228" s="2" t="s">
        <v>10</v>
      </c>
      <c r="B228" s="3">
        <v>41976</v>
      </c>
      <c r="C228" s="4">
        <v>1.3957999999999999</v>
      </c>
      <c r="D228" s="4">
        <v>0.36299999999999999</v>
      </c>
      <c r="E228" s="22">
        <f t="shared" si="9"/>
        <v>0.36</v>
      </c>
      <c r="F228">
        <f t="shared" si="10"/>
        <v>5.565378053275935E-2</v>
      </c>
      <c r="G228">
        <f t="shared" si="11"/>
        <v>1.3401462194672407</v>
      </c>
    </row>
    <row r="229" spans="1:7" x14ac:dyDescent="0.25">
      <c r="A229" s="2" t="s">
        <v>10</v>
      </c>
      <c r="B229" s="3">
        <v>41977</v>
      </c>
      <c r="C229" s="4">
        <v>0.39529999999999998</v>
      </c>
      <c r="D229" s="4">
        <v>0.72199999999999998</v>
      </c>
      <c r="E229" s="22">
        <f t="shared" si="9"/>
        <v>0.71899999999999997</v>
      </c>
      <c r="F229">
        <f t="shared" si="10"/>
        <v>0.10509469463450889</v>
      </c>
      <c r="G229">
        <f t="shared" si="11"/>
        <v>0.29020530536549111</v>
      </c>
    </row>
    <row r="230" spans="1:7" x14ac:dyDescent="0.25">
      <c r="A230" s="2" t="s">
        <v>10</v>
      </c>
      <c r="B230" s="3">
        <v>41978</v>
      </c>
      <c r="C230" s="4">
        <v>0.19700000000000001</v>
      </c>
      <c r="D230" s="4">
        <v>-1.085</v>
      </c>
      <c r="E230" s="22">
        <f t="shared" si="9"/>
        <v>-1.0879999999999999</v>
      </c>
      <c r="F230">
        <f t="shared" si="10"/>
        <v>-0.14376249695841983</v>
      </c>
      <c r="G230">
        <f t="shared" si="11"/>
        <v>0.34076249695841987</v>
      </c>
    </row>
    <row r="231" spans="1:7" x14ac:dyDescent="0.25">
      <c r="A231" s="2" t="s">
        <v>10</v>
      </c>
      <c r="B231" s="3">
        <v>41981</v>
      </c>
      <c r="C231" s="4">
        <v>0.39290000000000003</v>
      </c>
      <c r="D231" s="4">
        <v>0.36299999999999999</v>
      </c>
      <c r="E231" s="22">
        <f t="shared" si="9"/>
        <v>0.36</v>
      </c>
      <c r="F231">
        <f t="shared" si="10"/>
        <v>5.565378053275935E-2</v>
      </c>
      <c r="G231">
        <f t="shared" si="11"/>
        <v>0.33724621946724065</v>
      </c>
    </row>
    <row r="232" spans="1:7" x14ac:dyDescent="0.25">
      <c r="A232" s="2" t="s">
        <v>10</v>
      </c>
      <c r="B232" s="3">
        <v>41982</v>
      </c>
      <c r="C232" s="4">
        <v>-0.39290000000000003</v>
      </c>
      <c r="D232" s="4">
        <v>0</v>
      </c>
      <c r="E232" s="22">
        <f t="shared" si="9"/>
        <v>-3.0000000000000001E-3</v>
      </c>
      <c r="F232">
        <f t="shared" si="10"/>
        <v>5.6619927362827945E-3</v>
      </c>
      <c r="G232">
        <f t="shared" si="11"/>
        <v>-0.39856199273628284</v>
      </c>
    </row>
    <row r="233" spans="1:7" x14ac:dyDescent="0.25">
      <c r="A233" s="2" t="s">
        <v>10</v>
      </c>
      <c r="B233" s="3">
        <v>41983</v>
      </c>
      <c r="C233" s="4">
        <v>-0.19700000000000001</v>
      </c>
      <c r="D233" s="4">
        <v>-1.4599</v>
      </c>
      <c r="E233" s="22">
        <f t="shared" si="9"/>
        <v>-1.4628999999999999</v>
      </c>
      <c r="F233">
        <f t="shared" si="10"/>
        <v>-0.19539313399670927</v>
      </c>
      <c r="G233">
        <f t="shared" si="11"/>
        <v>-1.6068660032907411E-3</v>
      </c>
    </row>
    <row r="234" spans="1:7" x14ac:dyDescent="0.25">
      <c r="A234" s="2" t="s">
        <v>10</v>
      </c>
      <c r="B234" s="3">
        <v>41984</v>
      </c>
      <c r="C234" s="4">
        <v>0</v>
      </c>
      <c r="D234" s="4">
        <v>-1.1091</v>
      </c>
      <c r="E234" s="22">
        <f t="shared" si="9"/>
        <v>-1.1120999999999999</v>
      </c>
      <c r="F234">
        <f t="shared" si="10"/>
        <v>-0.14708151096915012</v>
      </c>
      <c r="G234">
        <f t="shared" si="11"/>
        <v>0.14708151096915012</v>
      </c>
    </row>
    <row r="235" spans="1:7" x14ac:dyDescent="0.25">
      <c r="A235" s="2" t="s">
        <v>10</v>
      </c>
      <c r="B235" s="3">
        <v>41985</v>
      </c>
      <c r="C235" s="4">
        <v>0.59</v>
      </c>
      <c r="D235" s="4">
        <v>0.37109999999999999</v>
      </c>
      <c r="E235" s="22">
        <f t="shared" si="9"/>
        <v>0.36809999999999998</v>
      </c>
      <c r="F235">
        <f t="shared" si="10"/>
        <v>5.676929976458156E-2</v>
      </c>
      <c r="G235">
        <f t="shared" si="11"/>
        <v>0.53323070023541841</v>
      </c>
    </row>
    <row r="236" spans="1:7" x14ac:dyDescent="0.25">
      <c r="A236" s="2" t="s">
        <v>10</v>
      </c>
      <c r="B236" s="3">
        <v>41988</v>
      </c>
      <c r="C236" s="4">
        <v>0</v>
      </c>
      <c r="D236" s="4">
        <v>0.73799999999999999</v>
      </c>
      <c r="E236" s="22">
        <f t="shared" si="9"/>
        <v>0.73499999999999999</v>
      </c>
      <c r="F236">
        <f t="shared" si="10"/>
        <v>0.10729818941341696</v>
      </c>
      <c r="G236">
        <f t="shared" si="11"/>
        <v>-0.10729818941341696</v>
      </c>
    </row>
    <row r="237" spans="1:7" x14ac:dyDescent="0.25">
      <c r="A237" s="2" t="s">
        <v>10</v>
      </c>
      <c r="B237" s="3">
        <v>41989</v>
      </c>
      <c r="C237" s="4">
        <v>0.97560000000000002</v>
      </c>
      <c r="D237" s="4">
        <v>-2.2305999999999999</v>
      </c>
      <c r="E237" s="22">
        <f t="shared" si="9"/>
        <v>-2.2336</v>
      </c>
      <c r="F237">
        <f t="shared" si="10"/>
        <v>-0.30153272312823681</v>
      </c>
      <c r="G237">
        <f t="shared" si="11"/>
        <v>1.2771327231282368</v>
      </c>
    </row>
    <row r="238" spans="1:7" x14ac:dyDescent="0.25">
      <c r="A238" s="2" t="s">
        <v>10</v>
      </c>
      <c r="B238" s="3">
        <v>41990</v>
      </c>
      <c r="C238" s="4">
        <v>-1.9608000000000001</v>
      </c>
      <c r="D238" s="4">
        <v>-1.8976</v>
      </c>
      <c r="E238" s="22">
        <f t="shared" si="9"/>
        <v>-1.9005999999999998</v>
      </c>
      <c r="F238">
        <f t="shared" si="10"/>
        <v>-0.25567248804221282</v>
      </c>
      <c r="G238">
        <f t="shared" si="11"/>
        <v>-1.7051275119577873</v>
      </c>
    </row>
    <row r="239" spans="1:7" x14ac:dyDescent="0.25">
      <c r="A239" s="2" t="s">
        <v>10</v>
      </c>
      <c r="B239" s="3">
        <v>41991</v>
      </c>
      <c r="C239" s="4">
        <v>-0.39679999999999999</v>
      </c>
      <c r="D239" s="4">
        <v>0.76339999999999997</v>
      </c>
      <c r="E239" s="22">
        <f t="shared" si="9"/>
        <v>0.76039999999999996</v>
      </c>
      <c r="F239">
        <f t="shared" si="10"/>
        <v>0.11079623737493349</v>
      </c>
      <c r="G239">
        <f t="shared" si="11"/>
        <v>-0.50759623737493342</v>
      </c>
    </row>
    <row r="240" spans="1:7" x14ac:dyDescent="0.25">
      <c r="A240" s="2" t="s">
        <v>10</v>
      </c>
      <c r="B240" s="3">
        <v>41992</v>
      </c>
      <c r="C240" s="4">
        <v>0.1986</v>
      </c>
      <c r="D240" s="4">
        <v>4.8247</v>
      </c>
      <c r="E240" s="22">
        <f t="shared" si="9"/>
        <v>4.8216999999999999</v>
      </c>
      <c r="F240">
        <f t="shared" si="10"/>
        <v>0.67011207147363938</v>
      </c>
      <c r="G240">
        <f t="shared" si="11"/>
        <v>-0.47151207147363938</v>
      </c>
    </row>
    <row r="241" spans="1:7" x14ac:dyDescent="0.25">
      <c r="A241" s="2" t="s">
        <v>10</v>
      </c>
      <c r="B241" s="3">
        <v>41995</v>
      </c>
      <c r="C241" s="4">
        <v>0</v>
      </c>
      <c r="D241" s="4">
        <v>0.36170000000000002</v>
      </c>
      <c r="E241" s="22">
        <f t="shared" si="9"/>
        <v>0.35870000000000002</v>
      </c>
      <c r="F241">
        <f t="shared" si="10"/>
        <v>5.5474746581973079E-2</v>
      </c>
      <c r="G241">
        <f t="shared" si="11"/>
        <v>-5.5474746581973079E-2</v>
      </c>
    </row>
    <row r="242" spans="1:7" x14ac:dyDescent="0.25">
      <c r="A242" s="2" t="s">
        <v>10</v>
      </c>
      <c r="B242" s="3">
        <v>41996</v>
      </c>
      <c r="C242" s="4">
        <v>-0.59699999999999998</v>
      </c>
      <c r="D242" s="4">
        <v>-0.72460000000000002</v>
      </c>
      <c r="E242" s="22">
        <f t="shared" si="9"/>
        <v>-0.72760000000000002</v>
      </c>
      <c r="F242">
        <f t="shared" si="10"/>
        <v>-9.412877706351587E-2</v>
      </c>
      <c r="G242">
        <f t="shared" si="11"/>
        <v>-0.50287122293648412</v>
      </c>
    </row>
    <row r="243" spans="1:7" x14ac:dyDescent="0.25">
      <c r="A243" s="2" t="s">
        <v>10</v>
      </c>
      <c r="B243" s="3">
        <v>41997</v>
      </c>
      <c r="C243" s="4">
        <v>0.19939999999999999</v>
      </c>
      <c r="D243" s="4">
        <v>0.36299999999999999</v>
      </c>
      <c r="E243" s="22">
        <f t="shared" si="9"/>
        <v>0.36</v>
      </c>
      <c r="F243">
        <f t="shared" si="10"/>
        <v>5.565378053275935E-2</v>
      </c>
      <c r="G243">
        <f t="shared" si="11"/>
        <v>0.14374621946724064</v>
      </c>
    </row>
    <row r="244" spans="1:7" x14ac:dyDescent="0.25">
      <c r="A244" s="2" t="s">
        <v>10</v>
      </c>
      <c r="B244" s="3">
        <v>41998</v>
      </c>
      <c r="C244" s="4">
        <v>0.5958</v>
      </c>
      <c r="D244" s="4">
        <v>-0.36299999999999999</v>
      </c>
      <c r="E244" s="22">
        <f t="shared" si="9"/>
        <v>-0.36599999999999999</v>
      </c>
      <c r="F244">
        <f t="shared" si="10"/>
        <v>-4.4329795060193758E-2</v>
      </c>
      <c r="G244">
        <f t="shared" si="11"/>
        <v>0.64012979506019374</v>
      </c>
    </row>
    <row r="245" spans="1:7" x14ac:dyDescent="0.25">
      <c r="A245" s="2" t="s">
        <v>10</v>
      </c>
      <c r="B245" s="3">
        <v>41999</v>
      </c>
      <c r="C245" s="4">
        <v>0</v>
      </c>
      <c r="D245" s="4">
        <v>1.085</v>
      </c>
      <c r="E245" s="22">
        <f t="shared" si="9"/>
        <v>1.0820000000000001</v>
      </c>
      <c r="F245">
        <f t="shared" si="10"/>
        <v>0.15508648243098547</v>
      </c>
      <c r="G245">
        <f t="shared" si="11"/>
        <v>-0.15508648243098547</v>
      </c>
    </row>
    <row r="246" spans="1:7" x14ac:dyDescent="0.25">
      <c r="A246" s="2" t="s">
        <v>10</v>
      </c>
      <c r="B246" s="3">
        <v>42000</v>
      </c>
      <c r="C246" s="4">
        <v>0.59230000000000005</v>
      </c>
      <c r="D246" s="4">
        <v>-0.3604</v>
      </c>
      <c r="E246" s="22">
        <f t="shared" si="9"/>
        <v>-0.3634</v>
      </c>
      <c r="F246">
        <f t="shared" si="10"/>
        <v>-4.3971727158621202E-2</v>
      </c>
      <c r="G246">
        <f t="shared" si="11"/>
        <v>0.63627172715862124</v>
      </c>
    </row>
    <row r="247" spans="1:7" x14ac:dyDescent="0.25">
      <c r="A247" s="2" t="s">
        <v>10</v>
      </c>
      <c r="B247" s="3">
        <v>42002</v>
      </c>
      <c r="C247" s="4">
        <v>-0.39450000000000002</v>
      </c>
      <c r="D247" s="4">
        <v>1.7889999999999999</v>
      </c>
      <c r="E247" s="22">
        <f t="shared" si="9"/>
        <v>1.786</v>
      </c>
      <c r="F247">
        <f t="shared" si="10"/>
        <v>0.25204025270294</v>
      </c>
      <c r="G247">
        <f t="shared" si="11"/>
        <v>-0.64654025270294002</v>
      </c>
    </row>
    <row r="248" spans="1:7" x14ac:dyDescent="0.25">
      <c r="A248" s="2" t="s">
        <v>10</v>
      </c>
      <c r="B248" s="3">
        <v>42003</v>
      </c>
      <c r="C248" s="4">
        <v>-0.1978</v>
      </c>
      <c r="D248" s="4">
        <v>-0.7117</v>
      </c>
      <c r="E248" s="22">
        <f t="shared" si="9"/>
        <v>-0.7147</v>
      </c>
      <c r="F248">
        <f t="shared" si="10"/>
        <v>-9.2352209398021246E-2</v>
      </c>
      <c r="G248">
        <f t="shared" si="11"/>
        <v>-0.10544779060197876</v>
      </c>
    </row>
    <row r="249" spans="1:7" x14ac:dyDescent="0.25">
      <c r="A249" s="2" t="s">
        <v>10</v>
      </c>
      <c r="B249" s="3">
        <v>42004</v>
      </c>
      <c r="C249" s="4">
        <v>0.98519999999999996</v>
      </c>
      <c r="D249" s="4">
        <v>0.7117</v>
      </c>
      <c r="E249" s="22">
        <f t="shared" si="9"/>
        <v>0.7087</v>
      </c>
      <c r="F249">
        <f t="shared" si="10"/>
        <v>0.10367619487058684</v>
      </c>
      <c r="G249">
        <f t="shared" si="11"/>
        <v>0.88152380512941308</v>
      </c>
    </row>
    <row r="250" spans="1:7" x14ac:dyDescent="0.25">
      <c r="A250" s="2" t="s">
        <v>10</v>
      </c>
      <c r="B250" s="3">
        <v>42009</v>
      </c>
      <c r="C250" s="4">
        <v>0</v>
      </c>
      <c r="D250" s="4">
        <v>-1.0694999999999999</v>
      </c>
      <c r="E250" s="22">
        <f t="shared" si="9"/>
        <v>-1.0724999999999998</v>
      </c>
      <c r="F250">
        <f t="shared" si="10"/>
        <v>-0.14162786139135267</v>
      </c>
      <c r="G250">
        <f t="shared" si="11"/>
        <v>0.14162786139135267</v>
      </c>
    </row>
    <row r="251" spans="1:7" x14ac:dyDescent="0.25">
      <c r="A251" s="2" t="s">
        <v>10</v>
      </c>
      <c r="B251" s="3">
        <v>42010</v>
      </c>
      <c r="C251" s="4">
        <v>-1.5810999999999999</v>
      </c>
      <c r="D251" s="4">
        <v>-4.3963000000000001</v>
      </c>
      <c r="E251" s="22">
        <f t="shared" si="9"/>
        <v>-4.3993000000000002</v>
      </c>
      <c r="F251">
        <f t="shared" si="10"/>
        <v>-0.59978951329581065</v>
      </c>
      <c r="G251">
        <f t="shared" si="11"/>
        <v>-0.9813104867041893</v>
      </c>
    </row>
    <row r="252" spans="1:7" x14ac:dyDescent="0.25">
      <c r="A252" s="2" t="s">
        <v>10</v>
      </c>
      <c r="B252" s="3">
        <v>42011</v>
      </c>
      <c r="C252" s="4">
        <v>0</v>
      </c>
      <c r="D252" s="4">
        <v>0.37380000000000002</v>
      </c>
      <c r="E252" s="22">
        <f t="shared" si="9"/>
        <v>0.37080000000000002</v>
      </c>
      <c r="F252">
        <f t="shared" si="10"/>
        <v>5.7141139508522294E-2</v>
      </c>
      <c r="G252">
        <f t="shared" si="11"/>
        <v>-5.7141139508522294E-2</v>
      </c>
    </row>
    <row r="253" spans="1:7" x14ac:dyDescent="0.25">
      <c r="A253" s="2" t="s">
        <v>10</v>
      </c>
      <c r="B253" s="3">
        <v>42012</v>
      </c>
      <c r="C253" s="4">
        <v>0.19900000000000001</v>
      </c>
      <c r="D253" s="4">
        <v>2.9413999999999998</v>
      </c>
      <c r="E253" s="22">
        <f t="shared" si="9"/>
        <v>2.9383999999999997</v>
      </c>
      <c r="F253">
        <f t="shared" si="10"/>
        <v>0.4107469641537928</v>
      </c>
      <c r="G253">
        <f t="shared" si="11"/>
        <v>-0.21174696415379279</v>
      </c>
    </row>
    <row r="254" spans="1:7" x14ac:dyDescent="0.25">
      <c r="A254" s="2" t="s">
        <v>10</v>
      </c>
      <c r="B254" s="3">
        <v>42013</v>
      </c>
      <c r="C254" s="4">
        <v>0</v>
      </c>
      <c r="D254" s="4">
        <v>-2.9413999999999998</v>
      </c>
      <c r="E254" s="22">
        <f t="shared" si="9"/>
        <v>-2.9443999999999999</v>
      </c>
      <c r="F254">
        <f t="shared" si="10"/>
        <v>-0.39942297868122723</v>
      </c>
      <c r="G254">
        <f t="shared" si="11"/>
        <v>0.39942297868122723</v>
      </c>
    </row>
    <row r="255" spans="1:7" x14ac:dyDescent="0.25">
      <c r="A255" s="2" t="s">
        <v>10</v>
      </c>
      <c r="B255" s="3">
        <v>42016</v>
      </c>
      <c r="C255" s="4">
        <v>0.39679999999999999</v>
      </c>
      <c r="D255" s="4">
        <v>-1.5038</v>
      </c>
      <c r="E255" s="22">
        <f t="shared" si="9"/>
        <v>-1.5067999999999999</v>
      </c>
      <c r="F255">
        <f t="shared" si="10"/>
        <v>-0.20143897279633827</v>
      </c>
      <c r="G255">
        <f t="shared" si="11"/>
        <v>0.5982389727963382</v>
      </c>
    </row>
    <row r="256" spans="1:7" x14ac:dyDescent="0.25">
      <c r="A256" s="2" t="s">
        <v>10</v>
      </c>
      <c r="B256" s="3">
        <v>42017</v>
      </c>
      <c r="C256" s="4">
        <v>0</v>
      </c>
      <c r="D256" s="4">
        <v>0.37809999999999999</v>
      </c>
      <c r="E256" s="22">
        <f t="shared" si="9"/>
        <v>0.37509999999999999</v>
      </c>
      <c r="F256">
        <f t="shared" si="10"/>
        <v>5.7733328730353833E-2</v>
      </c>
      <c r="G256">
        <f t="shared" si="11"/>
        <v>-5.7733328730353833E-2</v>
      </c>
    </row>
    <row r="257" spans="1:7" x14ac:dyDescent="0.25">
      <c r="A257" s="2" t="s">
        <v>10</v>
      </c>
      <c r="B257" s="3">
        <v>42018</v>
      </c>
      <c r="C257" s="4">
        <v>0.1978</v>
      </c>
      <c r="D257" s="4">
        <v>-1.9048</v>
      </c>
      <c r="E257" s="22">
        <f t="shared" si="9"/>
        <v>-1.9077999999999999</v>
      </c>
      <c r="F257">
        <f t="shared" si="10"/>
        <v>-0.25666406069272146</v>
      </c>
      <c r="G257">
        <f t="shared" si="11"/>
        <v>0.45446406069272149</v>
      </c>
    </row>
    <row r="258" spans="1:7" x14ac:dyDescent="0.25">
      <c r="A258" s="2" t="s">
        <v>10</v>
      </c>
      <c r="B258" s="3">
        <v>42019</v>
      </c>
      <c r="C258" s="4">
        <v>-0.39600000000000002</v>
      </c>
      <c r="D258" s="4">
        <v>1.1472</v>
      </c>
      <c r="E258" s="22">
        <f t="shared" si="9"/>
        <v>1.1442000000000001</v>
      </c>
      <c r="F258">
        <f t="shared" si="10"/>
        <v>0.16365256838399056</v>
      </c>
      <c r="G258">
        <f t="shared" si="11"/>
        <v>-0.55965256838399058</v>
      </c>
    </row>
    <row r="259" spans="1:7" x14ac:dyDescent="0.25">
      <c r="A259" s="2" t="s">
        <v>10</v>
      </c>
      <c r="B259" s="3">
        <v>42020</v>
      </c>
      <c r="C259" s="4">
        <v>-0.59699999999999998</v>
      </c>
      <c r="D259" s="4">
        <v>4.0974000000000004</v>
      </c>
      <c r="E259" s="22">
        <f t="shared" ref="E259:E322" si="12">D259-$L$1</f>
        <v>4.0944000000000003</v>
      </c>
      <c r="F259">
        <f t="shared" ref="F259:F322" si="13">L$2+L$3*E259</f>
        <v>0.56994946192990004</v>
      </c>
      <c r="G259">
        <f t="shared" ref="G259:G322" si="14">C259-F259</f>
        <v>-1.1669494619298999</v>
      </c>
    </row>
    <row r="260" spans="1:7" x14ac:dyDescent="0.25">
      <c r="A260" s="2" t="s">
        <v>10</v>
      </c>
      <c r="B260" s="3">
        <v>42023</v>
      </c>
      <c r="C260" s="4">
        <v>-0.4</v>
      </c>
      <c r="D260" s="4">
        <v>1.4493</v>
      </c>
      <c r="E260" s="22">
        <f t="shared" si="12"/>
        <v>1.4463000000000001</v>
      </c>
      <c r="F260">
        <f t="shared" si="13"/>
        <v>0.20525730417824831</v>
      </c>
      <c r="G260">
        <f t="shared" si="14"/>
        <v>-0.6052573041782483</v>
      </c>
    </row>
    <row r="261" spans="1:7" x14ac:dyDescent="0.25">
      <c r="A261" s="2" t="s">
        <v>10</v>
      </c>
      <c r="B261" s="3">
        <v>42024</v>
      </c>
      <c r="C261" s="4">
        <v>0.20019999999999999</v>
      </c>
      <c r="D261" s="4">
        <v>-0.72199999999999998</v>
      </c>
      <c r="E261" s="22">
        <f t="shared" si="12"/>
        <v>-0.72499999999999998</v>
      </c>
      <c r="F261">
        <f t="shared" si="13"/>
        <v>-9.37707091619433E-2</v>
      </c>
      <c r="G261">
        <f t="shared" si="14"/>
        <v>0.29397070916194329</v>
      </c>
    </row>
    <row r="262" spans="1:7" x14ac:dyDescent="0.25">
      <c r="A262" s="2" t="s">
        <v>10</v>
      </c>
      <c r="B262" s="3">
        <v>42025</v>
      </c>
      <c r="C262" s="4">
        <v>0.19980000000000001</v>
      </c>
      <c r="D262" s="4">
        <v>2.1505999999999998</v>
      </c>
      <c r="E262" s="22">
        <f t="shared" si="12"/>
        <v>2.1475999999999997</v>
      </c>
      <c r="F262">
        <f t="shared" si="13"/>
        <v>0.30183923470626206</v>
      </c>
      <c r="G262">
        <f t="shared" si="14"/>
        <v>-0.10203923470626206</v>
      </c>
    </row>
    <row r="263" spans="1:7" x14ac:dyDescent="0.25">
      <c r="A263" s="2" t="s">
        <v>10</v>
      </c>
      <c r="B263" s="3">
        <v>42026</v>
      </c>
      <c r="C263" s="4">
        <v>-0.19980000000000001</v>
      </c>
      <c r="D263" s="4">
        <v>-0.7117</v>
      </c>
      <c r="E263" s="22">
        <f t="shared" si="12"/>
        <v>-0.7147</v>
      </c>
      <c r="F263">
        <f t="shared" si="13"/>
        <v>-9.2352209398021246E-2</v>
      </c>
      <c r="G263">
        <f t="shared" si="14"/>
        <v>-0.10744779060197876</v>
      </c>
    </row>
    <row r="264" spans="1:7" x14ac:dyDescent="0.25">
      <c r="A264" s="2" t="s">
        <v>10</v>
      </c>
      <c r="B264" s="3">
        <v>42027</v>
      </c>
      <c r="C264" s="4">
        <v>0.995</v>
      </c>
      <c r="D264" s="4">
        <v>3.5091000000000001</v>
      </c>
      <c r="E264" s="22">
        <f t="shared" si="12"/>
        <v>3.5061</v>
      </c>
      <c r="F264">
        <f t="shared" si="13"/>
        <v>0.48892971327792439</v>
      </c>
      <c r="G264">
        <f t="shared" si="14"/>
        <v>0.50607028672207566</v>
      </c>
    </row>
    <row r="265" spans="1:7" x14ac:dyDescent="0.25">
      <c r="A265" s="2" t="s">
        <v>10</v>
      </c>
      <c r="B265" s="3">
        <v>42030</v>
      </c>
      <c r="C265" s="4">
        <v>0.1978</v>
      </c>
      <c r="D265" s="4">
        <v>0</v>
      </c>
      <c r="E265" s="22">
        <f t="shared" si="12"/>
        <v>-3.0000000000000001E-3</v>
      </c>
      <c r="F265">
        <f t="shared" si="13"/>
        <v>5.6619927362827945E-3</v>
      </c>
      <c r="G265">
        <f t="shared" si="14"/>
        <v>0.19213800726371721</v>
      </c>
    </row>
    <row r="266" spans="1:7" x14ac:dyDescent="0.25">
      <c r="A266" s="2" t="s">
        <v>10</v>
      </c>
      <c r="B266" s="3">
        <v>42031</v>
      </c>
      <c r="C266" s="4">
        <v>0</v>
      </c>
      <c r="D266" s="4">
        <v>1.3698999999999999</v>
      </c>
      <c r="E266" s="22">
        <f t="shared" si="12"/>
        <v>1.3669</v>
      </c>
      <c r="F266">
        <f t="shared" si="13"/>
        <v>0.19432246133791706</v>
      </c>
      <c r="G266">
        <f t="shared" si="14"/>
        <v>-0.19432246133791706</v>
      </c>
    </row>
    <row r="267" spans="1:7" x14ac:dyDescent="0.25">
      <c r="A267" s="2" t="s">
        <v>10</v>
      </c>
      <c r="B267" s="3">
        <v>42032</v>
      </c>
      <c r="C267" s="4">
        <v>0.98329999999999995</v>
      </c>
      <c r="D267" s="4">
        <v>-0.3407</v>
      </c>
      <c r="E267" s="22">
        <f t="shared" si="12"/>
        <v>-0.34370000000000001</v>
      </c>
      <c r="F267">
        <f t="shared" si="13"/>
        <v>-4.125867421209066E-2</v>
      </c>
      <c r="G267">
        <f t="shared" si="14"/>
        <v>1.0245586742120907</v>
      </c>
    </row>
    <row r="268" spans="1:7" x14ac:dyDescent="0.25">
      <c r="A268" s="2" t="s">
        <v>10</v>
      </c>
      <c r="B268" s="3">
        <v>42033</v>
      </c>
      <c r="C268" s="4">
        <v>0.19550000000000001</v>
      </c>
      <c r="D268" s="4">
        <v>-2.069</v>
      </c>
      <c r="E268" s="22">
        <f t="shared" si="12"/>
        <v>-2.0720000000000001</v>
      </c>
      <c r="F268">
        <f t="shared" si="13"/>
        <v>-0.27927742586126542</v>
      </c>
      <c r="G268">
        <f t="shared" si="14"/>
        <v>0.47477742586126542</v>
      </c>
    </row>
    <row r="269" spans="1:7" x14ac:dyDescent="0.25">
      <c r="A269" s="2" t="s">
        <v>10</v>
      </c>
      <c r="B269" s="3">
        <v>42034</v>
      </c>
      <c r="C269" s="4">
        <v>0</v>
      </c>
      <c r="D269" s="4">
        <v>-1.7575000000000001</v>
      </c>
      <c r="E269" s="22">
        <f t="shared" si="12"/>
        <v>-1.7605</v>
      </c>
      <c r="F269">
        <f t="shared" si="13"/>
        <v>-0.23637813688439915</v>
      </c>
      <c r="G269">
        <f t="shared" si="14"/>
        <v>0.23637813688439915</v>
      </c>
    </row>
    <row r="270" spans="1:7" x14ac:dyDescent="0.25">
      <c r="A270" s="2" t="s">
        <v>10</v>
      </c>
      <c r="B270" s="3">
        <v>42037</v>
      </c>
      <c r="C270" s="4">
        <v>0.1951</v>
      </c>
      <c r="D270" s="4">
        <v>1.0582</v>
      </c>
      <c r="E270" s="22">
        <f t="shared" si="12"/>
        <v>1.0552000000000001</v>
      </c>
      <c r="F270">
        <f t="shared" si="13"/>
        <v>0.15139562867631448</v>
      </c>
      <c r="G270">
        <f t="shared" si="14"/>
        <v>4.3704371323685515E-2</v>
      </c>
    </row>
    <row r="271" spans="1:7" x14ac:dyDescent="0.25">
      <c r="A271" s="2" t="s">
        <v>10</v>
      </c>
      <c r="B271" s="3">
        <v>42038</v>
      </c>
      <c r="C271" s="4">
        <v>1.9306000000000001</v>
      </c>
      <c r="D271" s="4">
        <v>1.3937999999999999</v>
      </c>
      <c r="E271" s="22">
        <f t="shared" si="12"/>
        <v>1.3908</v>
      </c>
      <c r="F271">
        <f t="shared" si="13"/>
        <v>0.19761393166391097</v>
      </c>
      <c r="G271">
        <f t="shared" si="14"/>
        <v>1.7329860683360891</v>
      </c>
    </row>
    <row r="272" spans="1:7" x14ac:dyDescent="0.25">
      <c r="A272" s="2" t="s">
        <v>10</v>
      </c>
      <c r="B272" s="3">
        <v>42039</v>
      </c>
      <c r="C272" s="4">
        <v>0.57199999999999995</v>
      </c>
      <c r="D272" s="4">
        <v>1.0327</v>
      </c>
      <c r="E272" s="22">
        <f t="shared" si="12"/>
        <v>1.0297000000000001</v>
      </c>
      <c r="F272">
        <f t="shared" si="13"/>
        <v>0.14788380887242975</v>
      </c>
      <c r="G272">
        <f t="shared" si="14"/>
        <v>0.42411619112757021</v>
      </c>
    </row>
    <row r="273" spans="1:7" x14ac:dyDescent="0.25">
      <c r="A273" s="2" t="s">
        <v>10</v>
      </c>
      <c r="B273" s="3">
        <v>42040</v>
      </c>
      <c r="C273" s="4">
        <v>-0.38100000000000001</v>
      </c>
      <c r="D273" s="4">
        <v>-0.34310000000000002</v>
      </c>
      <c r="E273" s="22">
        <f t="shared" si="12"/>
        <v>-0.34610000000000002</v>
      </c>
      <c r="F273">
        <f t="shared" si="13"/>
        <v>-4.1589198428926867E-2</v>
      </c>
      <c r="G273">
        <f t="shared" si="14"/>
        <v>-0.33941080157107312</v>
      </c>
    </row>
    <row r="274" spans="1:7" x14ac:dyDescent="0.25">
      <c r="A274" s="2" t="s">
        <v>10</v>
      </c>
      <c r="B274" s="3">
        <v>42041</v>
      </c>
      <c r="C274" s="4">
        <v>-0.38240000000000002</v>
      </c>
      <c r="D274" s="4">
        <v>-1.7331000000000001</v>
      </c>
      <c r="E274" s="22">
        <f t="shared" si="12"/>
        <v>-1.7361</v>
      </c>
      <c r="F274">
        <f t="shared" si="13"/>
        <v>-0.23301780734656438</v>
      </c>
      <c r="G274">
        <f t="shared" si="14"/>
        <v>-0.14938219265343564</v>
      </c>
    </row>
    <row r="275" spans="1:7" x14ac:dyDescent="0.25">
      <c r="A275" s="2" t="s">
        <v>10</v>
      </c>
      <c r="B275" s="3">
        <v>42044</v>
      </c>
      <c r="C275" s="4">
        <v>-0.57640000000000002</v>
      </c>
      <c r="D275" s="4">
        <v>-0.70179999999999998</v>
      </c>
      <c r="E275" s="22">
        <f t="shared" si="12"/>
        <v>-0.70479999999999998</v>
      </c>
      <c r="F275">
        <f t="shared" si="13"/>
        <v>-9.0988797003571875E-2</v>
      </c>
      <c r="G275">
        <f t="shared" si="14"/>
        <v>-0.48541120299642815</v>
      </c>
    </row>
    <row r="276" spans="1:7" x14ac:dyDescent="0.25">
      <c r="A276" s="2" t="s">
        <v>10</v>
      </c>
      <c r="B276" s="3">
        <v>42045</v>
      </c>
      <c r="C276" s="4">
        <v>-0.57969999999999999</v>
      </c>
      <c r="D276" s="4">
        <v>0.35149999999999998</v>
      </c>
      <c r="E276" s="22">
        <f t="shared" si="12"/>
        <v>0.34849999999999998</v>
      </c>
      <c r="F276">
        <f t="shared" si="13"/>
        <v>5.4070018660419182E-2</v>
      </c>
      <c r="G276">
        <f t="shared" si="14"/>
        <v>-0.63377001866041915</v>
      </c>
    </row>
    <row r="277" spans="1:7" x14ac:dyDescent="0.25">
      <c r="A277" s="2" t="s">
        <v>10</v>
      </c>
      <c r="B277" s="3">
        <v>42046</v>
      </c>
      <c r="C277" s="4">
        <v>0</v>
      </c>
      <c r="D277" s="4">
        <v>3.7869999999999999</v>
      </c>
      <c r="E277" s="22">
        <f t="shared" si="12"/>
        <v>3.7839999999999998</v>
      </c>
      <c r="F277">
        <f t="shared" si="13"/>
        <v>0.52720166321908357</v>
      </c>
      <c r="G277">
        <f t="shared" si="14"/>
        <v>-0.52720166321908357</v>
      </c>
    </row>
    <row r="278" spans="1:7" x14ac:dyDescent="0.25">
      <c r="A278" s="2" t="s">
        <v>10</v>
      </c>
      <c r="B278" s="3">
        <v>42047</v>
      </c>
      <c r="C278" s="4">
        <v>0</v>
      </c>
      <c r="D278" s="4">
        <v>0.33729999999999999</v>
      </c>
      <c r="E278" s="22">
        <f t="shared" si="12"/>
        <v>0.33429999999999999</v>
      </c>
      <c r="F278">
        <f t="shared" si="13"/>
        <v>5.2114417044138286E-2</v>
      </c>
      <c r="G278">
        <f t="shared" si="14"/>
        <v>-5.2114417044138286E-2</v>
      </c>
    </row>
    <row r="279" spans="1:7" x14ac:dyDescent="0.25">
      <c r="A279" s="2" t="s">
        <v>10</v>
      </c>
      <c r="B279" s="3">
        <v>42048</v>
      </c>
      <c r="C279" s="4">
        <v>0.57969999999999999</v>
      </c>
      <c r="D279" s="4">
        <v>0</v>
      </c>
      <c r="E279" s="22">
        <f t="shared" si="12"/>
        <v>-3.0000000000000001E-3</v>
      </c>
      <c r="F279">
        <f t="shared" si="13"/>
        <v>5.6619927362827945E-3</v>
      </c>
      <c r="G279">
        <f t="shared" si="14"/>
        <v>0.57403800726371723</v>
      </c>
    </row>
    <row r="280" spans="1:7" x14ac:dyDescent="0.25">
      <c r="A280" s="2" t="s">
        <v>10</v>
      </c>
      <c r="B280" s="3">
        <v>42059</v>
      </c>
      <c r="C280" s="4">
        <v>0.3846</v>
      </c>
      <c r="D280" s="4">
        <v>1.6695</v>
      </c>
      <c r="E280" s="22">
        <f t="shared" si="12"/>
        <v>1.6665000000000001</v>
      </c>
      <c r="F280">
        <f t="shared" si="13"/>
        <v>0.23558290107297045</v>
      </c>
      <c r="G280">
        <f t="shared" si="14"/>
        <v>0.14901709892702955</v>
      </c>
    </row>
    <row r="281" spans="1:7" x14ac:dyDescent="0.25">
      <c r="A281" s="2" t="s">
        <v>10</v>
      </c>
      <c r="B281" s="3">
        <v>42060</v>
      </c>
      <c r="C281" s="4">
        <v>-0.19209999999999999</v>
      </c>
      <c r="D281" s="4">
        <v>2.2913999999999999</v>
      </c>
      <c r="E281" s="22">
        <f t="shared" si="12"/>
        <v>2.2883999999999998</v>
      </c>
      <c r="F281">
        <f t="shared" si="13"/>
        <v>0.32122998876065295</v>
      </c>
      <c r="G281">
        <f t="shared" si="14"/>
        <v>-0.51332998876065294</v>
      </c>
    </row>
    <row r="282" spans="1:7" x14ac:dyDescent="0.25">
      <c r="A282" s="2" t="s">
        <v>10</v>
      </c>
      <c r="B282" s="3">
        <v>42061</v>
      </c>
      <c r="C282" s="4">
        <v>0</v>
      </c>
      <c r="D282" s="4">
        <v>-2.6231</v>
      </c>
      <c r="E282" s="22">
        <f t="shared" si="12"/>
        <v>-2.6261000000000001</v>
      </c>
      <c r="F282">
        <f t="shared" si="13"/>
        <v>-0.35558720442332509</v>
      </c>
      <c r="G282">
        <f t="shared" si="14"/>
        <v>0.35558720442332509</v>
      </c>
    </row>
    <row r="283" spans="1:7" x14ac:dyDescent="0.25">
      <c r="A283" s="2" t="s">
        <v>10</v>
      </c>
      <c r="B283" s="3">
        <v>42065</v>
      </c>
      <c r="C283" s="4">
        <v>0</v>
      </c>
      <c r="D283" s="4">
        <v>-1.0017</v>
      </c>
      <c r="E283" s="22">
        <f t="shared" si="12"/>
        <v>-1.0046999999999999</v>
      </c>
      <c r="F283">
        <f t="shared" si="13"/>
        <v>-0.13229055226572978</v>
      </c>
      <c r="G283">
        <f t="shared" si="14"/>
        <v>0.13229055226572978</v>
      </c>
    </row>
    <row r="284" spans="1:7" x14ac:dyDescent="0.25">
      <c r="A284" s="2" t="s">
        <v>10</v>
      </c>
      <c r="B284" s="3">
        <v>42066</v>
      </c>
      <c r="C284" s="4">
        <v>-0.1925</v>
      </c>
      <c r="D284" s="4">
        <v>1.0017</v>
      </c>
      <c r="E284" s="22">
        <f t="shared" si="12"/>
        <v>0.99870000000000003</v>
      </c>
      <c r="F284">
        <f t="shared" si="13"/>
        <v>0.14361453773829538</v>
      </c>
      <c r="G284">
        <f t="shared" si="14"/>
        <v>-0.33611453773829536</v>
      </c>
    </row>
    <row r="285" spans="1:7" x14ac:dyDescent="0.25">
      <c r="A285" s="2" t="s">
        <v>10</v>
      </c>
      <c r="B285" s="3">
        <v>42067</v>
      </c>
      <c r="C285" s="4">
        <v>0.1925</v>
      </c>
      <c r="D285" s="4">
        <v>0</v>
      </c>
      <c r="E285" s="22">
        <f t="shared" si="12"/>
        <v>-3.0000000000000001E-3</v>
      </c>
      <c r="F285">
        <f t="shared" si="13"/>
        <v>5.6619927362827945E-3</v>
      </c>
      <c r="G285">
        <f t="shared" si="14"/>
        <v>0.18683800726371722</v>
      </c>
    </row>
    <row r="286" spans="1:7" x14ac:dyDescent="0.25">
      <c r="A286" s="2" t="s">
        <v>10</v>
      </c>
      <c r="B286" s="3">
        <v>42068</v>
      </c>
      <c r="C286" s="4">
        <v>2.4693000000000001</v>
      </c>
      <c r="D286" s="4">
        <v>-0.33279999999999998</v>
      </c>
      <c r="E286" s="22">
        <f t="shared" si="12"/>
        <v>-0.33579999999999999</v>
      </c>
      <c r="F286">
        <f t="shared" si="13"/>
        <v>-4.0170698665004799E-2</v>
      </c>
      <c r="G286">
        <f t="shared" si="14"/>
        <v>2.5094706986650048</v>
      </c>
    </row>
    <row r="287" spans="1:7" x14ac:dyDescent="0.25">
      <c r="A287" s="2" t="s">
        <v>10</v>
      </c>
      <c r="B287" s="3">
        <v>42069</v>
      </c>
      <c r="C287" s="4">
        <v>-0.56440000000000001</v>
      </c>
      <c r="D287" s="4">
        <v>-0.66890000000000005</v>
      </c>
      <c r="E287" s="22">
        <f t="shared" si="12"/>
        <v>-0.67190000000000005</v>
      </c>
      <c r="F287">
        <f t="shared" si="13"/>
        <v>-8.6457860864442196E-2</v>
      </c>
      <c r="G287">
        <f t="shared" si="14"/>
        <v>-0.47794213913555783</v>
      </c>
    </row>
    <row r="288" spans="1:7" x14ac:dyDescent="0.25">
      <c r="A288" s="2" t="s">
        <v>10</v>
      </c>
      <c r="B288" s="3">
        <v>42072</v>
      </c>
      <c r="C288" s="4">
        <v>2.0541999999999998</v>
      </c>
      <c r="D288" s="4">
        <v>-2.3769999999999998</v>
      </c>
      <c r="E288" s="22">
        <f t="shared" si="12"/>
        <v>-2.38</v>
      </c>
      <c r="F288">
        <f t="shared" si="13"/>
        <v>-0.3216947003552455</v>
      </c>
      <c r="G288">
        <f t="shared" si="14"/>
        <v>2.3758947003552455</v>
      </c>
    </row>
    <row r="289" spans="1:7" x14ac:dyDescent="0.25">
      <c r="A289" s="2" t="s">
        <v>10</v>
      </c>
      <c r="B289" s="3">
        <v>42073</v>
      </c>
      <c r="C289" s="4">
        <v>-0.55610000000000004</v>
      </c>
      <c r="D289" s="4">
        <v>-1.0363</v>
      </c>
      <c r="E289" s="22">
        <f t="shared" si="12"/>
        <v>-1.0392999999999999</v>
      </c>
      <c r="F289">
        <f t="shared" si="13"/>
        <v>-0.13705560972511846</v>
      </c>
      <c r="G289">
        <f t="shared" si="14"/>
        <v>-0.41904439027488161</v>
      </c>
    </row>
    <row r="290" spans="1:7" x14ac:dyDescent="0.25">
      <c r="A290" s="2" t="s">
        <v>10</v>
      </c>
      <c r="B290" s="3">
        <v>42074</v>
      </c>
      <c r="C290" s="4">
        <v>0.1857</v>
      </c>
      <c r="D290" s="4">
        <v>1.3793</v>
      </c>
      <c r="E290" s="22">
        <f t="shared" si="12"/>
        <v>1.3763000000000001</v>
      </c>
      <c r="F290">
        <f t="shared" si="13"/>
        <v>0.19561701452052555</v>
      </c>
      <c r="G290">
        <f t="shared" si="14"/>
        <v>-9.9170145205255411E-3</v>
      </c>
    </row>
    <row r="291" spans="1:7" x14ac:dyDescent="0.25">
      <c r="A291" s="2" t="s">
        <v>10</v>
      </c>
      <c r="B291" s="3">
        <v>42075</v>
      </c>
      <c r="C291" s="4">
        <v>-0.37169999999999997</v>
      </c>
      <c r="D291" s="4">
        <v>1.3606</v>
      </c>
      <c r="E291" s="22">
        <f t="shared" si="12"/>
        <v>1.3576000000000001</v>
      </c>
      <c r="F291">
        <f t="shared" si="13"/>
        <v>0.19304167999767677</v>
      </c>
      <c r="G291">
        <f t="shared" si="14"/>
        <v>-0.56474167999767677</v>
      </c>
    </row>
    <row r="292" spans="1:7" x14ac:dyDescent="0.25">
      <c r="A292" s="2" t="s">
        <v>10</v>
      </c>
      <c r="B292" s="3">
        <v>42076</v>
      </c>
      <c r="C292" s="4">
        <v>1.6620999999999999</v>
      </c>
      <c r="D292" s="4">
        <v>0.6734</v>
      </c>
      <c r="E292" s="22">
        <f t="shared" si="12"/>
        <v>0.6704</v>
      </c>
      <c r="F292">
        <f t="shared" si="13"/>
        <v>9.8401579243575676E-2</v>
      </c>
      <c r="G292">
        <f t="shared" si="14"/>
        <v>1.5636984207564242</v>
      </c>
    </row>
    <row r="293" spans="1:7" x14ac:dyDescent="0.25">
      <c r="A293" s="2" t="s">
        <v>10</v>
      </c>
      <c r="B293" s="3">
        <v>42079</v>
      </c>
      <c r="C293" s="4">
        <v>0.72989999999999999</v>
      </c>
      <c r="D293" s="4">
        <v>-2.0339999999999998</v>
      </c>
      <c r="E293" s="22">
        <f t="shared" si="12"/>
        <v>-2.0369999999999999</v>
      </c>
      <c r="F293">
        <f t="shared" si="13"/>
        <v>-0.27445728103240402</v>
      </c>
      <c r="G293">
        <f t="shared" si="14"/>
        <v>1.004357281032404</v>
      </c>
    </row>
    <row r="294" spans="1:7" x14ac:dyDescent="0.25">
      <c r="A294" s="2" t="s">
        <v>10</v>
      </c>
      <c r="B294" s="3">
        <v>42080</v>
      </c>
      <c r="C294" s="4">
        <v>-0.36430000000000001</v>
      </c>
      <c r="D294" s="4">
        <v>2.0339999999999998</v>
      </c>
      <c r="E294" s="22">
        <f t="shared" si="12"/>
        <v>2.0309999999999997</v>
      </c>
      <c r="F294">
        <f t="shared" si="13"/>
        <v>0.2857812665049696</v>
      </c>
      <c r="G294">
        <f t="shared" si="14"/>
        <v>-0.65008126650496956</v>
      </c>
    </row>
    <row r="295" spans="1:7" x14ac:dyDescent="0.25">
      <c r="A295" s="2" t="s">
        <v>10</v>
      </c>
      <c r="B295" s="3">
        <v>42081</v>
      </c>
      <c r="C295" s="4">
        <v>0</v>
      </c>
      <c r="D295" s="4">
        <v>2.9754</v>
      </c>
      <c r="E295" s="22">
        <f t="shared" si="12"/>
        <v>2.9723999999999999</v>
      </c>
      <c r="F295">
        <f t="shared" si="13"/>
        <v>0.41542939055897249</v>
      </c>
      <c r="G295">
        <f t="shared" si="14"/>
        <v>-0.41542939055897249</v>
      </c>
    </row>
    <row r="296" spans="1:7" x14ac:dyDescent="0.25">
      <c r="A296" s="2" t="s">
        <v>10</v>
      </c>
      <c r="B296" s="3">
        <v>42082</v>
      </c>
      <c r="C296" s="4">
        <v>1.2693000000000001</v>
      </c>
      <c r="D296" s="4">
        <v>0.32519999999999999</v>
      </c>
      <c r="E296" s="22">
        <f t="shared" si="12"/>
        <v>0.32219999999999999</v>
      </c>
      <c r="F296">
        <f t="shared" si="13"/>
        <v>5.0448024117589065E-2</v>
      </c>
      <c r="G296">
        <f t="shared" si="14"/>
        <v>1.218851975882411</v>
      </c>
    </row>
    <row r="297" spans="1:7" x14ac:dyDescent="0.25">
      <c r="A297" s="2" t="s">
        <v>10</v>
      </c>
      <c r="B297" s="3">
        <v>42083</v>
      </c>
      <c r="C297" s="4">
        <v>-0.54200000000000004</v>
      </c>
      <c r="D297" s="4">
        <v>0</v>
      </c>
      <c r="E297" s="22">
        <f t="shared" si="12"/>
        <v>-3.0000000000000001E-3</v>
      </c>
      <c r="F297">
        <f t="shared" si="13"/>
        <v>5.6619927362827945E-3</v>
      </c>
      <c r="G297">
        <f t="shared" si="14"/>
        <v>-0.5476619927362828</v>
      </c>
    </row>
    <row r="298" spans="1:7" x14ac:dyDescent="0.25">
      <c r="A298" s="2" t="s">
        <v>10</v>
      </c>
      <c r="B298" s="3">
        <v>42086</v>
      </c>
      <c r="C298" s="4">
        <v>1.0810999999999999</v>
      </c>
      <c r="D298" s="4">
        <v>-0.32519999999999999</v>
      </c>
      <c r="E298" s="22">
        <f t="shared" si="12"/>
        <v>-0.32819999999999999</v>
      </c>
      <c r="F298">
        <f t="shared" si="13"/>
        <v>-3.9124038645023472E-2</v>
      </c>
      <c r="G298">
        <f t="shared" si="14"/>
        <v>1.1202240386450235</v>
      </c>
    </row>
    <row r="299" spans="1:7" x14ac:dyDescent="0.25">
      <c r="A299" s="2" t="s">
        <v>10</v>
      </c>
      <c r="B299" s="3">
        <v>42087</v>
      </c>
      <c r="C299" s="4">
        <v>-0.90010000000000001</v>
      </c>
      <c r="D299" s="4">
        <v>-1.3115000000000001</v>
      </c>
      <c r="E299" s="22">
        <f t="shared" si="12"/>
        <v>-1.3145</v>
      </c>
      <c r="F299">
        <f t="shared" si="13"/>
        <v>-0.17495571992233705</v>
      </c>
      <c r="G299">
        <f t="shared" si="14"/>
        <v>-0.72514428007766296</v>
      </c>
    </row>
    <row r="300" spans="1:7" x14ac:dyDescent="0.25">
      <c r="A300" s="2" t="s">
        <v>10</v>
      </c>
      <c r="B300" s="3">
        <v>42088</v>
      </c>
      <c r="C300" s="4">
        <v>0</v>
      </c>
      <c r="D300" s="4">
        <v>-0.3306</v>
      </c>
      <c r="E300" s="22">
        <f t="shared" si="12"/>
        <v>-0.33360000000000001</v>
      </c>
      <c r="F300">
        <f t="shared" si="13"/>
        <v>-3.9867718132904947E-2</v>
      </c>
      <c r="G300">
        <f t="shared" si="14"/>
        <v>3.9867718132904947E-2</v>
      </c>
    </row>
    <row r="301" spans="1:7" x14ac:dyDescent="0.25">
      <c r="A301" s="2" t="s">
        <v>10</v>
      </c>
      <c r="B301" s="3">
        <v>42089</v>
      </c>
      <c r="C301" s="4">
        <v>0.72070000000000001</v>
      </c>
      <c r="D301" s="4">
        <v>-3.7103999999999999</v>
      </c>
      <c r="E301" s="22">
        <f t="shared" si="12"/>
        <v>-3.7134</v>
      </c>
      <c r="F301">
        <f t="shared" si="13"/>
        <v>-0.50532844649249586</v>
      </c>
      <c r="G301">
        <f t="shared" si="14"/>
        <v>1.2260284464924958</v>
      </c>
    </row>
    <row r="302" spans="1:7" x14ac:dyDescent="0.25">
      <c r="A302" s="2" t="s">
        <v>10</v>
      </c>
      <c r="B302" s="3">
        <v>42090</v>
      </c>
      <c r="C302" s="4">
        <v>-0.1797</v>
      </c>
      <c r="D302" s="4">
        <v>-2.0834000000000001</v>
      </c>
      <c r="E302" s="22">
        <f t="shared" si="12"/>
        <v>-2.0864000000000003</v>
      </c>
      <c r="F302">
        <f t="shared" si="13"/>
        <v>-0.2812605711622827</v>
      </c>
      <c r="G302">
        <f t="shared" si="14"/>
        <v>0.1015605711622827</v>
      </c>
    </row>
    <row r="303" spans="1:7" x14ac:dyDescent="0.25">
      <c r="A303" s="2" t="s">
        <v>10</v>
      </c>
      <c r="B303" s="3">
        <v>42093</v>
      </c>
      <c r="C303" s="4">
        <v>-1.085</v>
      </c>
      <c r="D303" s="4">
        <v>0</v>
      </c>
      <c r="E303" s="22">
        <f t="shared" si="12"/>
        <v>-3.0000000000000001E-3</v>
      </c>
      <c r="F303">
        <f t="shared" si="13"/>
        <v>5.6619927362827945E-3</v>
      </c>
      <c r="G303">
        <f t="shared" si="14"/>
        <v>-1.0906619927362828</v>
      </c>
    </row>
    <row r="304" spans="1:7" x14ac:dyDescent="0.25">
      <c r="A304" s="2" t="s">
        <v>10</v>
      </c>
      <c r="B304" s="3">
        <v>42094</v>
      </c>
      <c r="C304" s="4">
        <v>0.72460000000000002</v>
      </c>
      <c r="D304" s="4">
        <v>2.0834000000000001</v>
      </c>
      <c r="E304" s="22">
        <f t="shared" si="12"/>
        <v>2.0804</v>
      </c>
      <c r="F304">
        <f t="shared" si="13"/>
        <v>0.29258455663484828</v>
      </c>
      <c r="G304">
        <f t="shared" si="14"/>
        <v>0.43201544336515174</v>
      </c>
    </row>
    <row r="305" spans="1:7" x14ac:dyDescent="0.25">
      <c r="A305" s="2" t="s">
        <v>10</v>
      </c>
      <c r="B305" s="3">
        <v>42095</v>
      </c>
      <c r="C305" s="4">
        <v>-0.36170000000000002</v>
      </c>
      <c r="D305" s="4">
        <v>-1.0363</v>
      </c>
      <c r="E305" s="22">
        <f t="shared" si="12"/>
        <v>-1.0392999999999999</v>
      </c>
      <c r="F305">
        <f t="shared" si="13"/>
        <v>-0.13705560972511846</v>
      </c>
      <c r="G305">
        <f t="shared" si="14"/>
        <v>-0.22464439027488156</v>
      </c>
    </row>
    <row r="306" spans="1:7" x14ac:dyDescent="0.25">
      <c r="A306" s="2" t="s">
        <v>10</v>
      </c>
      <c r="B306" s="3">
        <v>42096</v>
      </c>
      <c r="C306" s="4">
        <v>1.0810999999999999</v>
      </c>
      <c r="D306" s="4">
        <v>2.0619000000000001</v>
      </c>
      <c r="E306" s="22">
        <f t="shared" si="12"/>
        <v>2.0589</v>
      </c>
      <c r="F306">
        <f t="shared" si="13"/>
        <v>0.28962361052569052</v>
      </c>
      <c r="G306">
        <f t="shared" si="14"/>
        <v>0.79147638947430943</v>
      </c>
    </row>
    <row r="307" spans="1:7" x14ac:dyDescent="0.25">
      <c r="A307" s="2" t="s">
        <v>10</v>
      </c>
      <c r="B307" s="3">
        <v>42101</v>
      </c>
      <c r="C307" s="4">
        <v>6.7557999999999998</v>
      </c>
      <c r="D307" s="4">
        <v>-0.68259999999999998</v>
      </c>
      <c r="E307" s="22">
        <f t="shared" si="12"/>
        <v>-0.68559999999999999</v>
      </c>
      <c r="F307">
        <f t="shared" si="13"/>
        <v>-8.8344603268882216E-2</v>
      </c>
      <c r="G307">
        <f t="shared" si="14"/>
        <v>6.844144603268882</v>
      </c>
    </row>
    <row r="308" spans="1:7" x14ac:dyDescent="0.25">
      <c r="A308" s="2" t="s">
        <v>10</v>
      </c>
      <c r="B308" s="3">
        <v>42102</v>
      </c>
      <c r="C308" s="4">
        <v>2.1541999999999999</v>
      </c>
      <c r="D308" s="4">
        <v>-2.0762</v>
      </c>
      <c r="E308" s="22">
        <f t="shared" si="12"/>
        <v>-2.0792000000000002</v>
      </c>
      <c r="F308">
        <f t="shared" si="13"/>
        <v>-0.28026899851177406</v>
      </c>
      <c r="G308">
        <f t="shared" si="14"/>
        <v>2.434468998511774</v>
      </c>
    </row>
    <row r="309" spans="1:7" x14ac:dyDescent="0.25">
      <c r="A309" s="2" t="s">
        <v>10</v>
      </c>
      <c r="B309" s="3">
        <v>42103</v>
      </c>
      <c r="C309" s="4">
        <v>-0.32840000000000003</v>
      </c>
      <c r="D309" s="4">
        <v>0</v>
      </c>
      <c r="E309" s="22">
        <f t="shared" si="12"/>
        <v>-3.0000000000000001E-3</v>
      </c>
      <c r="F309">
        <f t="shared" si="13"/>
        <v>5.6619927362827945E-3</v>
      </c>
      <c r="G309">
        <f t="shared" si="14"/>
        <v>-0.33406199273628284</v>
      </c>
    </row>
    <row r="310" spans="1:7" x14ac:dyDescent="0.25">
      <c r="A310" s="2" t="s">
        <v>10</v>
      </c>
      <c r="B310" s="3">
        <v>42104</v>
      </c>
      <c r="C310" s="4">
        <v>0.81899999999999995</v>
      </c>
      <c r="D310" s="4">
        <v>2.7587999999999999</v>
      </c>
      <c r="E310" s="22">
        <f t="shared" si="12"/>
        <v>2.7557999999999998</v>
      </c>
      <c r="F310">
        <f t="shared" si="13"/>
        <v>0.38559957998950461</v>
      </c>
      <c r="G310">
        <f t="shared" si="14"/>
        <v>0.43340042001049534</v>
      </c>
    </row>
    <row r="311" spans="1:7" x14ac:dyDescent="0.25">
      <c r="A311" s="2" t="s">
        <v>10</v>
      </c>
      <c r="B311" s="3">
        <v>42107</v>
      </c>
      <c r="C311" s="4">
        <v>2.2582</v>
      </c>
      <c r="D311" s="4">
        <v>0</v>
      </c>
      <c r="E311" s="22">
        <f t="shared" si="12"/>
        <v>-3.0000000000000001E-3</v>
      </c>
      <c r="F311">
        <f t="shared" si="13"/>
        <v>5.6619927362827945E-3</v>
      </c>
      <c r="G311">
        <f t="shared" si="14"/>
        <v>2.2525380072637171</v>
      </c>
    </row>
    <row r="312" spans="1:7" x14ac:dyDescent="0.25">
      <c r="A312" s="2" t="s">
        <v>10</v>
      </c>
      <c r="B312" s="3">
        <v>42108</v>
      </c>
      <c r="C312" s="4">
        <v>-0.80059999999999998</v>
      </c>
      <c r="D312" s="4">
        <v>-2.0619000000000001</v>
      </c>
      <c r="E312" s="22">
        <f t="shared" si="12"/>
        <v>-2.0649000000000002</v>
      </c>
      <c r="F312">
        <f t="shared" si="13"/>
        <v>-0.278299625053125</v>
      </c>
      <c r="G312">
        <f t="shared" si="14"/>
        <v>-0.52230037494687498</v>
      </c>
    </row>
    <row r="313" spans="1:7" x14ac:dyDescent="0.25">
      <c r="A313" s="2" t="s">
        <v>10</v>
      </c>
      <c r="B313" s="3">
        <v>42109</v>
      </c>
      <c r="C313" s="4">
        <v>-0.96930000000000005</v>
      </c>
      <c r="D313" s="4">
        <v>-0.69689999999999996</v>
      </c>
      <c r="E313" s="22">
        <f t="shared" si="12"/>
        <v>-0.69989999999999997</v>
      </c>
      <c r="F313">
        <f t="shared" si="13"/>
        <v>-9.0313976727531289E-2</v>
      </c>
      <c r="G313">
        <f t="shared" si="14"/>
        <v>-0.87898602327246877</v>
      </c>
    </row>
    <row r="314" spans="1:7" x14ac:dyDescent="0.25">
      <c r="A314" s="2" t="s">
        <v>10</v>
      </c>
      <c r="B314" s="3">
        <v>42110</v>
      </c>
      <c r="C314" s="4">
        <v>0.80840000000000001</v>
      </c>
      <c r="D314" s="4">
        <v>2.7587999999999999</v>
      </c>
      <c r="E314" s="22">
        <f t="shared" si="12"/>
        <v>2.7557999999999998</v>
      </c>
      <c r="F314">
        <f t="shared" si="13"/>
        <v>0.38559957998950461</v>
      </c>
      <c r="G314">
        <f t="shared" si="14"/>
        <v>0.42280042001049539</v>
      </c>
    </row>
    <row r="315" spans="1:7" x14ac:dyDescent="0.25">
      <c r="A315" s="2" t="s">
        <v>10</v>
      </c>
      <c r="B315" s="3">
        <v>42111</v>
      </c>
      <c r="C315" s="4">
        <v>0.6421</v>
      </c>
      <c r="D315" s="4">
        <v>-3.1091000000000002</v>
      </c>
      <c r="E315" s="22">
        <f t="shared" si="12"/>
        <v>-3.1121000000000003</v>
      </c>
      <c r="F315">
        <f t="shared" si="13"/>
        <v>-0.42251835833265738</v>
      </c>
      <c r="G315">
        <f t="shared" si="14"/>
        <v>1.0646183583326574</v>
      </c>
    </row>
    <row r="316" spans="1:7" x14ac:dyDescent="0.25">
      <c r="A316" s="2" t="s">
        <v>10</v>
      </c>
      <c r="B316" s="3">
        <v>42114</v>
      </c>
      <c r="C316" s="4">
        <v>-3.4177</v>
      </c>
      <c r="D316" s="4">
        <v>0.3503</v>
      </c>
      <c r="E316" s="22">
        <f t="shared" si="12"/>
        <v>0.3473</v>
      </c>
      <c r="F316">
        <f t="shared" si="13"/>
        <v>5.3904756552001082E-2</v>
      </c>
      <c r="G316">
        <f t="shared" si="14"/>
        <v>-3.4716047565520012</v>
      </c>
    </row>
    <row r="317" spans="1:7" x14ac:dyDescent="0.25">
      <c r="A317" s="2" t="s">
        <v>10</v>
      </c>
      <c r="B317" s="3">
        <v>42115</v>
      </c>
      <c r="C317" s="4">
        <v>-2.5148000000000001</v>
      </c>
      <c r="D317" s="4">
        <v>-0.3503</v>
      </c>
      <c r="E317" s="22">
        <f t="shared" si="12"/>
        <v>-0.3533</v>
      </c>
      <c r="F317">
        <f t="shared" si="13"/>
        <v>-4.2580771079435489E-2</v>
      </c>
      <c r="G317">
        <f t="shared" si="14"/>
        <v>-2.4722192289205647</v>
      </c>
    </row>
    <row r="318" spans="1:7" x14ac:dyDescent="0.25">
      <c r="A318" s="2" t="s">
        <v>10</v>
      </c>
      <c r="B318" s="3">
        <v>42116</v>
      </c>
      <c r="C318" s="4">
        <v>3.0103</v>
      </c>
      <c r="D318" s="4">
        <v>0.69930000000000003</v>
      </c>
      <c r="E318" s="22">
        <f t="shared" si="12"/>
        <v>0.69630000000000003</v>
      </c>
      <c r="F318">
        <f t="shared" si="13"/>
        <v>0.1019684864169331</v>
      </c>
      <c r="G318">
        <f t="shared" si="14"/>
        <v>2.9083315135830667</v>
      </c>
    </row>
    <row r="319" spans="1:7" x14ac:dyDescent="0.25">
      <c r="A319" s="2" t="s">
        <v>10</v>
      </c>
      <c r="B319" s="3">
        <v>42117</v>
      </c>
      <c r="C319" s="4">
        <v>-0.33</v>
      </c>
      <c r="D319" s="4">
        <v>2.4098000000000002</v>
      </c>
      <c r="E319" s="22">
        <f t="shared" si="12"/>
        <v>2.4068000000000001</v>
      </c>
      <c r="F319">
        <f t="shared" si="13"/>
        <v>0.33753585012457266</v>
      </c>
      <c r="G319">
        <f t="shared" si="14"/>
        <v>-0.66753585012457273</v>
      </c>
    </row>
    <row r="320" spans="1:7" x14ac:dyDescent="0.25">
      <c r="A320" s="2" t="s">
        <v>10</v>
      </c>
      <c r="B320" s="3">
        <v>42118</v>
      </c>
      <c r="C320" s="4">
        <v>0.33</v>
      </c>
      <c r="D320" s="4">
        <v>3.6732</v>
      </c>
      <c r="E320" s="22">
        <f t="shared" si="12"/>
        <v>3.6701999999999999</v>
      </c>
      <c r="F320">
        <f t="shared" si="13"/>
        <v>0.51152930660410012</v>
      </c>
      <c r="G320">
        <f t="shared" si="14"/>
        <v>-0.1815293066041001</v>
      </c>
    </row>
    <row r="321" spans="1:7" x14ac:dyDescent="0.25">
      <c r="A321" s="2" t="s">
        <v>10</v>
      </c>
      <c r="B321" s="3">
        <v>42121</v>
      </c>
      <c r="C321" s="4">
        <v>0.1646</v>
      </c>
      <c r="D321" s="4">
        <v>-0.65790000000000004</v>
      </c>
      <c r="E321" s="22">
        <f t="shared" si="12"/>
        <v>-0.66090000000000004</v>
      </c>
      <c r="F321">
        <f t="shared" si="13"/>
        <v>-8.4942958203942903E-2</v>
      </c>
      <c r="G321">
        <f t="shared" si="14"/>
        <v>0.2495429582039429</v>
      </c>
    </row>
    <row r="322" spans="1:7" x14ac:dyDescent="0.25">
      <c r="A322" s="2" t="s">
        <v>10</v>
      </c>
      <c r="B322" s="3">
        <v>42122</v>
      </c>
      <c r="C322" s="4">
        <v>0.1643</v>
      </c>
      <c r="D322" s="4">
        <v>0</v>
      </c>
      <c r="E322" s="22">
        <f t="shared" si="12"/>
        <v>-3.0000000000000001E-3</v>
      </c>
      <c r="F322">
        <f t="shared" si="13"/>
        <v>5.6619927362827945E-3</v>
      </c>
      <c r="G322">
        <f t="shared" si="14"/>
        <v>0.15863800726371721</v>
      </c>
    </row>
    <row r="323" spans="1:7" x14ac:dyDescent="0.25">
      <c r="A323" s="2" t="s">
        <v>10</v>
      </c>
      <c r="B323" s="3">
        <v>42123</v>
      </c>
      <c r="C323" s="4">
        <v>-0.32890000000000003</v>
      </c>
      <c r="D323" s="4">
        <v>-2.0001000000000002</v>
      </c>
      <c r="E323" s="22">
        <f t="shared" ref="E323:E386" si="15">D323-$L$1</f>
        <v>-2.0031000000000003</v>
      </c>
      <c r="F323">
        <f t="shared" ref="F323:F386" si="16">L$2+L$3*E323</f>
        <v>-0.26978862646959262</v>
      </c>
      <c r="G323">
        <f t="shared" ref="G323:G386" si="17">C323-F323</f>
        <v>-5.9111373530407407E-2</v>
      </c>
    </row>
    <row r="324" spans="1:7" x14ac:dyDescent="0.25">
      <c r="A324" s="2" t="s">
        <v>10</v>
      </c>
      <c r="B324" s="3">
        <v>42124</v>
      </c>
      <c r="C324" s="4">
        <v>2.7622</v>
      </c>
      <c r="D324" s="4">
        <v>-1.0152000000000001</v>
      </c>
      <c r="E324" s="22">
        <f t="shared" si="15"/>
        <v>-1.0182</v>
      </c>
      <c r="F324">
        <f t="shared" si="16"/>
        <v>-0.13414975098543347</v>
      </c>
      <c r="G324">
        <f t="shared" si="17"/>
        <v>2.8963497509854337</v>
      </c>
    </row>
    <row r="325" spans="1:7" x14ac:dyDescent="0.25">
      <c r="A325" s="2" t="s">
        <v>10</v>
      </c>
      <c r="B325" s="3">
        <v>42128</v>
      </c>
      <c r="C325" s="4">
        <v>-0.96619999999999995</v>
      </c>
      <c r="D325" s="4">
        <v>0.33960000000000001</v>
      </c>
      <c r="E325" s="22">
        <f t="shared" si="15"/>
        <v>0.33660000000000001</v>
      </c>
      <c r="F325">
        <f t="shared" si="16"/>
        <v>5.2431169418606323E-2</v>
      </c>
      <c r="G325">
        <f t="shared" si="17"/>
        <v>-1.0186311694186063</v>
      </c>
    </row>
    <row r="326" spans="1:7" x14ac:dyDescent="0.25">
      <c r="A326" s="2" t="s">
        <v>10</v>
      </c>
      <c r="B326" s="3">
        <v>42129</v>
      </c>
      <c r="C326" s="4">
        <v>-0.81240000000000001</v>
      </c>
      <c r="D326" s="4">
        <v>-0.33960000000000001</v>
      </c>
      <c r="E326" s="22">
        <f t="shared" si="15"/>
        <v>-0.34260000000000002</v>
      </c>
      <c r="F326">
        <f t="shared" si="16"/>
        <v>-4.110718394604073E-2</v>
      </c>
      <c r="G326">
        <f t="shared" si="17"/>
        <v>-0.77129281605395927</v>
      </c>
    </row>
    <row r="327" spans="1:7" x14ac:dyDescent="0.25">
      <c r="A327" s="2" t="s">
        <v>10</v>
      </c>
      <c r="B327" s="3">
        <v>42130</v>
      </c>
      <c r="C327" s="4">
        <v>0.48820000000000002</v>
      </c>
      <c r="D327" s="4">
        <v>0.33960000000000001</v>
      </c>
      <c r="E327" s="22">
        <f t="shared" si="15"/>
        <v>0.33660000000000001</v>
      </c>
      <c r="F327">
        <f t="shared" si="16"/>
        <v>5.2431169418606323E-2</v>
      </c>
      <c r="G327">
        <f t="shared" si="17"/>
        <v>0.43576883058139371</v>
      </c>
    </row>
    <row r="328" spans="1:7" x14ac:dyDescent="0.25">
      <c r="A328" s="2" t="s">
        <v>10</v>
      </c>
      <c r="B328" s="3">
        <v>42131</v>
      </c>
      <c r="C328" s="4">
        <v>-1.4718</v>
      </c>
      <c r="D328" s="4">
        <v>-0.68030000000000002</v>
      </c>
      <c r="E328" s="22">
        <f t="shared" si="15"/>
        <v>-0.68330000000000002</v>
      </c>
      <c r="F328">
        <f t="shared" si="16"/>
        <v>-8.8027850894414186E-2</v>
      </c>
      <c r="G328">
        <f t="shared" si="17"/>
        <v>-1.3837721491055859</v>
      </c>
    </row>
    <row r="329" spans="1:7" x14ac:dyDescent="0.25">
      <c r="A329" s="2" t="s">
        <v>10</v>
      </c>
      <c r="B329" s="3">
        <v>42132</v>
      </c>
      <c r="C329" s="4">
        <v>-1.8288</v>
      </c>
      <c r="D329" s="4">
        <v>0</v>
      </c>
      <c r="E329" s="22">
        <f t="shared" si="15"/>
        <v>-3.0000000000000001E-3</v>
      </c>
      <c r="F329">
        <f t="shared" si="16"/>
        <v>5.6619927362827945E-3</v>
      </c>
      <c r="G329">
        <f t="shared" si="17"/>
        <v>-1.8344619927362829</v>
      </c>
    </row>
    <row r="330" spans="1:7" x14ac:dyDescent="0.25">
      <c r="A330" s="2" t="s">
        <v>10</v>
      </c>
      <c r="B330" s="3">
        <v>42135</v>
      </c>
      <c r="C330" s="4">
        <v>0.33500000000000002</v>
      </c>
      <c r="D330" s="4">
        <v>1.3560000000000001</v>
      </c>
      <c r="E330" s="22">
        <f t="shared" si="15"/>
        <v>1.3530000000000002</v>
      </c>
      <c r="F330">
        <f t="shared" si="16"/>
        <v>0.19240817524874071</v>
      </c>
      <c r="G330">
        <f t="shared" si="17"/>
        <v>0.14259182475125931</v>
      </c>
    </row>
    <row r="331" spans="1:7" x14ac:dyDescent="0.25">
      <c r="A331" s="2" t="s">
        <v>10</v>
      </c>
      <c r="B331" s="3">
        <v>42136</v>
      </c>
      <c r="C331" s="4">
        <v>0.99829999999999997</v>
      </c>
      <c r="D331" s="4">
        <v>-0.67569999999999997</v>
      </c>
      <c r="E331" s="22">
        <f t="shared" si="15"/>
        <v>-0.67869999999999997</v>
      </c>
      <c r="F331">
        <f t="shared" si="16"/>
        <v>-8.7394346145478113E-2</v>
      </c>
      <c r="G331">
        <f t="shared" si="17"/>
        <v>1.085694346145478</v>
      </c>
    </row>
    <row r="332" spans="1:7" x14ac:dyDescent="0.25">
      <c r="A332" s="2" t="s">
        <v>10</v>
      </c>
      <c r="B332" s="3">
        <v>42137</v>
      </c>
      <c r="C332" s="4">
        <v>1.3158000000000001</v>
      </c>
      <c r="D332" s="4">
        <v>0.33839999999999998</v>
      </c>
      <c r="E332" s="22">
        <f t="shared" si="15"/>
        <v>0.33539999999999998</v>
      </c>
      <c r="F332">
        <f t="shared" si="16"/>
        <v>5.2265907310188216E-2</v>
      </c>
      <c r="G332">
        <f t="shared" si="17"/>
        <v>1.2635340926898118</v>
      </c>
    </row>
    <row r="333" spans="1:7" x14ac:dyDescent="0.25">
      <c r="A333" s="2" t="s">
        <v>10</v>
      </c>
      <c r="B333" s="3">
        <v>42138</v>
      </c>
      <c r="C333" s="4">
        <v>0.81369999999999998</v>
      </c>
      <c r="D333" s="4">
        <v>-1.3606</v>
      </c>
      <c r="E333" s="22">
        <f t="shared" si="15"/>
        <v>-1.3635999999999999</v>
      </c>
      <c r="F333">
        <f t="shared" si="16"/>
        <v>-0.18171769452511113</v>
      </c>
      <c r="G333">
        <f t="shared" si="17"/>
        <v>0.99541769452511109</v>
      </c>
    </row>
    <row r="334" spans="1:7" x14ac:dyDescent="0.25">
      <c r="A334" s="2" t="s">
        <v>10</v>
      </c>
      <c r="B334" s="3">
        <v>42139</v>
      </c>
      <c r="C334" s="4">
        <v>-0.16220000000000001</v>
      </c>
      <c r="D334" s="4">
        <v>0.34189999999999998</v>
      </c>
      <c r="E334" s="22">
        <f t="shared" si="15"/>
        <v>0.33889999999999998</v>
      </c>
      <c r="F334">
        <f t="shared" si="16"/>
        <v>5.2747921793074352E-2</v>
      </c>
      <c r="G334">
        <f t="shared" si="17"/>
        <v>-0.21494792179307437</v>
      </c>
    </row>
    <row r="335" spans="1:7" x14ac:dyDescent="0.25">
      <c r="A335" s="2" t="s">
        <v>10</v>
      </c>
      <c r="B335" s="3">
        <v>42142</v>
      </c>
      <c r="C335" s="4">
        <v>0.48580000000000001</v>
      </c>
      <c r="D335" s="4">
        <v>0</v>
      </c>
      <c r="E335" s="22">
        <f t="shared" si="15"/>
        <v>-3.0000000000000001E-3</v>
      </c>
      <c r="F335">
        <f t="shared" si="16"/>
        <v>5.6619927362827945E-3</v>
      </c>
      <c r="G335">
        <f t="shared" si="17"/>
        <v>0.48013800726371719</v>
      </c>
    </row>
    <row r="336" spans="1:7" x14ac:dyDescent="0.25">
      <c r="A336" s="2" t="s">
        <v>10</v>
      </c>
      <c r="B336" s="3">
        <v>42143</v>
      </c>
      <c r="C336" s="4">
        <v>5.3472</v>
      </c>
      <c r="D336" s="4">
        <v>0</v>
      </c>
      <c r="E336" s="22">
        <f t="shared" si="15"/>
        <v>-3.0000000000000001E-3</v>
      </c>
      <c r="F336">
        <f t="shared" si="16"/>
        <v>5.6619927362827945E-3</v>
      </c>
      <c r="G336">
        <f t="shared" si="17"/>
        <v>5.3415380072637175</v>
      </c>
    </row>
    <row r="337" spans="1:7" x14ac:dyDescent="0.25">
      <c r="A337" s="2" t="s">
        <v>10</v>
      </c>
      <c r="B337" s="3">
        <v>42144</v>
      </c>
      <c r="C337" s="4">
        <v>-0.15329999999999999</v>
      </c>
      <c r="D337" s="4">
        <v>0</v>
      </c>
      <c r="E337" s="22">
        <f t="shared" si="15"/>
        <v>-3.0000000000000001E-3</v>
      </c>
      <c r="F337">
        <f t="shared" si="16"/>
        <v>5.6619927362827945E-3</v>
      </c>
      <c r="G337">
        <f t="shared" si="17"/>
        <v>-0.15896199273628278</v>
      </c>
    </row>
    <row r="338" spans="1:7" x14ac:dyDescent="0.25">
      <c r="A338" s="2" t="s">
        <v>10</v>
      </c>
      <c r="B338" s="3">
        <v>42145</v>
      </c>
      <c r="C338" s="4">
        <v>2.2745000000000002</v>
      </c>
      <c r="D338" s="4">
        <v>-0.68489999999999995</v>
      </c>
      <c r="E338" s="22">
        <f t="shared" si="15"/>
        <v>-0.68789999999999996</v>
      </c>
      <c r="F338">
        <f t="shared" si="16"/>
        <v>-8.8661355643350245E-2</v>
      </c>
      <c r="G338">
        <f t="shared" si="17"/>
        <v>2.3631613556433506</v>
      </c>
    </row>
    <row r="339" spans="1:7" x14ac:dyDescent="0.25">
      <c r="A339" s="2" t="s">
        <v>10</v>
      </c>
      <c r="B339" s="3">
        <v>42146</v>
      </c>
      <c r="C339" s="4">
        <v>-0.30030000000000001</v>
      </c>
      <c r="D339" s="4">
        <v>0</v>
      </c>
      <c r="E339" s="22">
        <f t="shared" si="15"/>
        <v>-3.0000000000000001E-3</v>
      </c>
      <c r="F339">
        <f t="shared" si="16"/>
        <v>5.6619927362827945E-3</v>
      </c>
      <c r="G339">
        <f t="shared" si="17"/>
        <v>-0.30596199273628283</v>
      </c>
    </row>
    <row r="340" spans="1:7" x14ac:dyDescent="0.25">
      <c r="A340" s="2" t="s">
        <v>10</v>
      </c>
      <c r="B340" s="3">
        <v>42149</v>
      </c>
      <c r="C340" s="4">
        <v>-1.6679999999999999</v>
      </c>
      <c r="D340" s="4">
        <v>1.3652</v>
      </c>
      <c r="E340" s="22">
        <f t="shared" si="15"/>
        <v>1.3622000000000001</v>
      </c>
      <c r="F340">
        <f t="shared" si="16"/>
        <v>0.19367518474661283</v>
      </c>
      <c r="G340">
        <f t="shared" si="17"/>
        <v>-1.8616751847466126</v>
      </c>
    </row>
    <row r="341" spans="1:7" x14ac:dyDescent="0.25">
      <c r="A341" s="2" t="s">
        <v>10</v>
      </c>
      <c r="B341" s="3">
        <v>42150</v>
      </c>
      <c r="C341" s="4">
        <v>-1.3856999999999999</v>
      </c>
      <c r="D341" s="4">
        <v>-0.68030000000000002</v>
      </c>
      <c r="E341" s="22">
        <f t="shared" si="15"/>
        <v>-0.68330000000000002</v>
      </c>
      <c r="F341">
        <f t="shared" si="16"/>
        <v>-8.8027850894414186E-2</v>
      </c>
      <c r="G341">
        <f t="shared" si="17"/>
        <v>-1.2976721491055858</v>
      </c>
    </row>
    <row r="342" spans="1:7" x14ac:dyDescent="0.25">
      <c r="A342" s="2" t="s">
        <v>10</v>
      </c>
      <c r="B342" s="3">
        <v>42151</v>
      </c>
      <c r="C342" s="4">
        <v>3.3540000000000001</v>
      </c>
      <c r="D342" s="4">
        <v>-1.0291999999999999</v>
      </c>
      <c r="E342" s="22">
        <f t="shared" si="15"/>
        <v>-1.0321999999999998</v>
      </c>
      <c r="F342">
        <f t="shared" si="16"/>
        <v>-0.13607780891697799</v>
      </c>
      <c r="G342">
        <f t="shared" si="17"/>
        <v>3.4900778089169782</v>
      </c>
    </row>
    <row r="343" spans="1:7" x14ac:dyDescent="0.25">
      <c r="A343" s="2" t="s">
        <v>10</v>
      </c>
      <c r="B343" s="3">
        <v>42152</v>
      </c>
      <c r="C343" s="4">
        <v>-0.45079999999999998</v>
      </c>
      <c r="D343" s="4">
        <v>1.3698999999999999</v>
      </c>
      <c r="E343" s="22">
        <f t="shared" si="15"/>
        <v>1.3669</v>
      </c>
      <c r="F343">
        <f t="shared" si="16"/>
        <v>0.19432246133791706</v>
      </c>
      <c r="G343">
        <f t="shared" si="17"/>
        <v>-0.64512246133791706</v>
      </c>
    </row>
    <row r="344" spans="1:7" x14ac:dyDescent="0.25">
      <c r="A344" s="2" t="s">
        <v>10</v>
      </c>
      <c r="B344" s="3">
        <v>42153</v>
      </c>
      <c r="C344" s="4">
        <v>1.7910999999999999</v>
      </c>
      <c r="D344" s="4">
        <v>-0.68259999999999998</v>
      </c>
      <c r="E344" s="22">
        <f t="shared" si="15"/>
        <v>-0.68559999999999999</v>
      </c>
      <c r="F344">
        <f t="shared" si="16"/>
        <v>-8.8344603268882216E-2</v>
      </c>
      <c r="G344">
        <f t="shared" si="17"/>
        <v>1.8794446032688821</v>
      </c>
    </row>
    <row r="345" spans="1:7" x14ac:dyDescent="0.25">
      <c r="A345" s="2" t="s">
        <v>10</v>
      </c>
      <c r="B345" s="3">
        <v>42156</v>
      </c>
      <c r="C345" s="4">
        <v>6.0275999999999996</v>
      </c>
      <c r="D345" s="4">
        <v>-0.68730000000000002</v>
      </c>
      <c r="E345" s="22">
        <f t="shared" si="15"/>
        <v>-0.69030000000000002</v>
      </c>
      <c r="F345">
        <f t="shared" si="16"/>
        <v>-8.899187986018646E-2</v>
      </c>
      <c r="G345">
        <f t="shared" si="17"/>
        <v>6.1165918798601862</v>
      </c>
    </row>
    <row r="346" spans="1:7" x14ac:dyDescent="0.25">
      <c r="A346" s="2" t="s">
        <v>10</v>
      </c>
      <c r="B346" s="3">
        <v>42157</v>
      </c>
      <c r="C346" s="4">
        <v>-1.8271999999999999</v>
      </c>
      <c r="D346" s="4">
        <v>-0.69199999999999995</v>
      </c>
      <c r="E346" s="22">
        <f t="shared" si="15"/>
        <v>-0.69499999999999995</v>
      </c>
      <c r="F346">
        <f t="shared" si="16"/>
        <v>-8.963915645149069E-2</v>
      </c>
      <c r="G346">
        <f t="shared" si="17"/>
        <v>-1.7375608435485093</v>
      </c>
    </row>
    <row r="347" spans="1:7" x14ac:dyDescent="0.25">
      <c r="A347" s="2" t="s">
        <v>10</v>
      </c>
      <c r="B347" s="3">
        <v>42158</v>
      </c>
      <c r="C347" s="4">
        <v>-3.4634999999999998</v>
      </c>
      <c r="D347" s="4">
        <v>-0.69689999999999996</v>
      </c>
      <c r="E347" s="22">
        <f t="shared" si="15"/>
        <v>-0.69989999999999997</v>
      </c>
      <c r="F347">
        <f t="shared" si="16"/>
        <v>-9.0313976727531289E-2</v>
      </c>
      <c r="G347">
        <f t="shared" si="17"/>
        <v>-3.3731860232724684</v>
      </c>
    </row>
    <row r="348" spans="1:7" x14ac:dyDescent="0.25">
      <c r="A348" s="2" t="s">
        <v>10</v>
      </c>
      <c r="B348" s="3">
        <v>42159</v>
      </c>
      <c r="C348" s="4">
        <v>0.29330000000000001</v>
      </c>
      <c r="D348" s="4">
        <v>-1.4085000000000001</v>
      </c>
      <c r="E348" s="22">
        <f t="shared" si="15"/>
        <v>-1.4115</v>
      </c>
      <c r="F348">
        <f t="shared" si="16"/>
        <v>-0.18831440701946714</v>
      </c>
      <c r="G348">
        <f t="shared" si="17"/>
        <v>0.48161440701946712</v>
      </c>
    </row>
    <row r="349" spans="1:7" x14ac:dyDescent="0.25">
      <c r="A349" s="2" t="s">
        <v>10</v>
      </c>
      <c r="B349" s="3">
        <v>42160</v>
      </c>
      <c r="C349" s="4">
        <v>1.4535</v>
      </c>
      <c r="D349" s="4">
        <v>-0.7117</v>
      </c>
      <c r="E349" s="22">
        <f t="shared" si="15"/>
        <v>-0.7147</v>
      </c>
      <c r="F349">
        <f t="shared" si="16"/>
        <v>-9.2352209398021246E-2</v>
      </c>
      <c r="G349">
        <f t="shared" si="17"/>
        <v>1.5458522093980211</v>
      </c>
    </row>
    <row r="350" spans="1:7" x14ac:dyDescent="0.25">
      <c r="A350" s="2" t="s">
        <v>10</v>
      </c>
      <c r="B350" s="3">
        <v>42163</v>
      </c>
      <c r="C350" s="4">
        <v>0.28820000000000001</v>
      </c>
      <c r="D350" s="4">
        <v>-1.0771999999999999</v>
      </c>
      <c r="E350" s="22">
        <f t="shared" si="15"/>
        <v>-1.0801999999999998</v>
      </c>
      <c r="F350">
        <f t="shared" si="16"/>
        <v>-0.14268829325370216</v>
      </c>
      <c r="G350">
        <f t="shared" si="17"/>
        <v>0.43088829325370215</v>
      </c>
    </row>
    <row r="351" spans="1:7" x14ac:dyDescent="0.25">
      <c r="A351" s="2" t="s">
        <v>10</v>
      </c>
      <c r="B351" s="3">
        <v>42164</v>
      </c>
      <c r="C351" s="4">
        <v>-3.2166999999999999</v>
      </c>
      <c r="D351" s="4">
        <v>0.3604</v>
      </c>
      <c r="E351" s="22">
        <f t="shared" si="15"/>
        <v>0.3574</v>
      </c>
      <c r="F351">
        <f t="shared" si="16"/>
        <v>5.5295712631186794E-2</v>
      </c>
      <c r="G351">
        <f t="shared" si="17"/>
        <v>-3.2719957126311865</v>
      </c>
    </row>
    <row r="352" spans="1:7" x14ac:dyDescent="0.25">
      <c r="A352" s="2" t="s">
        <v>10</v>
      </c>
      <c r="B352" s="3">
        <v>42165</v>
      </c>
      <c r="C352" s="4">
        <v>2.9285000000000001</v>
      </c>
      <c r="D352" s="4">
        <v>0.35909999999999997</v>
      </c>
      <c r="E352" s="22">
        <f t="shared" si="15"/>
        <v>0.35609999999999997</v>
      </c>
      <c r="F352">
        <f t="shared" si="16"/>
        <v>5.5116678680400509E-2</v>
      </c>
      <c r="G352">
        <f t="shared" si="17"/>
        <v>2.8733833213195994</v>
      </c>
    </row>
    <row r="353" spans="1:7" x14ac:dyDescent="0.25">
      <c r="A353" s="2" t="s">
        <v>10</v>
      </c>
      <c r="B353" s="3">
        <v>42166</v>
      </c>
      <c r="C353" s="4">
        <v>0</v>
      </c>
      <c r="D353" s="4">
        <v>2.827</v>
      </c>
      <c r="E353" s="22">
        <f t="shared" si="15"/>
        <v>2.8239999999999998</v>
      </c>
      <c r="F353">
        <f t="shared" si="16"/>
        <v>0.39499197648460022</v>
      </c>
      <c r="G353">
        <f t="shared" si="17"/>
        <v>-0.39499197648460022</v>
      </c>
    </row>
    <row r="354" spans="1:7" x14ac:dyDescent="0.25">
      <c r="A354" s="2" t="s">
        <v>10</v>
      </c>
      <c r="B354" s="3">
        <v>42167</v>
      </c>
      <c r="C354" s="4">
        <v>-0.72409999999999997</v>
      </c>
      <c r="D354" s="4">
        <v>0.69440000000000002</v>
      </c>
      <c r="E354" s="22">
        <f t="shared" si="15"/>
        <v>0.69140000000000001</v>
      </c>
      <c r="F354">
        <f t="shared" si="16"/>
        <v>0.1012936661408925</v>
      </c>
      <c r="G354">
        <f t="shared" si="17"/>
        <v>-0.82539366614089249</v>
      </c>
    </row>
    <row r="355" spans="1:7" x14ac:dyDescent="0.25">
      <c r="A355" s="2" t="s">
        <v>10</v>
      </c>
      <c r="B355" s="3">
        <v>42170</v>
      </c>
      <c r="C355" s="4">
        <v>3.9891000000000001</v>
      </c>
      <c r="D355" s="4">
        <v>-1.0435000000000001</v>
      </c>
      <c r="E355" s="22">
        <f t="shared" si="15"/>
        <v>-1.0465</v>
      </c>
      <c r="F355">
        <f t="shared" si="16"/>
        <v>-0.13804718237562708</v>
      </c>
      <c r="G355">
        <f t="shared" si="17"/>
        <v>4.1271471823756274</v>
      </c>
    </row>
    <row r="356" spans="1:7" x14ac:dyDescent="0.25">
      <c r="A356" s="2" t="s">
        <v>10</v>
      </c>
      <c r="B356" s="3">
        <v>42171</v>
      </c>
      <c r="C356" s="4">
        <v>0</v>
      </c>
      <c r="D356" s="4">
        <v>-0.70179999999999998</v>
      </c>
      <c r="E356" s="22">
        <f t="shared" si="15"/>
        <v>-0.70479999999999998</v>
      </c>
      <c r="F356">
        <f t="shared" si="16"/>
        <v>-9.0988797003571875E-2</v>
      </c>
      <c r="G356">
        <f t="shared" si="17"/>
        <v>9.0988797003571875E-2</v>
      </c>
    </row>
    <row r="357" spans="1:7" x14ac:dyDescent="0.25">
      <c r="A357" s="2" t="s">
        <v>10</v>
      </c>
      <c r="B357" s="3">
        <v>42172</v>
      </c>
      <c r="C357" s="4">
        <v>0.69589999999999996</v>
      </c>
      <c r="D357" s="4">
        <v>0.35149999999999998</v>
      </c>
      <c r="E357" s="22">
        <f t="shared" si="15"/>
        <v>0.34849999999999998</v>
      </c>
      <c r="F357">
        <f t="shared" si="16"/>
        <v>5.4070018660419182E-2</v>
      </c>
      <c r="G357">
        <f t="shared" si="17"/>
        <v>0.6418299813395808</v>
      </c>
    </row>
    <row r="358" spans="1:7" x14ac:dyDescent="0.25">
      <c r="A358" s="2" t="s">
        <v>10</v>
      </c>
      <c r="B358" s="3">
        <v>42173</v>
      </c>
      <c r="C358" s="4">
        <v>-0.5917</v>
      </c>
      <c r="D358" s="4">
        <v>-0.35149999999999998</v>
      </c>
      <c r="E358" s="22">
        <f t="shared" si="15"/>
        <v>-0.35449999999999998</v>
      </c>
      <c r="F358">
        <f t="shared" si="16"/>
        <v>-4.274603318785359E-2</v>
      </c>
      <c r="G358">
        <f t="shared" si="17"/>
        <v>-0.54895396681214637</v>
      </c>
    </row>
    <row r="359" spans="1:7" x14ac:dyDescent="0.25">
      <c r="A359" s="2" t="s">
        <v>10</v>
      </c>
      <c r="B359" s="3">
        <v>42177</v>
      </c>
      <c r="C359" s="4">
        <v>0.29630000000000001</v>
      </c>
      <c r="D359" s="4">
        <v>0</v>
      </c>
      <c r="E359" s="22">
        <f t="shared" si="15"/>
        <v>-3.0000000000000001E-3</v>
      </c>
      <c r="F359">
        <f t="shared" si="16"/>
        <v>5.6619927362827945E-3</v>
      </c>
      <c r="G359">
        <f t="shared" si="17"/>
        <v>0.29063800726371719</v>
      </c>
    </row>
    <row r="360" spans="1:7" x14ac:dyDescent="0.25">
      <c r="A360" s="2" t="s">
        <v>10</v>
      </c>
      <c r="B360" s="3">
        <v>42178</v>
      </c>
      <c r="C360" s="4">
        <v>0.14779999999999999</v>
      </c>
      <c r="D360" s="4">
        <v>1.7452000000000001</v>
      </c>
      <c r="E360" s="22">
        <f t="shared" si="15"/>
        <v>1.7422000000000002</v>
      </c>
      <c r="F360">
        <f t="shared" si="16"/>
        <v>0.2460081857456792</v>
      </c>
      <c r="G360">
        <f t="shared" si="17"/>
        <v>-9.8208185745679216E-2</v>
      </c>
    </row>
    <row r="361" spans="1:7" x14ac:dyDescent="0.25">
      <c r="A361" s="2" t="s">
        <v>10</v>
      </c>
      <c r="B361" s="3">
        <v>42179</v>
      </c>
      <c r="C361" s="4">
        <v>3.6261999999999999</v>
      </c>
      <c r="D361" s="4">
        <v>0.34539999999999998</v>
      </c>
      <c r="E361" s="22">
        <f t="shared" si="15"/>
        <v>0.34239999999999998</v>
      </c>
      <c r="F361">
        <f t="shared" si="16"/>
        <v>5.3229936275960489E-2</v>
      </c>
      <c r="G361">
        <f t="shared" si="17"/>
        <v>3.5729700637240396</v>
      </c>
    </row>
    <row r="362" spans="1:7" x14ac:dyDescent="0.25">
      <c r="A362" s="2" t="s">
        <v>10</v>
      </c>
      <c r="B362" s="3">
        <v>42180</v>
      </c>
      <c r="C362" s="4">
        <v>-0.57140000000000002</v>
      </c>
      <c r="D362" s="4">
        <v>1.0291999999999999</v>
      </c>
      <c r="E362" s="22">
        <f t="shared" si="15"/>
        <v>1.0262</v>
      </c>
      <c r="F362">
        <f t="shared" si="16"/>
        <v>0.14740179438954359</v>
      </c>
      <c r="G362">
        <f t="shared" si="17"/>
        <v>-0.71880179438954361</v>
      </c>
    </row>
    <row r="363" spans="1:7" x14ac:dyDescent="0.25">
      <c r="A363" s="2" t="s">
        <v>10</v>
      </c>
      <c r="B363" s="3">
        <v>42181</v>
      </c>
      <c r="C363" s="4">
        <v>0.4289</v>
      </c>
      <c r="D363" s="4">
        <v>-0.34189999999999998</v>
      </c>
      <c r="E363" s="22">
        <f t="shared" si="15"/>
        <v>-0.34489999999999998</v>
      </c>
      <c r="F363">
        <f t="shared" si="16"/>
        <v>-4.142393632050876E-2</v>
      </c>
      <c r="G363">
        <f t="shared" si="17"/>
        <v>0.47032393632050878</v>
      </c>
    </row>
    <row r="364" spans="1:7" x14ac:dyDescent="0.25">
      <c r="A364" s="2" t="s">
        <v>10</v>
      </c>
      <c r="B364" s="3">
        <v>42184</v>
      </c>
      <c r="C364" s="4">
        <v>-2.3089</v>
      </c>
      <c r="D364" s="4">
        <v>-2.0762999999999998</v>
      </c>
      <c r="E364" s="22">
        <f t="shared" si="15"/>
        <v>-2.0792999999999999</v>
      </c>
      <c r="F364">
        <f t="shared" si="16"/>
        <v>-0.28028277035414223</v>
      </c>
      <c r="G364">
        <f t="shared" si="17"/>
        <v>-2.0286172296458576</v>
      </c>
    </row>
    <row r="365" spans="1:7" x14ac:dyDescent="0.25">
      <c r="A365" s="2" t="s">
        <v>10</v>
      </c>
      <c r="B365" s="3">
        <v>42185</v>
      </c>
      <c r="C365" s="4">
        <v>-1.0271999999999999</v>
      </c>
      <c r="D365" s="4">
        <v>1.4337</v>
      </c>
      <c r="E365" s="22">
        <f t="shared" si="15"/>
        <v>1.4307000000000001</v>
      </c>
      <c r="F365">
        <f t="shared" si="16"/>
        <v>0.20310889676881294</v>
      </c>
      <c r="G365">
        <f t="shared" si="17"/>
        <v>-1.2303088967688129</v>
      </c>
    </row>
    <row r="366" spans="1:7" x14ac:dyDescent="0.25">
      <c r="A366" s="2" t="s">
        <v>10</v>
      </c>
      <c r="B366" s="3">
        <v>42186</v>
      </c>
      <c r="C366" s="4">
        <v>4.8930999999999996</v>
      </c>
      <c r="D366" s="4">
        <v>0.35520000000000002</v>
      </c>
      <c r="E366" s="22">
        <f t="shared" si="15"/>
        <v>0.35220000000000001</v>
      </c>
      <c r="F366">
        <f t="shared" si="16"/>
        <v>5.4579576828041682E-2</v>
      </c>
      <c r="G366">
        <f t="shared" si="17"/>
        <v>4.8385204231719579</v>
      </c>
    </row>
    <row r="367" spans="1:7" x14ac:dyDescent="0.25">
      <c r="A367" s="2" t="s">
        <v>10</v>
      </c>
      <c r="B367" s="3">
        <v>42187</v>
      </c>
      <c r="C367" s="4">
        <v>-0.98799999999999999</v>
      </c>
      <c r="D367" s="4">
        <v>0.35399999999999998</v>
      </c>
      <c r="E367" s="22">
        <f t="shared" si="15"/>
        <v>0.35099999999999998</v>
      </c>
      <c r="F367">
        <f t="shared" si="16"/>
        <v>5.4414314719623567E-2</v>
      </c>
      <c r="G367">
        <f t="shared" si="17"/>
        <v>-1.0424143147196236</v>
      </c>
    </row>
    <row r="368" spans="1:7" x14ac:dyDescent="0.25">
      <c r="A368" s="2" t="s">
        <v>10</v>
      </c>
      <c r="B368" s="3">
        <v>42188</v>
      </c>
      <c r="C368" s="4">
        <v>-6.5957999999999997</v>
      </c>
      <c r="D368" s="4">
        <v>0.70420000000000005</v>
      </c>
      <c r="E368" s="22">
        <f t="shared" si="15"/>
        <v>0.70120000000000005</v>
      </c>
      <c r="F368">
        <f t="shared" si="16"/>
        <v>0.1026433066929737</v>
      </c>
      <c r="G368">
        <f t="shared" si="17"/>
        <v>-6.6984433066929734</v>
      </c>
    </row>
    <row r="369" spans="1:7" x14ac:dyDescent="0.25">
      <c r="A369" s="2" t="s">
        <v>10</v>
      </c>
      <c r="B369" s="3">
        <v>42191</v>
      </c>
      <c r="C369" s="4">
        <v>0.15140000000000001</v>
      </c>
      <c r="D369" s="4">
        <v>-1.4135</v>
      </c>
      <c r="E369" s="22">
        <f t="shared" si="15"/>
        <v>-1.4164999999999999</v>
      </c>
      <c r="F369">
        <f t="shared" si="16"/>
        <v>-0.18900299913787591</v>
      </c>
      <c r="G369">
        <f t="shared" si="17"/>
        <v>0.34040299913787592</v>
      </c>
    </row>
    <row r="370" spans="1:7" x14ac:dyDescent="0.25">
      <c r="A370" s="2" t="s">
        <v>10</v>
      </c>
      <c r="B370" s="3">
        <v>42192</v>
      </c>
      <c r="C370" s="4">
        <v>2.8338999999999999</v>
      </c>
      <c r="D370" s="4">
        <v>0</v>
      </c>
      <c r="E370" s="22">
        <f t="shared" si="15"/>
        <v>-3.0000000000000001E-3</v>
      </c>
      <c r="F370">
        <f t="shared" si="16"/>
        <v>5.6619927362827945E-3</v>
      </c>
      <c r="G370">
        <f t="shared" si="17"/>
        <v>2.828238007263717</v>
      </c>
    </row>
    <row r="371" spans="1:7" x14ac:dyDescent="0.25">
      <c r="A371" s="2" t="s">
        <v>10</v>
      </c>
      <c r="B371" s="3">
        <v>42193</v>
      </c>
      <c r="C371" s="4">
        <v>-1.4815</v>
      </c>
      <c r="D371" s="4">
        <v>-1.7954000000000001</v>
      </c>
      <c r="E371" s="22">
        <f t="shared" si="15"/>
        <v>-1.7984</v>
      </c>
      <c r="F371">
        <f t="shared" si="16"/>
        <v>-0.24159766514193762</v>
      </c>
      <c r="G371">
        <f t="shared" si="17"/>
        <v>-1.2399023348580624</v>
      </c>
    </row>
    <row r="372" spans="1:7" x14ac:dyDescent="0.25">
      <c r="A372" s="2" t="s">
        <v>10</v>
      </c>
      <c r="B372" s="3">
        <v>42194</v>
      </c>
      <c r="C372" s="4">
        <v>-2.1116999999999999</v>
      </c>
      <c r="D372" s="4">
        <v>-1.0929</v>
      </c>
      <c r="E372" s="22">
        <f t="shared" si="15"/>
        <v>-1.0958999999999999</v>
      </c>
      <c r="F372">
        <f t="shared" si="16"/>
        <v>-0.1448504725055057</v>
      </c>
      <c r="G372">
        <f t="shared" si="17"/>
        <v>-1.9668495274944942</v>
      </c>
    </row>
    <row r="373" spans="1:7" x14ac:dyDescent="0.25">
      <c r="A373" s="2" t="s">
        <v>10</v>
      </c>
      <c r="B373" s="3">
        <v>42198</v>
      </c>
      <c r="C373" s="4">
        <v>0</v>
      </c>
      <c r="D373" s="4">
        <v>1.4545999999999999</v>
      </c>
      <c r="E373" s="22">
        <f t="shared" si="15"/>
        <v>1.4516</v>
      </c>
      <c r="F373">
        <f t="shared" si="16"/>
        <v>0.20598721182376159</v>
      </c>
      <c r="G373">
        <f t="shared" si="17"/>
        <v>-0.20598721182376159</v>
      </c>
    </row>
    <row r="374" spans="1:7" x14ac:dyDescent="0.25">
      <c r="A374" s="2" t="s">
        <v>10</v>
      </c>
      <c r="B374" s="3">
        <v>42199</v>
      </c>
      <c r="C374" s="4">
        <v>-4.5213999999999999</v>
      </c>
      <c r="D374" s="4">
        <v>0</v>
      </c>
      <c r="E374" s="22">
        <f t="shared" si="15"/>
        <v>-3.0000000000000001E-3</v>
      </c>
      <c r="F374">
        <f t="shared" si="16"/>
        <v>5.6619927362827945E-3</v>
      </c>
      <c r="G374">
        <f t="shared" si="17"/>
        <v>-4.5270619927362823</v>
      </c>
    </row>
    <row r="375" spans="1:7" x14ac:dyDescent="0.25">
      <c r="A375" s="2" t="s">
        <v>10</v>
      </c>
      <c r="B375" s="3">
        <v>42200</v>
      </c>
      <c r="C375" s="4">
        <v>1.4252</v>
      </c>
      <c r="D375" s="4">
        <v>0</v>
      </c>
      <c r="E375" s="22">
        <f t="shared" si="15"/>
        <v>-3.0000000000000001E-3</v>
      </c>
      <c r="F375">
        <f t="shared" si="16"/>
        <v>5.6619927362827945E-3</v>
      </c>
      <c r="G375">
        <f t="shared" si="17"/>
        <v>1.4195380072637171</v>
      </c>
    </row>
    <row r="376" spans="1:7" x14ac:dyDescent="0.25">
      <c r="A376" s="2" t="s">
        <v>10</v>
      </c>
      <c r="B376" s="3">
        <v>42201</v>
      </c>
      <c r="C376" s="4">
        <v>-1.5848</v>
      </c>
      <c r="D376" s="4">
        <v>-1.4545999999999999</v>
      </c>
      <c r="E376" s="22">
        <f t="shared" si="15"/>
        <v>-1.4575999999999998</v>
      </c>
      <c r="F376">
        <f t="shared" si="16"/>
        <v>-0.19466322635119596</v>
      </c>
      <c r="G376">
        <f t="shared" si="17"/>
        <v>-1.3901367736488039</v>
      </c>
    </row>
    <row r="377" spans="1:7" x14ac:dyDescent="0.25">
      <c r="A377" s="2" t="s">
        <v>10</v>
      </c>
      <c r="B377" s="3">
        <v>42202</v>
      </c>
      <c r="C377" s="4">
        <v>-8.8465000000000007</v>
      </c>
      <c r="D377" s="4">
        <v>2.5318000000000001</v>
      </c>
      <c r="E377" s="22">
        <f t="shared" si="15"/>
        <v>2.5287999999999999</v>
      </c>
      <c r="F377">
        <f t="shared" si="16"/>
        <v>0.35433749781374657</v>
      </c>
      <c r="G377">
        <f t="shared" si="17"/>
        <v>-9.2008374978137475</v>
      </c>
    </row>
    <row r="378" spans="1:7" x14ac:dyDescent="0.25">
      <c r="A378" s="2" t="s">
        <v>10</v>
      </c>
      <c r="B378" s="3">
        <v>42205</v>
      </c>
      <c r="C378" s="4">
        <v>-0.52490000000000003</v>
      </c>
      <c r="D378" s="4">
        <v>-0.71679999999999999</v>
      </c>
      <c r="E378" s="22">
        <f t="shared" si="15"/>
        <v>-0.7198</v>
      </c>
      <c r="F378">
        <f t="shared" si="16"/>
        <v>-9.3054573358798187E-2</v>
      </c>
      <c r="G378">
        <f t="shared" si="17"/>
        <v>-0.43184542664120185</v>
      </c>
    </row>
    <row r="379" spans="1:7" x14ac:dyDescent="0.25">
      <c r="A379" s="2" t="s">
        <v>10</v>
      </c>
      <c r="B379" s="3">
        <v>42206</v>
      </c>
      <c r="C379" s="4">
        <v>-1.4135</v>
      </c>
      <c r="D379" s="4">
        <v>1.0733999999999999</v>
      </c>
      <c r="E379" s="22">
        <f t="shared" si="15"/>
        <v>1.0704</v>
      </c>
      <c r="F379">
        <f t="shared" si="16"/>
        <v>0.15348894871627711</v>
      </c>
      <c r="G379">
        <f t="shared" si="17"/>
        <v>-1.5669889487162771</v>
      </c>
    </row>
    <row r="380" spans="1:7" x14ac:dyDescent="0.25">
      <c r="A380" s="2" t="s">
        <v>10</v>
      </c>
      <c r="B380" s="3">
        <v>42207</v>
      </c>
      <c r="C380" s="4">
        <v>-2.3403</v>
      </c>
      <c r="D380" s="4">
        <v>-1.0733999999999999</v>
      </c>
      <c r="E380" s="22">
        <f t="shared" si="15"/>
        <v>-1.0763999999999998</v>
      </c>
      <c r="F380">
        <f t="shared" si="16"/>
        <v>-0.1421649632437115</v>
      </c>
      <c r="G380">
        <f t="shared" si="17"/>
        <v>-2.1981350367562884</v>
      </c>
    </row>
    <row r="381" spans="1:7" x14ac:dyDescent="0.25">
      <c r="A381" s="2" t="s">
        <v>10</v>
      </c>
      <c r="B381" s="3">
        <v>42208</v>
      </c>
      <c r="C381" s="4">
        <v>-2.024</v>
      </c>
      <c r="D381" s="4">
        <v>-2.1819000000000002</v>
      </c>
      <c r="E381" s="22">
        <f t="shared" si="15"/>
        <v>-2.1849000000000003</v>
      </c>
      <c r="F381">
        <f t="shared" si="16"/>
        <v>-0.29482583589493544</v>
      </c>
      <c r="G381">
        <f t="shared" si="17"/>
        <v>-1.7291741641050646</v>
      </c>
    </row>
    <row r="382" spans="1:7" x14ac:dyDescent="0.25">
      <c r="A382" s="2" t="s">
        <v>10</v>
      </c>
      <c r="B382" s="3">
        <v>42209</v>
      </c>
      <c r="C382" s="4">
        <v>-1.8762000000000001</v>
      </c>
      <c r="D382" s="4">
        <v>0.73260000000000003</v>
      </c>
      <c r="E382" s="22">
        <f t="shared" si="15"/>
        <v>0.72960000000000003</v>
      </c>
      <c r="F382">
        <f t="shared" si="16"/>
        <v>0.10655450992553549</v>
      </c>
      <c r="G382">
        <f t="shared" si="17"/>
        <v>-1.9827545099255355</v>
      </c>
    </row>
    <row r="383" spans="1:7" x14ac:dyDescent="0.25">
      <c r="A383" s="2" t="s">
        <v>10</v>
      </c>
      <c r="B383" s="3">
        <v>42212</v>
      </c>
      <c r="C383" s="4">
        <v>0.37809999999999999</v>
      </c>
      <c r="D383" s="4">
        <v>-2.2141000000000002</v>
      </c>
      <c r="E383" s="22">
        <f t="shared" si="15"/>
        <v>-2.2171000000000003</v>
      </c>
      <c r="F383">
        <f t="shared" si="16"/>
        <v>-0.29926036913748788</v>
      </c>
      <c r="G383">
        <f t="shared" si="17"/>
        <v>0.67736036913748787</v>
      </c>
    </row>
    <row r="384" spans="1:7" x14ac:dyDescent="0.25">
      <c r="A384" s="2" t="s">
        <v>10</v>
      </c>
      <c r="B384" s="3">
        <v>42213</v>
      </c>
      <c r="C384" s="4">
        <v>5.1482000000000001</v>
      </c>
      <c r="D384" s="4">
        <v>0</v>
      </c>
      <c r="E384" s="22">
        <f t="shared" si="15"/>
        <v>-3.0000000000000001E-3</v>
      </c>
      <c r="F384">
        <f t="shared" si="16"/>
        <v>5.6619927362827945E-3</v>
      </c>
      <c r="G384">
        <f t="shared" si="17"/>
        <v>5.1425380072637177</v>
      </c>
    </row>
    <row r="385" spans="1:7" x14ac:dyDescent="0.25">
      <c r="A385" s="2" t="s">
        <v>10</v>
      </c>
      <c r="B385" s="3">
        <v>42214</v>
      </c>
      <c r="C385" s="4">
        <v>-2.3573</v>
      </c>
      <c r="D385" s="4">
        <v>1.1132</v>
      </c>
      <c r="E385" s="22">
        <f t="shared" si="15"/>
        <v>1.1102000000000001</v>
      </c>
      <c r="F385">
        <f t="shared" si="16"/>
        <v>0.15897014197881093</v>
      </c>
      <c r="G385">
        <f t="shared" si="17"/>
        <v>-2.5162701419788109</v>
      </c>
    </row>
    <row r="386" spans="1:7" x14ac:dyDescent="0.25">
      <c r="A386" s="2" t="s">
        <v>10</v>
      </c>
      <c r="B386" s="3">
        <v>42215</v>
      </c>
      <c r="C386" s="4">
        <v>0</v>
      </c>
      <c r="D386" s="4">
        <v>2.1899000000000002</v>
      </c>
      <c r="E386" s="22">
        <f t="shared" si="15"/>
        <v>2.1869000000000001</v>
      </c>
      <c r="F386">
        <f t="shared" si="16"/>
        <v>0.30725156875695503</v>
      </c>
      <c r="G386">
        <f t="shared" si="17"/>
        <v>-0.30725156875695503</v>
      </c>
    </row>
    <row r="387" spans="1:7" x14ac:dyDescent="0.25">
      <c r="A387" s="2" t="s">
        <v>10</v>
      </c>
      <c r="B387" s="3">
        <v>42216</v>
      </c>
      <c r="C387" s="4">
        <v>2.1779000000000002</v>
      </c>
      <c r="D387" s="4">
        <v>0.71940000000000004</v>
      </c>
      <c r="E387" s="22">
        <f t="shared" ref="E387:E450" si="18">D387-$L$1</f>
        <v>0.71640000000000004</v>
      </c>
      <c r="F387">
        <f t="shared" ref="F387:F450" si="19">L$2+L$3*E387</f>
        <v>0.10473662673293635</v>
      </c>
      <c r="G387">
        <f t="shared" ref="G387:G450" si="20">C387-F387</f>
        <v>2.073163373267064</v>
      </c>
    </row>
    <row r="388" spans="1:7" x14ac:dyDescent="0.25">
      <c r="A388" s="2" t="s">
        <v>10</v>
      </c>
      <c r="B388" s="3">
        <v>42219</v>
      </c>
      <c r="C388" s="4">
        <v>-6.2984</v>
      </c>
      <c r="D388" s="4">
        <v>-3.65</v>
      </c>
      <c r="E388" s="22">
        <f t="shared" si="18"/>
        <v>-3.653</v>
      </c>
      <c r="F388">
        <f t="shared" si="19"/>
        <v>-0.49701025370211788</v>
      </c>
      <c r="G388">
        <f t="shared" si="20"/>
        <v>-5.8013897462978825</v>
      </c>
    </row>
    <row r="389" spans="1:7" x14ac:dyDescent="0.25">
      <c r="A389" s="2" t="s">
        <v>10</v>
      </c>
      <c r="B389" s="3">
        <v>42220</v>
      </c>
      <c r="C389" s="4">
        <v>-2.7132999999999998</v>
      </c>
      <c r="D389" s="4">
        <v>1.476</v>
      </c>
      <c r="E389" s="22">
        <f t="shared" si="18"/>
        <v>1.4730000000000001</v>
      </c>
      <c r="F389">
        <f t="shared" si="19"/>
        <v>0.20893438609055112</v>
      </c>
      <c r="G389">
        <f t="shared" si="20"/>
        <v>-2.9222343860905511</v>
      </c>
    </row>
    <row r="390" spans="1:7" x14ac:dyDescent="0.25">
      <c r="A390" s="2" t="s">
        <v>10</v>
      </c>
      <c r="B390" s="3">
        <v>42221</v>
      </c>
      <c r="C390" s="4">
        <v>0.1963</v>
      </c>
      <c r="D390" s="4">
        <v>-1.8485</v>
      </c>
      <c r="E390" s="22">
        <f t="shared" si="18"/>
        <v>-1.8514999999999999</v>
      </c>
      <c r="F390">
        <f t="shared" si="19"/>
        <v>-0.24891051343943871</v>
      </c>
      <c r="G390">
        <f t="shared" si="20"/>
        <v>0.44521051343943874</v>
      </c>
    </row>
    <row r="391" spans="1:7" x14ac:dyDescent="0.25">
      <c r="A391" s="2" t="s">
        <v>10</v>
      </c>
      <c r="B391" s="3">
        <v>42222</v>
      </c>
      <c r="C391" s="4">
        <v>0</v>
      </c>
      <c r="D391" s="4">
        <v>0</v>
      </c>
      <c r="E391" s="22">
        <f t="shared" si="18"/>
        <v>-3.0000000000000001E-3</v>
      </c>
      <c r="F391">
        <f t="shared" si="19"/>
        <v>5.6619927362827945E-3</v>
      </c>
      <c r="G391">
        <f t="shared" si="20"/>
        <v>-5.6619927362827945E-3</v>
      </c>
    </row>
    <row r="392" spans="1:7" x14ac:dyDescent="0.25">
      <c r="A392" s="2" t="s">
        <v>10</v>
      </c>
      <c r="B392" s="3">
        <v>42223</v>
      </c>
      <c r="C392" s="4">
        <v>0.19589999999999999</v>
      </c>
      <c r="D392" s="4">
        <v>-0.74909999999999999</v>
      </c>
      <c r="E392" s="22">
        <f t="shared" si="18"/>
        <v>-0.75209999999999999</v>
      </c>
      <c r="F392">
        <f t="shared" si="19"/>
        <v>-9.7502878443718827E-2</v>
      </c>
      <c r="G392">
        <f t="shared" si="20"/>
        <v>0.29340287844371882</v>
      </c>
    </row>
    <row r="393" spans="1:7" x14ac:dyDescent="0.25">
      <c r="A393" s="2" t="s">
        <v>10</v>
      </c>
      <c r="B393" s="3">
        <v>42226</v>
      </c>
      <c r="C393" s="4">
        <v>1.7459</v>
      </c>
      <c r="D393" s="4">
        <v>-3.0537000000000001</v>
      </c>
      <c r="E393" s="22">
        <f t="shared" si="18"/>
        <v>-3.0567000000000002</v>
      </c>
      <c r="F393">
        <f t="shared" si="19"/>
        <v>-0.41488875766068822</v>
      </c>
      <c r="G393">
        <f t="shared" si="20"/>
        <v>2.1607887576606881</v>
      </c>
    </row>
    <row r="394" spans="1:7" x14ac:dyDescent="0.25">
      <c r="A394" s="2" t="s">
        <v>10</v>
      </c>
      <c r="B394" s="3">
        <v>42227</v>
      </c>
      <c r="C394" s="4">
        <v>0</v>
      </c>
      <c r="D394" s="4">
        <v>1.1560999999999999</v>
      </c>
      <c r="E394" s="22">
        <f t="shared" si="18"/>
        <v>1.1531</v>
      </c>
      <c r="F394">
        <f t="shared" si="19"/>
        <v>0.16487826235475814</v>
      </c>
      <c r="G394">
        <f t="shared" si="20"/>
        <v>-0.16487826235475814</v>
      </c>
    </row>
    <row r="395" spans="1:7" x14ac:dyDescent="0.25">
      <c r="A395" s="2" t="s">
        <v>10</v>
      </c>
      <c r="B395" s="3">
        <v>42228</v>
      </c>
      <c r="C395" s="4">
        <v>0.95689999999999997</v>
      </c>
      <c r="D395" s="4">
        <v>-1.5444</v>
      </c>
      <c r="E395" s="22">
        <f t="shared" si="18"/>
        <v>-1.5473999999999999</v>
      </c>
      <c r="F395">
        <f t="shared" si="19"/>
        <v>-0.20703034079781746</v>
      </c>
      <c r="G395">
        <f t="shared" si="20"/>
        <v>1.1639303407978174</v>
      </c>
    </row>
    <row r="396" spans="1:7" x14ac:dyDescent="0.25">
      <c r="A396" s="2" t="s">
        <v>10</v>
      </c>
      <c r="B396" s="3">
        <v>42229</v>
      </c>
      <c r="C396" s="4">
        <v>-0.38169999999999998</v>
      </c>
      <c r="D396" s="4">
        <v>-0.38990000000000002</v>
      </c>
      <c r="E396" s="22">
        <f t="shared" si="18"/>
        <v>-0.39290000000000003</v>
      </c>
      <c r="F396">
        <f t="shared" si="19"/>
        <v>-4.8034420657232936E-2</v>
      </c>
      <c r="G396">
        <f t="shared" si="20"/>
        <v>-0.33366557934276703</v>
      </c>
    </row>
    <row r="397" spans="1:7" x14ac:dyDescent="0.25">
      <c r="A397" s="2" t="s">
        <v>10</v>
      </c>
      <c r="B397" s="3">
        <v>42230</v>
      </c>
      <c r="C397" s="4">
        <v>0.38169999999999998</v>
      </c>
      <c r="D397" s="4">
        <v>-1.5748</v>
      </c>
      <c r="E397" s="22">
        <f t="shared" si="18"/>
        <v>-1.5777999999999999</v>
      </c>
      <c r="F397">
        <f t="shared" si="19"/>
        <v>-0.21121698087774277</v>
      </c>
      <c r="G397">
        <f t="shared" si="20"/>
        <v>0.59291698087774281</v>
      </c>
    </row>
    <row r="398" spans="1:7" x14ac:dyDescent="0.25">
      <c r="A398" s="2" t="s">
        <v>10</v>
      </c>
      <c r="B398" s="3">
        <v>42233</v>
      </c>
      <c r="C398" s="4">
        <v>-3.0950000000000002</v>
      </c>
      <c r="D398" s="4">
        <v>-1.6</v>
      </c>
      <c r="E398" s="22">
        <f t="shared" si="18"/>
        <v>-1.603</v>
      </c>
      <c r="F398">
        <f t="shared" si="19"/>
        <v>-0.21468748515452296</v>
      </c>
      <c r="G398">
        <f t="shared" si="20"/>
        <v>-2.8803125148454773</v>
      </c>
    </row>
    <row r="399" spans="1:7" x14ac:dyDescent="0.25">
      <c r="A399" s="2" t="s">
        <v>10</v>
      </c>
      <c r="B399" s="3">
        <v>42234</v>
      </c>
      <c r="C399" s="4">
        <v>-2.2852000000000001</v>
      </c>
      <c r="D399" s="4">
        <v>1.6</v>
      </c>
      <c r="E399" s="22">
        <f t="shared" si="18"/>
        <v>1.5970000000000002</v>
      </c>
      <c r="F399">
        <f t="shared" si="19"/>
        <v>0.2260114706270886</v>
      </c>
      <c r="G399">
        <f t="shared" si="20"/>
        <v>-2.5112114706270887</v>
      </c>
    </row>
    <row r="400" spans="1:7" x14ac:dyDescent="0.25">
      <c r="A400" s="2" t="s">
        <v>10</v>
      </c>
      <c r="B400" s="3">
        <v>42235</v>
      </c>
      <c r="C400" s="4">
        <v>-5.05</v>
      </c>
      <c r="D400" s="4">
        <v>-0.79679999999999995</v>
      </c>
      <c r="E400" s="22">
        <f t="shared" si="18"/>
        <v>-0.79979999999999996</v>
      </c>
      <c r="F400">
        <f t="shared" si="19"/>
        <v>-0.10407204725333848</v>
      </c>
      <c r="G400">
        <f t="shared" si="20"/>
        <v>-4.9459279527466613</v>
      </c>
    </row>
    <row r="401" spans="1:7" x14ac:dyDescent="0.25">
      <c r="A401" s="2" t="s">
        <v>10</v>
      </c>
      <c r="B401" s="3">
        <v>42236</v>
      </c>
      <c r="C401" s="4">
        <v>6.5462999999999996</v>
      </c>
      <c r="D401" s="4">
        <v>0.79679999999999995</v>
      </c>
      <c r="E401" s="22">
        <f t="shared" si="18"/>
        <v>0.79379999999999995</v>
      </c>
      <c r="F401">
        <f t="shared" si="19"/>
        <v>0.11539603272590407</v>
      </c>
      <c r="G401">
        <f t="shared" si="20"/>
        <v>6.4309039672740953</v>
      </c>
    </row>
    <row r="402" spans="1:7" x14ac:dyDescent="0.25">
      <c r="A402" s="2" t="s">
        <v>10</v>
      </c>
      <c r="B402" s="3">
        <v>42237</v>
      </c>
      <c r="C402" s="4">
        <v>-2.4049</v>
      </c>
      <c r="D402" s="4">
        <v>-4.0491000000000001</v>
      </c>
      <c r="E402" s="22">
        <f t="shared" si="18"/>
        <v>-4.0521000000000003</v>
      </c>
      <c r="F402">
        <f t="shared" si="19"/>
        <v>-0.55197367659350582</v>
      </c>
      <c r="G402">
        <f t="shared" si="20"/>
        <v>-1.8529263234064941</v>
      </c>
    </row>
    <row r="403" spans="1:7" x14ac:dyDescent="0.25">
      <c r="A403" s="2" t="s">
        <v>10</v>
      </c>
      <c r="B403" s="3">
        <v>42240</v>
      </c>
      <c r="C403" s="4">
        <v>-2.0493000000000001</v>
      </c>
      <c r="D403" s="4">
        <v>-5.0857999999999999</v>
      </c>
      <c r="E403" s="22">
        <f t="shared" si="18"/>
        <v>-5.0888</v>
      </c>
      <c r="F403">
        <f t="shared" si="19"/>
        <v>-0.6947463664243797</v>
      </c>
      <c r="G403">
        <f t="shared" si="20"/>
        <v>-1.3545536335756205</v>
      </c>
    </row>
    <row r="404" spans="1:7" x14ac:dyDescent="0.25">
      <c r="A404" s="2" t="s">
        <v>10</v>
      </c>
      <c r="B404" s="3">
        <v>42241</v>
      </c>
      <c r="C404" s="4">
        <v>4.0574000000000003</v>
      </c>
      <c r="D404" s="4">
        <v>7.1308999999999996</v>
      </c>
      <c r="E404" s="22">
        <f t="shared" si="18"/>
        <v>7.1278999999999995</v>
      </c>
      <c r="F404">
        <f t="shared" si="19"/>
        <v>0.98771830016849949</v>
      </c>
      <c r="G404">
        <f t="shared" si="20"/>
        <v>3.0696816998315009</v>
      </c>
    </row>
    <row r="405" spans="1:7" x14ac:dyDescent="0.25">
      <c r="A405" s="2" t="s">
        <v>10</v>
      </c>
      <c r="B405" s="3">
        <v>42242</v>
      </c>
      <c r="C405" s="4">
        <v>2.1633</v>
      </c>
      <c r="D405" s="4">
        <v>-0.81299999999999994</v>
      </c>
      <c r="E405" s="22">
        <f t="shared" si="18"/>
        <v>-0.81599999999999995</v>
      </c>
      <c r="F405">
        <f t="shared" si="19"/>
        <v>-0.10630308571698288</v>
      </c>
      <c r="G405">
        <f t="shared" si="20"/>
        <v>2.2696030857169829</v>
      </c>
    </row>
    <row r="406" spans="1:7" x14ac:dyDescent="0.25">
      <c r="A406" s="2" t="s">
        <v>10</v>
      </c>
      <c r="B406" s="3">
        <v>42243</v>
      </c>
      <c r="C406" s="4">
        <v>2.4977</v>
      </c>
      <c r="D406" s="4">
        <v>1.2171000000000001</v>
      </c>
      <c r="E406" s="22">
        <f t="shared" si="18"/>
        <v>1.2141000000000002</v>
      </c>
      <c r="F406">
        <f t="shared" si="19"/>
        <v>0.17327908619934512</v>
      </c>
      <c r="G406">
        <f t="shared" si="20"/>
        <v>2.3244209138006551</v>
      </c>
    </row>
    <row r="407" spans="1:7" x14ac:dyDescent="0.25">
      <c r="A407" s="2" t="s">
        <v>10</v>
      </c>
      <c r="B407" s="3">
        <v>42244</v>
      </c>
      <c r="C407" s="4">
        <v>-2.3033999999999999</v>
      </c>
      <c r="D407" s="4">
        <v>0.80320000000000003</v>
      </c>
      <c r="E407" s="22">
        <f t="shared" si="18"/>
        <v>0.80020000000000002</v>
      </c>
      <c r="F407">
        <f t="shared" si="19"/>
        <v>0.11627743063746729</v>
      </c>
      <c r="G407">
        <f t="shared" si="20"/>
        <v>-2.4196774306374671</v>
      </c>
    </row>
    <row r="408" spans="1:7" x14ac:dyDescent="0.25">
      <c r="A408" s="2" t="s">
        <v>10</v>
      </c>
      <c r="B408" s="3">
        <v>42247</v>
      </c>
      <c r="C408" s="4">
        <v>0.77370000000000005</v>
      </c>
      <c r="D408" s="4">
        <v>3.1499000000000001</v>
      </c>
      <c r="E408" s="22">
        <f t="shared" si="18"/>
        <v>3.1469</v>
      </c>
      <c r="F408">
        <f t="shared" si="19"/>
        <v>0.4394612554914385</v>
      </c>
      <c r="G408">
        <f t="shared" si="20"/>
        <v>0.33423874450856156</v>
      </c>
    </row>
    <row r="409" spans="1:7" x14ac:dyDescent="0.25">
      <c r="A409" s="2" t="s">
        <v>10</v>
      </c>
      <c r="B409" s="3">
        <v>42248</v>
      </c>
      <c r="C409" s="4">
        <v>-0.77370000000000005</v>
      </c>
      <c r="D409" s="4">
        <v>-3.9531000000000001</v>
      </c>
      <c r="E409" s="22">
        <f t="shared" si="18"/>
        <v>-3.9561000000000002</v>
      </c>
      <c r="F409">
        <f t="shared" si="19"/>
        <v>-0.53875270792005747</v>
      </c>
      <c r="G409">
        <f t="shared" si="20"/>
        <v>-0.23494729207994258</v>
      </c>
    </row>
    <row r="410" spans="1:7" x14ac:dyDescent="0.25">
      <c r="A410" s="2" t="s">
        <v>10</v>
      </c>
      <c r="B410" s="3">
        <v>42249</v>
      </c>
      <c r="C410" s="4">
        <v>0.96619999999999995</v>
      </c>
      <c r="D410" s="4">
        <v>1.2023999999999999</v>
      </c>
      <c r="E410" s="22">
        <f t="shared" si="18"/>
        <v>1.1994</v>
      </c>
      <c r="F410">
        <f t="shared" si="19"/>
        <v>0.17125462537122332</v>
      </c>
      <c r="G410">
        <f t="shared" si="20"/>
        <v>0.79494537462877668</v>
      </c>
    </row>
    <row r="411" spans="1:7" x14ac:dyDescent="0.25">
      <c r="A411" s="2" t="s">
        <v>10</v>
      </c>
      <c r="B411" s="3">
        <v>42250</v>
      </c>
      <c r="C411" s="4">
        <v>-0.38540000000000002</v>
      </c>
      <c r="D411" s="4">
        <v>1.1880999999999999</v>
      </c>
      <c r="E411" s="22">
        <f t="shared" si="18"/>
        <v>1.1851</v>
      </c>
      <c r="F411">
        <f t="shared" si="19"/>
        <v>0.16928525191257426</v>
      </c>
      <c r="G411">
        <f t="shared" si="20"/>
        <v>-0.55468525191257423</v>
      </c>
    </row>
    <row r="412" spans="1:7" x14ac:dyDescent="0.25">
      <c r="A412" s="2" t="s">
        <v>10</v>
      </c>
      <c r="B412" s="3">
        <v>42251</v>
      </c>
      <c r="C412" s="4">
        <v>-3.5367000000000002</v>
      </c>
      <c r="D412" s="4">
        <v>-1.5872999999999999</v>
      </c>
      <c r="E412" s="22">
        <f t="shared" si="18"/>
        <v>-1.5902999999999998</v>
      </c>
      <c r="F412">
        <f t="shared" si="19"/>
        <v>-0.21293846117376466</v>
      </c>
      <c r="G412">
        <f t="shared" si="20"/>
        <v>-3.3237615388262354</v>
      </c>
    </row>
    <row r="413" spans="1:7" x14ac:dyDescent="0.25">
      <c r="A413" s="2" t="s">
        <v>10</v>
      </c>
      <c r="B413" s="3">
        <v>42254</v>
      </c>
      <c r="C413" s="4">
        <v>0.995</v>
      </c>
      <c r="D413" s="4">
        <v>-2.0203000000000002</v>
      </c>
      <c r="E413" s="22">
        <f t="shared" si="18"/>
        <v>-2.0233000000000003</v>
      </c>
      <c r="F413">
        <f t="shared" si="19"/>
        <v>-0.27257053862796404</v>
      </c>
      <c r="G413">
        <f t="shared" si="20"/>
        <v>1.2675705386279641</v>
      </c>
    </row>
    <row r="414" spans="1:7" x14ac:dyDescent="0.25">
      <c r="A414" s="2" t="s">
        <v>10</v>
      </c>
      <c r="B414" s="3">
        <v>42255</v>
      </c>
      <c r="C414" s="4">
        <v>0.78900000000000003</v>
      </c>
      <c r="D414" s="4">
        <v>0.4073</v>
      </c>
      <c r="E414" s="22">
        <f t="shared" si="18"/>
        <v>0.40429999999999999</v>
      </c>
      <c r="F414">
        <f t="shared" si="19"/>
        <v>6.1754706701861041E-2</v>
      </c>
      <c r="G414">
        <f t="shared" si="20"/>
        <v>0.72724529329813903</v>
      </c>
    </row>
    <row r="415" spans="1:7" x14ac:dyDescent="0.25">
      <c r="A415" s="2" t="s">
        <v>10</v>
      </c>
      <c r="B415" s="3">
        <v>42256</v>
      </c>
      <c r="C415" s="4">
        <v>2.7132999999999998</v>
      </c>
      <c r="D415" s="4">
        <v>4.7628000000000004</v>
      </c>
      <c r="E415" s="22">
        <f t="shared" si="18"/>
        <v>4.7598000000000003</v>
      </c>
      <c r="F415">
        <f t="shared" si="19"/>
        <v>0.66158730104773888</v>
      </c>
      <c r="G415">
        <f t="shared" si="20"/>
        <v>2.0517126989522607</v>
      </c>
    </row>
    <row r="416" spans="1:7" x14ac:dyDescent="0.25">
      <c r="A416" s="2" t="s">
        <v>10</v>
      </c>
      <c r="B416" s="3">
        <v>42257</v>
      </c>
      <c r="C416" s="4">
        <v>1.1407</v>
      </c>
      <c r="D416" s="4">
        <v>-3.1499000000000001</v>
      </c>
      <c r="E416" s="22">
        <f t="shared" si="18"/>
        <v>-3.1529000000000003</v>
      </c>
      <c r="F416">
        <f t="shared" si="19"/>
        <v>-0.42813727001887292</v>
      </c>
      <c r="G416">
        <f t="shared" si="20"/>
        <v>1.5688372700188729</v>
      </c>
    </row>
    <row r="417" spans="1:7" x14ac:dyDescent="0.25">
      <c r="A417" s="2" t="s">
        <v>10</v>
      </c>
      <c r="B417" s="3">
        <v>42258</v>
      </c>
      <c r="C417" s="4">
        <v>-0.56869999999999998</v>
      </c>
      <c r="D417" s="4">
        <v>1.9802999999999999</v>
      </c>
      <c r="E417" s="22">
        <f t="shared" si="18"/>
        <v>1.9773000000000001</v>
      </c>
      <c r="F417">
        <f t="shared" si="19"/>
        <v>0.27838578715325946</v>
      </c>
      <c r="G417">
        <f t="shared" si="20"/>
        <v>-0.84708578715325944</v>
      </c>
    </row>
    <row r="418" spans="1:7" x14ac:dyDescent="0.25">
      <c r="A418" s="2" t="s">
        <v>10</v>
      </c>
      <c r="B418" s="3">
        <v>42261</v>
      </c>
      <c r="C418" s="4">
        <v>2.6267999999999998</v>
      </c>
      <c r="D418" s="4">
        <v>0</v>
      </c>
      <c r="E418" s="22">
        <f t="shared" si="18"/>
        <v>-3.0000000000000001E-3</v>
      </c>
      <c r="F418">
        <f t="shared" si="19"/>
        <v>5.6619927362827945E-3</v>
      </c>
      <c r="G418">
        <f t="shared" si="20"/>
        <v>2.6211380072637169</v>
      </c>
    </row>
    <row r="419" spans="1:7" x14ac:dyDescent="0.25">
      <c r="A419" s="2" t="s">
        <v>10</v>
      </c>
      <c r="B419" s="3">
        <v>42262</v>
      </c>
      <c r="C419" s="4">
        <v>-0.74350000000000005</v>
      </c>
      <c r="D419" s="4">
        <v>-1.1834</v>
      </c>
      <c r="E419" s="22">
        <f t="shared" si="18"/>
        <v>-1.1863999999999999</v>
      </c>
      <c r="F419">
        <f t="shared" si="19"/>
        <v>-0.1573139898487044</v>
      </c>
      <c r="G419">
        <f t="shared" si="20"/>
        <v>-0.58618601015129568</v>
      </c>
    </row>
    <row r="420" spans="1:7" x14ac:dyDescent="0.25">
      <c r="A420" s="2" t="s">
        <v>10</v>
      </c>
      <c r="B420" s="3">
        <v>42263</v>
      </c>
      <c r="C420" s="4">
        <v>0.18640000000000001</v>
      </c>
      <c r="D420" s="4">
        <v>2.7399</v>
      </c>
      <c r="E420" s="22">
        <f t="shared" si="18"/>
        <v>2.7368999999999999</v>
      </c>
      <c r="F420">
        <f t="shared" si="19"/>
        <v>0.38299670178191947</v>
      </c>
      <c r="G420">
        <f t="shared" si="20"/>
        <v>-0.19659670178191946</v>
      </c>
    </row>
    <row r="421" spans="1:7" x14ac:dyDescent="0.25">
      <c r="A421" s="2" t="s">
        <v>10</v>
      </c>
      <c r="B421" s="3">
        <v>42264</v>
      </c>
      <c r="C421" s="4">
        <v>1.4787999999999999</v>
      </c>
      <c r="D421" s="4">
        <v>1.1516</v>
      </c>
      <c r="E421" s="22">
        <f t="shared" si="18"/>
        <v>1.1486000000000001</v>
      </c>
      <c r="F421">
        <f t="shared" si="19"/>
        <v>0.16425852944819025</v>
      </c>
      <c r="G421">
        <f t="shared" si="20"/>
        <v>1.3145414705518097</v>
      </c>
    </row>
    <row r="422" spans="1:7" x14ac:dyDescent="0.25">
      <c r="A422" s="2" t="s">
        <v>10</v>
      </c>
      <c r="B422" s="3">
        <v>42265</v>
      </c>
      <c r="C422" s="4">
        <v>2.7151000000000001</v>
      </c>
      <c r="D422" s="4">
        <v>0.38100000000000001</v>
      </c>
      <c r="E422" s="22">
        <f t="shared" si="18"/>
        <v>0.378</v>
      </c>
      <c r="F422">
        <f t="shared" si="19"/>
        <v>5.8132712159030923E-2</v>
      </c>
      <c r="G422">
        <f t="shared" si="20"/>
        <v>2.6569672878409691</v>
      </c>
    </row>
    <row r="423" spans="1:7" x14ac:dyDescent="0.25">
      <c r="A423" s="2" t="s">
        <v>10</v>
      </c>
      <c r="B423" s="3">
        <v>42268</v>
      </c>
      <c r="C423" s="4">
        <v>-3.6368</v>
      </c>
      <c r="D423" s="4">
        <v>-1.5326</v>
      </c>
      <c r="E423" s="22">
        <f t="shared" si="18"/>
        <v>-1.5355999999999999</v>
      </c>
      <c r="F423">
        <f t="shared" si="19"/>
        <v>-0.20540526339837276</v>
      </c>
      <c r="G423">
        <f t="shared" si="20"/>
        <v>-3.4313947366016273</v>
      </c>
    </row>
    <row r="424" spans="1:7" x14ac:dyDescent="0.25">
      <c r="A424" s="2" t="s">
        <v>10</v>
      </c>
      <c r="B424" s="3">
        <v>42269</v>
      </c>
      <c r="C424" s="4">
        <v>0.92169999999999996</v>
      </c>
      <c r="D424" s="4">
        <v>-0.38679999999999998</v>
      </c>
      <c r="E424" s="22">
        <f t="shared" si="18"/>
        <v>-0.38979999999999998</v>
      </c>
      <c r="F424">
        <f t="shared" si="19"/>
        <v>-4.7607493543819497E-2</v>
      </c>
      <c r="G424">
        <f t="shared" si="20"/>
        <v>0.96930749354381951</v>
      </c>
    </row>
    <row r="425" spans="1:7" x14ac:dyDescent="0.25">
      <c r="A425" s="2" t="s">
        <v>10</v>
      </c>
      <c r="B425" s="3">
        <v>42270</v>
      </c>
      <c r="C425" s="4">
        <v>-3.3584999999999998</v>
      </c>
      <c r="D425" s="4">
        <v>-3.5507</v>
      </c>
      <c r="E425" s="22">
        <f t="shared" si="18"/>
        <v>-3.5537000000000001</v>
      </c>
      <c r="F425">
        <f t="shared" si="19"/>
        <v>-0.48333481423051972</v>
      </c>
      <c r="G425">
        <f t="shared" si="20"/>
        <v>-2.8751651857694802</v>
      </c>
    </row>
    <row r="426" spans="1:7" x14ac:dyDescent="0.25">
      <c r="A426" s="2" t="s">
        <v>10</v>
      </c>
      <c r="B426" s="3">
        <v>42271</v>
      </c>
      <c r="C426" s="4">
        <v>-2.1093999999999999</v>
      </c>
      <c r="D426" s="4">
        <v>1.9881</v>
      </c>
      <c r="E426" s="22">
        <f t="shared" si="18"/>
        <v>1.9851000000000001</v>
      </c>
      <c r="F426">
        <f t="shared" si="19"/>
        <v>0.27945999085797713</v>
      </c>
      <c r="G426">
        <f t="shared" si="20"/>
        <v>-2.3888599908579771</v>
      </c>
    </row>
    <row r="427" spans="1:7" x14ac:dyDescent="0.25">
      <c r="A427" s="2" t="s">
        <v>10</v>
      </c>
      <c r="B427" s="3">
        <v>42272</v>
      </c>
      <c r="C427" s="4">
        <v>3.8027000000000002</v>
      </c>
      <c r="D427" s="4">
        <v>0</v>
      </c>
      <c r="E427" s="22">
        <f t="shared" si="18"/>
        <v>-3.0000000000000001E-3</v>
      </c>
      <c r="F427">
        <f t="shared" si="19"/>
        <v>5.6619927362827945E-3</v>
      </c>
      <c r="G427">
        <f t="shared" si="20"/>
        <v>3.7970380072637173</v>
      </c>
    </row>
    <row r="428" spans="1:7" x14ac:dyDescent="0.25">
      <c r="A428" s="2" t="s">
        <v>10</v>
      </c>
      <c r="B428" s="3">
        <v>42277</v>
      </c>
      <c r="C428" s="4">
        <v>-2.2642000000000002</v>
      </c>
      <c r="D428" s="4">
        <v>2.3347000000000002</v>
      </c>
      <c r="E428" s="22">
        <f t="shared" si="18"/>
        <v>2.3317000000000001</v>
      </c>
      <c r="F428">
        <f t="shared" si="19"/>
        <v>0.32719319650607293</v>
      </c>
      <c r="G428">
        <f t="shared" si="20"/>
        <v>-2.5913931965060732</v>
      </c>
    </row>
    <row r="429" spans="1:7" x14ac:dyDescent="0.25">
      <c r="A429" s="2" t="s">
        <v>10</v>
      </c>
      <c r="B429" s="3">
        <v>42278</v>
      </c>
      <c r="C429" s="4">
        <v>1.1385000000000001</v>
      </c>
      <c r="D429" s="4">
        <v>2.6566999999999998</v>
      </c>
      <c r="E429" s="22">
        <f t="shared" si="18"/>
        <v>2.6536999999999997</v>
      </c>
      <c r="F429">
        <f t="shared" si="19"/>
        <v>0.37153852893159756</v>
      </c>
      <c r="G429">
        <f t="shared" si="20"/>
        <v>0.76696147106840251</v>
      </c>
    </row>
    <row r="430" spans="1:7" x14ac:dyDescent="0.25">
      <c r="A430" s="2" t="s">
        <v>10</v>
      </c>
      <c r="B430" s="3">
        <v>42279</v>
      </c>
      <c r="C430" s="4">
        <v>1.3121</v>
      </c>
      <c r="D430" s="4">
        <v>-1.1299999999999999</v>
      </c>
      <c r="E430" s="22">
        <f t="shared" si="18"/>
        <v>-1.1329999999999998</v>
      </c>
      <c r="F430">
        <f t="shared" si="19"/>
        <v>-0.14995982602409874</v>
      </c>
      <c r="G430">
        <f t="shared" si="20"/>
        <v>1.4620598260240989</v>
      </c>
    </row>
    <row r="431" spans="1:7" x14ac:dyDescent="0.25">
      <c r="A431" s="2" t="s">
        <v>10</v>
      </c>
      <c r="B431" s="3">
        <v>42282</v>
      </c>
      <c r="C431" s="4">
        <v>0.92679999999999996</v>
      </c>
      <c r="D431" s="4">
        <v>0.37809999999999999</v>
      </c>
      <c r="E431" s="22">
        <f t="shared" si="18"/>
        <v>0.37509999999999999</v>
      </c>
      <c r="F431">
        <f t="shared" si="19"/>
        <v>5.7733328730353833E-2</v>
      </c>
      <c r="G431">
        <f t="shared" si="20"/>
        <v>0.8690666712696461</v>
      </c>
    </row>
    <row r="432" spans="1:7" x14ac:dyDescent="0.25">
      <c r="A432" s="2" t="s">
        <v>10</v>
      </c>
      <c r="B432" s="3">
        <v>42283</v>
      </c>
      <c r="C432" s="4">
        <v>7.6345999999999998</v>
      </c>
      <c r="D432" s="4">
        <v>0.37659999999999999</v>
      </c>
      <c r="E432" s="22">
        <f t="shared" si="18"/>
        <v>0.37359999999999999</v>
      </c>
      <c r="F432">
        <f t="shared" si="19"/>
        <v>5.7526751094831199E-2</v>
      </c>
      <c r="G432">
        <f t="shared" si="20"/>
        <v>7.5770732489051689</v>
      </c>
    </row>
    <row r="433" spans="1:7" x14ac:dyDescent="0.25">
      <c r="A433" s="2" t="s">
        <v>10</v>
      </c>
      <c r="B433" s="3">
        <v>42284</v>
      </c>
      <c r="C433" s="4">
        <v>0</v>
      </c>
      <c r="D433" s="4">
        <v>1.4925999999999999</v>
      </c>
      <c r="E433" s="22">
        <f t="shared" si="18"/>
        <v>1.4896</v>
      </c>
      <c r="F433">
        <f t="shared" si="19"/>
        <v>0.21122051192366822</v>
      </c>
      <c r="G433">
        <f t="shared" si="20"/>
        <v>-0.21122051192366822</v>
      </c>
    </row>
    <row r="434" spans="1:7" x14ac:dyDescent="0.25">
      <c r="A434" s="2" t="s">
        <v>10</v>
      </c>
      <c r="B434" s="3">
        <v>42285</v>
      </c>
      <c r="C434" s="4">
        <v>-2.4222999999999999</v>
      </c>
      <c r="D434" s="4">
        <v>0.73799999999999999</v>
      </c>
      <c r="E434" s="22">
        <f t="shared" si="18"/>
        <v>0.73499999999999999</v>
      </c>
      <c r="F434">
        <f t="shared" si="19"/>
        <v>0.10729818941341696</v>
      </c>
      <c r="G434">
        <f t="shared" si="20"/>
        <v>-2.529598189413417</v>
      </c>
    </row>
    <row r="435" spans="1:7" x14ac:dyDescent="0.25">
      <c r="A435" s="2" t="s">
        <v>10</v>
      </c>
      <c r="B435" s="3">
        <v>42289</v>
      </c>
      <c r="C435" s="4">
        <v>-1.2335</v>
      </c>
      <c r="D435" s="4">
        <v>1.8214999999999999</v>
      </c>
      <c r="E435" s="22">
        <f t="shared" si="18"/>
        <v>1.8185</v>
      </c>
      <c r="F435">
        <f t="shared" si="19"/>
        <v>0.25651610147259701</v>
      </c>
      <c r="G435">
        <f t="shared" si="20"/>
        <v>-1.490016101472597</v>
      </c>
    </row>
    <row r="436" spans="1:7" x14ac:dyDescent="0.25">
      <c r="A436" s="2" t="s">
        <v>10</v>
      </c>
      <c r="B436" s="3">
        <v>42290</v>
      </c>
      <c r="C436" s="4">
        <v>0.70669999999999999</v>
      </c>
      <c r="D436" s="4">
        <v>-0.72460000000000002</v>
      </c>
      <c r="E436" s="22">
        <f t="shared" si="18"/>
        <v>-0.72760000000000002</v>
      </c>
      <c r="F436">
        <f t="shared" si="19"/>
        <v>-9.412877706351587E-2</v>
      </c>
      <c r="G436">
        <f t="shared" si="20"/>
        <v>0.80082877706351585</v>
      </c>
    </row>
    <row r="437" spans="1:7" x14ac:dyDescent="0.25">
      <c r="A437" s="2" t="s">
        <v>10</v>
      </c>
      <c r="B437" s="3">
        <v>42291</v>
      </c>
      <c r="C437" s="4">
        <v>0.52680000000000005</v>
      </c>
      <c r="D437" s="4">
        <v>-0.72989999999999999</v>
      </c>
      <c r="E437" s="22">
        <f t="shared" si="18"/>
        <v>-0.7329</v>
      </c>
      <c r="F437">
        <f t="shared" si="19"/>
        <v>-9.4858684709029154E-2</v>
      </c>
      <c r="G437">
        <f t="shared" si="20"/>
        <v>0.62165868470902919</v>
      </c>
    </row>
    <row r="438" spans="1:7" x14ac:dyDescent="0.25">
      <c r="A438" s="2" t="s">
        <v>10</v>
      </c>
      <c r="B438" s="3">
        <v>42292</v>
      </c>
      <c r="C438" s="4">
        <v>-1.7667999999999999</v>
      </c>
      <c r="D438" s="4">
        <v>2.5318000000000001</v>
      </c>
      <c r="E438" s="22">
        <f t="shared" si="18"/>
        <v>2.5287999999999999</v>
      </c>
      <c r="F438">
        <f t="shared" si="19"/>
        <v>0.35433749781374657</v>
      </c>
      <c r="G438">
        <f t="shared" si="20"/>
        <v>-2.1211374978137467</v>
      </c>
    </row>
    <row r="439" spans="1:7" x14ac:dyDescent="0.25">
      <c r="A439" s="2" t="s">
        <v>10</v>
      </c>
      <c r="B439" s="3">
        <v>42293</v>
      </c>
      <c r="C439" s="4">
        <v>4.7005999999999997</v>
      </c>
      <c r="D439" s="4">
        <v>-1.8019000000000001</v>
      </c>
      <c r="E439" s="22">
        <f t="shared" si="18"/>
        <v>-1.8048999999999999</v>
      </c>
      <c r="F439">
        <f t="shared" si="19"/>
        <v>-0.24249283489586901</v>
      </c>
      <c r="G439">
        <f t="shared" si="20"/>
        <v>4.9430928348958689</v>
      </c>
    </row>
    <row r="440" spans="1:7" x14ac:dyDescent="0.25">
      <c r="A440" s="2" t="s">
        <v>10</v>
      </c>
      <c r="B440" s="3">
        <v>42296</v>
      </c>
      <c r="C440" s="4">
        <v>0</v>
      </c>
      <c r="D440" s="4">
        <v>0.36299999999999999</v>
      </c>
      <c r="E440" s="22">
        <f t="shared" si="18"/>
        <v>0.36</v>
      </c>
      <c r="F440">
        <f t="shared" si="19"/>
        <v>5.565378053275935E-2</v>
      </c>
      <c r="G440">
        <f t="shared" si="20"/>
        <v>-5.565378053275935E-2</v>
      </c>
    </row>
    <row r="441" spans="1:7" x14ac:dyDescent="0.25">
      <c r="A441" s="2" t="s">
        <v>10</v>
      </c>
      <c r="B441" s="3">
        <v>42297</v>
      </c>
      <c r="C441" s="4">
        <v>-0.68259999999999998</v>
      </c>
      <c r="D441" s="4">
        <v>0.72199999999999998</v>
      </c>
      <c r="E441" s="22">
        <f t="shared" si="18"/>
        <v>0.71899999999999997</v>
      </c>
      <c r="F441">
        <f t="shared" si="19"/>
        <v>0.10509469463450889</v>
      </c>
      <c r="G441">
        <f t="shared" si="20"/>
        <v>-0.78769469463450892</v>
      </c>
    </row>
    <row r="442" spans="1:7" x14ac:dyDescent="0.25">
      <c r="A442" s="2" t="s">
        <v>10</v>
      </c>
      <c r="B442" s="3">
        <v>42298</v>
      </c>
      <c r="C442" s="4">
        <v>-0.34310000000000002</v>
      </c>
      <c r="D442" s="4">
        <v>-0.3604</v>
      </c>
      <c r="E442" s="22">
        <f t="shared" si="18"/>
        <v>-0.3634</v>
      </c>
      <c r="F442">
        <f t="shared" si="19"/>
        <v>-4.3971727158621202E-2</v>
      </c>
      <c r="G442">
        <f t="shared" si="20"/>
        <v>-0.29912827284137883</v>
      </c>
    </row>
    <row r="443" spans="1:7" x14ac:dyDescent="0.25">
      <c r="A443" s="2" t="s">
        <v>10</v>
      </c>
      <c r="B443" s="3">
        <v>42299</v>
      </c>
      <c r="C443" s="4">
        <v>3.5447000000000002</v>
      </c>
      <c r="D443" s="4">
        <v>-0.72460000000000002</v>
      </c>
      <c r="E443" s="22">
        <f t="shared" si="18"/>
        <v>-0.72760000000000002</v>
      </c>
      <c r="F443">
        <f t="shared" si="19"/>
        <v>-9.412877706351587E-2</v>
      </c>
      <c r="G443">
        <f t="shared" si="20"/>
        <v>3.6388287770635159</v>
      </c>
    </row>
    <row r="444" spans="1:7" x14ac:dyDescent="0.25">
      <c r="A444" s="2" t="s">
        <v>10</v>
      </c>
      <c r="B444" s="3">
        <v>42300</v>
      </c>
      <c r="C444" s="4">
        <v>-1.3355999999999999</v>
      </c>
      <c r="D444" s="4">
        <v>1.8019000000000001</v>
      </c>
      <c r="E444" s="22">
        <f t="shared" si="18"/>
        <v>1.7989000000000002</v>
      </c>
      <c r="F444">
        <f t="shared" si="19"/>
        <v>0.25381682036843461</v>
      </c>
      <c r="G444">
        <f t="shared" si="20"/>
        <v>-1.5894168203684345</v>
      </c>
    </row>
    <row r="445" spans="1:7" x14ac:dyDescent="0.25">
      <c r="A445" s="2" t="s">
        <v>10</v>
      </c>
      <c r="B445" s="3">
        <v>42303</v>
      </c>
      <c r="C445" s="4">
        <v>0</v>
      </c>
      <c r="D445" s="4">
        <v>0</v>
      </c>
      <c r="E445" s="22">
        <f t="shared" si="18"/>
        <v>-3.0000000000000001E-3</v>
      </c>
      <c r="F445">
        <f t="shared" si="19"/>
        <v>5.6619927362827945E-3</v>
      </c>
      <c r="G445">
        <f t="shared" si="20"/>
        <v>-5.6619927362827945E-3</v>
      </c>
    </row>
    <row r="446" spans="1:7" x14ac:dyDescent="0.25">
      <c r="A446" s="2" t="s">
        <v>10</v>
      </c>
      <c r="B446" s="3">
        <v>42304</v>
      </c>
      <c r="C446" s="4">
        <v>-0.67449999999999999</v>
      </c>
      <c r="D446" s="4">
        <v>-0.71679999999999999</v>
      </c>
      <c r="E446" s="22">
        <f t="shared" si="18"/>
        <v>-0.7198</v>
      </c>
      <c r="F446">
        <f t="shared" si="19"/>
        <v>-9.3054573358798187E-2</v>
      </c>
      <c r="G446">
        <f t="shared" si="20"/>
        <v>-0.5814454266412018</v>
      </c>
    </row>
    <row r="447" spans="1:7" x14ac:dyDescent="0.25">
      <c r="A447" s="2" t="s">
        <v>10</v>
      </c>
      <c r="B447" s="3">
        <v>42305</v>
      </c>
      <c r="C447" s="4">
        <v>0.1691</v>
      </c>
      <c r="D447" s="4">
        <v>-0.72199999999999998</v>
      </c>
      <c r="E447" s="22">
        <f t="shared" si="18"/>
        <v>-0.72499999999999998</v>
      </c>
      <c r="F447">
        <f t="shared" si="19"/>
        <v>-9.37707091619433E-2</v>
      </c>
      <c r="G447">
        <f t="shared" si="20"/>
        <v>0.26287070916194333</v>
      </c>
    </row>
    <row r="448" spans="1:7" x14ac:dyDescent="0.25">
      <c r="A448" s="2" t="s">
        <v>10</v>
      </c>
      <c r="B448" s="3">
        <v>42306</v>
      </c>
      <c r="C448" s="4">
        <v>-2.0478999999999998</v>
      </c>
      <c r="D448" s="4">
        <v>-1.0929</v>
      </c>
      <c r="E448" s="22">
        <f t="shared" si="18"/>
        <v>-1.0958999999999999</v>
      </c>
      <c r="F448">
        <f t="shared" si="19"/>
        <v>-0.1448504725055057</v>
      </c>
      <c r="G448">
        <f t="shared" si="20"/>
        <v>-1.9030495274944941</v>
      </c>
    </row>
    <row r="449" spans="1:7" x14ac:dyDescent="0.25">
      <c r="A449" s="2" t="s">
        <v>10</v>
      </c>
      <c r="B449" s="3">
        <v>42307</v>
      </c>
      <c r="C449" s="4">
        <v>-1.5639000000000001</v>
      </c>
      <c r="D449" s="4">
        <v>0</v>
      </c>
      <c r="E449" s="22">
        <f t="shared" si="18"/>
        <v>-3.0000000000000001E-3</v>
      </c>
      <c r="F449">
        <f t="shared" si="19"/>
        <v>5.6619927362827945E-3</v>
      </c>
      <c r="G449">
        <f t="shared" si="20"/>
        <v>-1.5695619927362829</v>
      </c>
    </row>
    <row r="450" spans="1:7" x14ac:dyDescent="0.25">
      <c r="A450" s="2" t="s">
        <v>10</v>
      </c>
      <c r="B450" s="3">
        <v>42310</v>
      </c>
      <c r="C450" s="4">
        <v>1.9080999999999999</v>
      </c>
      <c r="D450" s="4">
        <v>0.72989999999999999</v>
      </c>
      <c r="E450" s="22">
        <f t="shared" si="18"/>
        <v>0.72689999999999999</v>
      </c>
      <c r="F450">
        <f t="shared" si="19"/>
        <v>0.10618267018159475</v>
      </c>
      <c r="G450">
        <f t="shared" si="20"/>
        <v>1.8019173298184052</v>
      </c>
    </row>
    <row r="451" spans="1:7" x14ac:dyDescent="0.25">
      <c r="A451" s="2" t="s">
        <v>10</v>
      </c>
      <c r="B451" s="3">
        <v>42311</v>
      </c>
      <c r="C451" s="4">
        <v>0.85540000000000005</v>
      </c>
      <c r="D451" s="4">
        <v>1.4440999999999999</v>
      </c>
      <c r="E451" s="22">
        <f t="shared" ref="E451:E514" si="21">D451-$L$1</f>
        <v>1.4411</v>
      </c>
      <c r="F451">
        <f t="shared" ref="F451:F514" si="22">L$2+L$3*E451</f>
        <v>0.20454116837510319</v>
      </c>
      <c r="G451">
        <f t="shared" ref="G451:G514" si="23">C451-F451</f>
        <v>0.65085883162489688</v>
      </c>
    </row>
    <row r="452" spans="1:7" x14ac:dyDescent="0.25">
      <c r="A452" s="2" t="s">
        <v>10</v>
      </c>
      <c r="B452" s="3">
        <v>42312</v>
      </c>
      <c r="C452" s="4">
        <v>-3.2902999999999998</v>
      </c>
      <c r="D452" s="4">
        <v>3.5215000000000001</v>
      </c>
      <c r="E452" s="22">
        <f t="shared" si="21"/>
        <v>3.5185</v>
      </c>
      <c r="F452">
        <f t="shared" si="22"/>
        <v>0.49063742173157809</v>
      </c>
      <c r="G452">
        <f t="shared" si="23"/>
        <v>-3.7809374217315779</v>
      </c>
    </row>
    <row r="453" spans="1:7" x14ac:dyDescent="0.25">
      <c r="A453" s="2" t="s">
        <v>10</v>
      </c>
      <c r="B453" s="3">
        <v>42313</v>
      </c>
      <c r="C453" s="4">
        <v>-0.35270000000000001</v>
      </c>
      <c r="D453" s="4">
        <v>-1.3937999999999999</v>
      </c>
      <c r="E453" s="22">
        <f t="shared" si="21"/>
        <v>-1.3967999999999998</v>
      </c>
      <c r="F453">
        <f t="shared" si="22"/>
        <v>-0.18628994619134534</v>
      </c>
      <c r="G453">
        <f t="shared" si="23"/>
        <v>-0.16641005380865467</v>
      </c>
    </row>
    <row r="454" spans="1:7" x14ac:dyDescent="0.25">
      <c r="A454" s="2" t="s">
        <v>10</v>
      </c>
      <c r="B454" s="3">
        <v>42314</v>
      </c>
      <c r="C454" s="4">
        <v>0.35270000000000001</v>
      </c>
      <c r="D454" s="4">
        <v>-1.77</v>
      </c>
      <c r="E454" s="22">
        <f t="shared" si="21"/>
        <v>-1.7729999999999999</v>
      </c>
      <c r="F454">
        <f t="shared" si="22"/>
        <v>-0.23809961718042108</v>
      </c>
      <c r="G454">
        <f t="shared" si="23"/>
        <v>0.59079961718042107</v>
      </c>
    </row>
    <row r="455" spans="1:7" x14ac:dyDescent="0.25">
      <c r="A455" s="2" t="s">
        <v>10</v>
      </c>
      <c r="B455" s="3">
        <v>42317</v>
      </c>
      <c r="C455" s="4">
        <v>-3.2202999999999999</v>
      </c>
      <c r="D455" s="4">
        <v>1.4185000000000001</v>
      </c>
      <c r="E455" s="22">
        <f t="shared" si="21"/>
        <v>1.4155000000000002</v>
      </c>
      <c r="F455">
        <f t="shared" si="22"/>
        <v>0.20101557672885031</v>
      </c>
      <c r="G455">
        <f t="shared" si="23"/>
        <v>-3.4213155767288503</v>
      </c>
    </row>
    <row r="456" spans="1:7" x14ac:dyDescent="0.25">
      <c r="A456" s="2" t="s">
        <v>10</v>
      </c>
      <c r="B456" s="3">
        <v>42318</v>
      </c>
      <c r="C456" s="4">
        <v>-0.91320000000000001</v>
      </c>
      <c r="D456" s="4">
        <v>-1.7762</v>
      </c>
      <c r="E456" s="22">
        <f t="shared" si="21"/>
        <v>-1.7791999999999999</v>
      </c>
      <c r="F456">
        <f t="shared" si="22"/>
        <v>-0.23895347140724793</v>
      </c>
      <c r="G456">
        <f t="shared" si="23"/>
        <v>-0.67424652859275214</v>
      </c>
    </row>
    <row r="457" spans="1:7" x14ac:dyDescent="0.25">
      <c r="A457" s="2" t="s">
        <v>10</v>
      </c>
      <c r="B457" s="3">
        <v>42319</v>
      </c>
      <c r="C457" s="4">
        <v>-0.92169999999999996</v>
      </c>
      <c r="D457" s="4">
        <v>-1.4440999999999999</v>
      </c>
      <c r="E457" s="22">
        <f t="shared" si="21"/>
        <v>-1.4470999999999998</v>
      </c>
      <c r="F457">
        <f t="shared" si="22"/>
        <v>-0.19321718290253756</v>
      </c>
      <c r="G457">
        <f t="shared" si="23"/>
        <v>-0.72848281709746243</v>
      </c>
    </row>
    <row r="458" spans="1:7" x14ac:dyDescent="0.25">
      <c r="A458" s="2" t="s">
        <v>10</v>
      </c>
      <c r="B458" s="3">
        <v>42320</v>
      </c>
      <c r="C458" s="4">
        <v>-1.4925999999999999</v>
      </c>
      <c r="D458" s="4">
        <v>0.72460000000000002</v>
      </c>
      <c r="E458" s="22">
        <f t="shared" si="21"/>
        <v>0.72160000000000002</v>
      </c>
      <c r="F458">
        <f t="shared" si="22"/>
        <v>0.10545276253608146</v>
      </c>
      <c r="G458">
        <f t="shared" si="23"/>
        <v>-1.5980527625360814</v>
      </c>
    </row>
    <row r="459" spans="1:7" x14ac:dyDescent="0.25">
      <c r="A459" s="2" t="s">
        <v>10</v>
      </c>
      <c r="B459" s="3">
        <v>42321</v>
      </c>
      <c r="C459" s="4">
        <v>0</v>
      </c>
      <c r="D459" s="4">
        <v>-1.8214999999999999</v>
      </c>
      <c r="E459" s="22">
        <f t="shared" si="21"/>
        <v>-1.8244999999999998</v>
      </c>
      <c r="F459">
        <f t="shared" si="22"/>
        <v>-0.24519211600003138</v>
      </c>
      <c r="G459">
        <f t="shared" si="23"/>
        <v>0.24519211600003138</v>
      </c>
    </row>
    <row r="460" spans="1:7" x14ac:dyDescent="0.25">
      <c r="A460" s="2" t="s">
        <v>10</v>
      </c>
      <c r="B460" s="3">
        <v>42324</v>
      </c>
      <c r="C460" s="4">
        <v>-1.3245</v>
      </c>
      <c r="D460" s="4">
        <v>-0.73799999999999999</v>
      </c>
      <c r="E460" s="22">
        <f t="shared" si="21"/>
        <v>-0.74099999999999999</v>
      </c>
      <c r="F460">
        <f t="shared" si="22"/>
        <v>-9.5974203940851363E-2</v>
      </c>
      <c r="G460">
        <f t="shared" si="23"/>
        <v>-1.2285257960591487</v>
      </c>
    </row>
    <row r="461" spans="1:7" x14ac:dyDescent="0.25">
      <c r="A461" s="2" t="s">
        <v>10</v>
      </c>
      <c r="B461" s="3">
        <v>42325</v>
      </c>
      <c r="C461" s="4">
        <v>1.5123</v>
      </c>
      <c r="D461" s="4">
        <v>2.5596000000000001</v>
      </c>
      <c r="E461" s="22">
        <f t="shared" si="21"/>
        <v>2.5566</v>
      </c>
      <c r="F461">
        <f t="shared" si="22"/>
        <v>0.35816606999209932</v>
      </c>
      <c r="G461">
        <f t="shared" si="23"/>
        <v>1.1541339300079008</v>
      </c>
    </row>
    <row r="462" spans="1:7" x14ac:dyDescent="0.25">
      <c r="A462" s="2" t="s">
        <v>10</v>
      </c>
      <c r="B462" s="3">
        <v>42326</v>
      </c>
      <c r="C462" s="4">
        <v>0.18740000000000001</v>
      </c>
      <c r="D462" s="4">
        <v>-1.0889</v>
      </c>
      <c r="E462" s="22">
        <f t="shared" si="21"/>
        <v>-1.0918999999999999</v>
      </c>
      <c r="F462">
        <f t="shared" si="22"/>
        <v>-0.1442995988107787</v>
      </c>
      <c r="G462">
        <f t="shared" si="23"/>
        <v>0.33169959881077871</v>
      </c>
    </row>
    <row r="463" spans="1:7" x14ac:dyDescent="0.25">
      <c r="A463" s="2" t="s">
        <v>10</v>
      </c>
      <c r="B463" s="3">
        <v>42327</v>
      </c>
      <c r="C463" s="4">
        <v>-0.37519999999999998</v>
      </c>
      <c r="D463" s="4">
        <v>2.5226999999999999</v>
      </c>
      <c r="E463" s="22">
        <f t="shared" si="21"/>
        <v>2.5196999999999998</v>
      </c>
      <c r="F463">
        <f t="shared" si="22"/>
        <v>0.35308426015824257</v>
      </c>
      <c r="G463">
        <f t="shared" si="23"/>
        <v>-0.72828426015824255</v>
      </c>
    </row>
    <row r="464" spans="1:7" x14ac:dyDescent="0.25">
      <c r="A464" s="2" t="s">
        <v>10</v>
      </c>
      <c r="B464" s="3">
        <v>42328</v>
      </c>
      <c r="C464" s="4">
        <v>0</v>
      </c>
      <c r="D464" s="4">
        <v>0.35520000000000002</v>
      </c>
      <c r="E464" s="22">
        <f t="shared" si="21"/>
        <v>0.35220000000000001</v>
      </c>
      <c r="F464">
        <f t="shared" si="22"/>
        <v>5.4579576828041682E-2</v>
      </c>
      <c r="G464">
        <f t="shared" si="23"/>
        <v>-5.4579576828041682E-2</v>
      </c>
    </row>
    <row r="465" spans="1:7" x14ac:dyDescent="0.25">
      <c r="A465" s="2" t="s">
        <v>10</v>
      </c>
      <c r="B465" s="3">
        <v>42331</v>
      </c>
      <c r="C465" s="4">
        <v>-0.94430000000000003</v>
      </c>
      <c r="D465" s="4">
        <v>0</v>
      </c>
      <c r="E465" s="22">
        <f t="shared" si="21"/>
        <v>-3.0000000000000001E-3</v>
      </c>
      <c r="F465">
        <f t="shared" si="22"/>
        <v>5.6619927362827945E-3</v>
      </c>
      <c r="G465">
        <f t="shared" si="23"/>
        <v>-0.94996199273628279</v>
      </c>
    </row>
    <row r="466" spans="1:7" x14ac:dyDescent="0.25">
      <c r="A466" s="2" t="s">
        <v>10</v>
      </c>
      <c r="B466" s="3">
        <v>42332</v>
      </c>
      <c r="C466" s="4">
        <v>-1.3371999999999999</v>
      </c>
      <c r="D466" s="4">
        <v>-1.0694999999999999</v>
      </c>
      <c r="E466" s="22">
        <f t="shared" si="21"/>
        <v>-1.0724999999999998</v>
      </c>
      <c r="F466">
        <f t="shared" si="22"/>
        <v>-0.14162786139135267</v>
      </c>
      <c r="G466">
        <f t="shared" si="23"/>
        <v>-1.1955721386086473</v>
      </c>
    </row>
    <row r="467" spans="1:7" x14ac:dyDescent="0.25">
      <c r="A467" s="2" t="s">
        <v>10</v>
      </c>
      <c r="B467" s="3">
        <v>42333</v>
      </c>
      <c r="C467" s="4">
        <v>-0.96619999999999995</v>
      </c>
      <c r="D467" s="4">
        <v>1.0694999999999999</v>
      </c>
      <c r="E467" s="22">
        <f t="shared" si="21"/>
        <v>1.0665</v>
      </c>
      <c r="F467">
        <f t="shared" si="22"/>
        <v>0.15295184686391827</v>
      </c>
      <c r="G467">
        <f t="shared" si="23"/>
        <v>-1.1191518468639181</v>
      </c>
    </row>
    <row r="468" spans="1:7" x14ac:dyDescent="0.25">
      <c r="A468" s="2" t="s">
        <v>10</v>
      </c>
      <c r="B468" s="3">
        <v>42334</v>
      </c>
      <c r="C468" s="4">
        <v>0.96619999999999995</v>
      </c>
      <c r="D468" s="4">
        <v>1.0582</v>
      </c>
      <c r="E468" s="22">
        <f t="shared" si="21"/>
        <v>1.0552000000000001</v>
      </c>
      <c r="F468">
        <f t="shared" si="22"/>
        <v>0.15139562867631448</v>
      </c>
      <c r="G468">
        <f t="shared" si="23"/>
        <v>0.81480437132368544</v>
      </c>
    </row>
    <row r="469" spans="1:7" x14ac:dyDescent="0.25">
      <c r="A469" s="2" t="s">
        <v>10</v>
      </c>
      <c r="B469" s="3">
        <v>42335</v>
      </c>
      <c r="C469" s="4">
        <v>0.57530000000000003</v>
      </c>
      <c r="D469" s="4">
        <v>-2.4868000000000001</v>
      </c>
      <c r="E469" s="22">
        <f t="shared" si="21"/>
        <v>-2.4898000000000002</v>
      </c>
      <c r="F469">
        <f t="shared" si="22"/>
        <v>-0.33681618327550211</v>
      </c>
      <c r="G469">
        <f t="shared" si="23"/>
        <v>0.91211618327550215</v>
      </c>
    </row>
    <row r="470" spans="1:7" x14ac:dyDescent="0.25">
      <c r="A470" s="2" t="s">
        <v>10</v>
      </c>
      <c r="B470" s="3">
        <v>42338</v>
      </c>
      <c r="C470" s="4">
        <v>-0.57530000000000003</v>
      </c>
      <c r="D470" s="4">
        <v>0</v>
      </c>
      <c r="E470" s="22">
        <f t="shared" si="21"/>
        <v>-3.0000000000000001E-3</v>
      </c>
      <c r="F470">
        <f t="shared" si="22"/>
        <v>5.6619927362827945E-3</v>
      </c>
      <c r="G470">
        <f t="shared" si="23"/>
        <v>-0.5809619927362828</v>
      </c>
    </row>
    <row r="471" spans="1:7" x14ac:dyDescent="0.25">
      <c r="A471" s="2" t="s">
        <v>10</v>
      </c>
      <c r="B471" s="3">
        <v>42339</v>
      </c>
      <c r="C471" s="4">
        <v>1.5266999999999999</v>
      </c>
      <c r="D471" s="4">
        <v>2.4868000000000001</v>
      </c>
      <c r="E471" s="22">
        <f t="shared" si="21"/>
        <v>2.4838</v>
      </c>
      <c r="F471">
        <f t="shared" si="22"/>
        <v>0.34814016874806764</v>
      </c>
      <c r="G471">
        <f t="shared" si="23"/>
        <v>1.1785598312519323</v>
      </c>
    </row>
    <row r="472" spans="1:7" x14ac:dyDescent="0.25">
      <c r="A472" s="2" t="s">
        <v>10</v>
      </c>
      <c r="B472" s="3">
        <v>42340</v>
      </c>
      <c r="C472" s="4">
        <v>-1.5266999999999999</v>
      </c>
      <c r="D472" s="4">
        <v>0</v>
      </c>
      <c r="E472" s="22">
        <f t="shared" si="21"/>
        <v>-3.0000000000000001E-3</v>
      </c>
      <c r="F472">
        <f t="shared" si="22"/>
        <v>5.6619927362827945E-3</v>
      </c>
      <c r="G472">
        <f t="shared" si="23"/>
        <v>-1.5323619927362828</v>
      </c>
    </row>
    <row r="473" spans="1:7" x14ac:dyDescent="0.25">
      <c r="A473" s="2" t="s">
        <v>10</v>
      </c>
      <c r="B473" s="3">
        <v>42341</v>
      </c>
      <c r="C473" s="4">
        <v>0.38390000000000002</v>
      </c>
      <c r="D473" s="4">
        <v>0</v>
      </c>
      <c r="E473" s="22">
        <f t="shared" si="21"/>
        <v>-3.0000000000000001E-3</v>
      </c>
      <c r="F473">
        <f t="shared" si="22"/>
        <v>5.6619927362827945E-3</v>
      </c>
      <c r="G473">
        <f t="shared" si="23"/>
        <v>0.3782380072637172</v>
      </c>
    </row>
    <row r="474" spans="1:7" x14ac:dyDescent="0.25">
      <c r="A474" s="2" t="s">
        <v>10</v>
      </c>
      <c r="B474" s="3">
        <v>42342</v>
      </c>
      <c r="C474" s="4">
        <v>0.95330000000000004</v>
      </c>
      <c r="D474" s="4">
        <v>-1.4135</v>
      </c>
      <c r="E474" s="22">
        <f t="shared" si="21"/>
        <v>-1.4164999999999999</v>
      </c>
      <c r="F474">
        <f t="shared" si="22"/>
        <v>-0.18900299913787591</v>
      </c>
      <c r="G474">
        <f t="shared" si="23"/>
        <v>1.1423029991378759</v>
      </c>
    </row>
    <row r="475" spans="1:7" x14ac:dyDescent="0.25">
      <c r="A475" s="2" t="s">
        <v>10</v>
      </c>
      <c r="B475" s="3">
        <v>42345</v>
      </c>
      <c r="C475" s="4">
        <v>-1.7224999999999999</v>
      </c>
      <c r="D475" s="4">
        <v>2.1128</v>
      </c>
      <c r="E475" s="22">
        <f t="shared" si="21"/>
        <v>2.1097999999999999</v>
      </c>
      <c r="F475">
        <f t="shared" si="22"/>
        <v>0.29663347829109182</v>
      </c>
      <c r="G475">
        <f t="shared" si="23"/>
        <v>-2.0191334782910917</v>
      </c>
    </row>
    <row r="476" spans="1:7" x14ac:dyDescent="0.25">
      <c r="A476" s="2" t="s">
        <v>10</v>
      </c>
      <c r="B476" s="3">
        <v>42346</v>
      </c>
      <c r="C476" s="4">
        <v>-0.7752</v>
      </c>
      <c r="D476" s="4">
        <v>-0.69930000000000003</v>
      </c>
      <c r="E476" s="22">
        <f t="shared" si="21"/>
        <v>-0.70230000000000004</v>
      </c>
      <c r="F476">
        <f t="shared" si="22"/>
        <v>-9.0644500944367504E-2</v>
      </c>
      <c r="G476">
        <f t="shared" si="23"/>
        <v>-0.68455549905563251</v>
      </c>
    </row>
    <row r="477" spans="1:7" x14ac:dyDescent="0.25">
      <c r="A477" s="2" t="s">
        <v>10</v>
      </c>
      <c r="B477" s="3">
        <v>42347</v>
      </c>
      <c r="C477" s="4">
        <v>-2.5617000000000001</v>
      </c>
      <c r="D477" s="4">
        <v>-1.4135</v>
      </c>
      <c r="E477" s="22">
        <f t="shared" si="21"/>
        <v>-1.4164999999999999</v>
      </c>
      <c r="F477">
        <f t="shared" si="22"/>
        <v>-0.18900299913787591</v>
      </c>
      <c r="G477">
        <f t="shared" si="23"/>
        <v>-2.3726970008621242</v>
      </c>
    </row>
    <row r="478" spans="1:7" x14ac:dyDescent="0.25">
      <c r="A478" s="2" t="s">
        <v>10</v>
      </c>
      <c r="B478" s="3">
        <v>42348</v>
      </c>
      <c r="C478" s="4">
        <v>-0.4</v>
      </c>
      <c r="D478" s="4">
        <v>0.35520000000000002</v>
      </c>
      <c r="E478" s="22">
        <f t="shared" si="21"/>
        <v>0.35220000000000001</v>
      </c>
      <c r="F478">
        <f t="shared" si="22"/>
        <v>5.4579576828041682E-2</v>
      </c>
      <c r="G478">
        <f t="shared" si="23"/>
        <v>-0.45457957682804173</v>
      </c>
    </row>
    <row r="479" spans="1:7" x14ac:dyDescent="0.25">
      <c r="A479" s="2" t="s">
        <v>10</v>
      </c>
      <c r="B479" s="3">
        <v>42349</v>
      </c>
      <c r="C479" s="4">
        <v>-1.0071000000000001</v>
      </c>
      <c r="D479" s="4">
        <v>-1.0694999999999999</v>
      </c>
      <c r="E479" s="22">
        <f t="shared" si="21"/>
        <v>-1.0724999999999998</v>
      </c>
      <c r="F479">
        <f t="shared" si="22"/>
        <v>-0.14162786139135267</v>
      </c>
      <c r="G479">
        <f t="shared" si="23"/>
        <v>-0.86547213860864747</v>
      </c>
    </row>
    <row r="480" spans="1:7" x14ac:dyDescent="0.25">
      <c r="A480" s="2" t="s">
        <v>10</v>
      </c>
      <c r="B480" s="3">
        <v>42352</v>
      </c>
      <c r="C480" s="4">
        <v>-1.222</v>
      </c>
      <c r="D480" s="4">
        <v>-0.35909999999999997</v>
      </c>
      <c r="E480" s="22">
        <f t="shared" si="21"/>
        <v>-0.36209999999999998</v>
      </c>
      <c r="F480">
        <f t="shared" si="22"/>
        <v>-4.3792693207834917E-2</v>
      </c>
      <c r="G480">
        <f t="shared" si="23"/>
        <v>-1.178207306792165</v>
      </c>
    </row>
    <row r="481" spans="1:7" x14ac:dyDescent="0.25">
      <c r="A481" s="2" t="s">
        <v>10</v>
      </c>
      <c r="B481" s="3">
        <v>42353</v>
      </c>
      <c r="C481" s="4">
        <v>0.7147</v>
      </c>
      <c r="D481" s="4">
        <v>-0.72199999999999998</v>
      </c>
      <c r="E481" s="22">
        <f t="shared" si="21"/>
        <v>-0.72499999999999998</v>
      </c>
      <c r="F481">
        <f t="shared" si="22"/>
        <v>-9.37707091619433E-2</v>
      </c>
      <c r="G481">
        <f t="shared" si="23"/>
        <v>0.8084707091619433</v>
      </c>
    </row>
    <row r="482" spans="1:7" x14ac:dyDescent="0.25">
      <c r="A482" s="2" t="s">
        <v>10</v>
      </c>
      <c r="B482" s="3">
        <v>42354</v>
      </c>
      <c r="C482" s="4">
        <v>0.60850000000000004</v>
      </c>
      <c r="D482" s="4">
        <v>3.9081000000000001</v>
      </c>
      <c r="E482" s="22">
        <f t="shared" si="21"/>
        <v>3.9051</v>
      </c>
      <c r="F482">
        <f t="shared" si="22"/>
        <v>0.54387936432694406</v>
      </c>
      <c r="G482">
        <f t="shared" si="23"/>
        <v>6.4620635673055982E-2</v>
      </c>
    </row>
    <row r="483" spans="1:7" x14ac:dyDescent="0.25">
      <c r="A483" s="2" t="s">
        <v>10</v>
      </c>
      <c r="B483" s="3">
        <v>42355</v>
      </c>
      <c r="C483" s="4">
        <v>1.1061000000000001</v>
      </c>
      <c r="D483" s="4">
        <v>1.0399</v>
      </c>
      <c r="E483" s="22">
        <f t="shared" si="21"/>
        <v>1.0369000000000002</v>
      </c>
      <c r="F483">
        <f t="shared" si="22"/>
        <v>0.14887538152293839</v>
      </c>
      <c r="G483">
        <f t="shared" si="23"/>
        <v>0.95722461847706164</v>
      </c>
    </row>
    <row r="484" spans="1:7" x14ac:dyDescent="0.25">
      <c r="A484" s="2" t="s">
        <v>10</v>
      </c>
      <c r="B484" s="3">
        <v>42356</v>
      </c>
      <c r="C484" s="4">
        <v>-0.40079999999999999</v>
      </c>
      <c r="D484" s="4">
        <v>-2.0907</v>
      </c>
      <c r="E484" s="22">
        <f t="shared" si="21"/>
        <v>-2.0937000000000001</v>
      </c>
      <c r="F484">
        <f t="shared" si="22"/>
        <v>-0.28226591565515946</v>
      </c>
      <c r="G484">
        <f t="shared" si="23"/>
        <v>-0.11853408434484053</v>
      </c>
    </row>
    <row r="485" spans="1:7" x14ac:dyDescent="0.25">
      <c r="A485" s="2" t="s">
        <v>10</v>
      </c>
      <c r="B485" s="3">
        <v>42359</v>
      </c>
      <c r="C485" s="4">
        <v>-0.70530000000000004</v>
      </c>
      <c r="D485" s="4">
        <v>-0.35270000000000001</v>
      </c>
      <c r="E485" s="22">
        <f t="shared" si="21"/>
        <v>-0.35570000000000002</v>
      </c>
      <c r="F485">
        <f t="shared" si="22"/>
        <v>-4.2911295296271704E-2</v>
      </c>
      <c r="G485">
        <f t="shared" si="23"/>
        <v>-0.66238870470372835</v>
      </c>
    </row>
    <row r="486" spans="1:7" x14ac:dyDescent="0.25">
      <c r="A486" s="2" t="s">
        <v>10</v>
      </c>
      <c r="B486" s="3">
        <v>42360</v>
      </c>
      <c r="C486" s="4">
        <v>1.7042999999999999</v>
      </c>
      <c r="D486" s="4">
        <v>0.35270000000000001</v>
      </c>
      <c r="E486" s="22">
        <f t="shared" si="21"/>
        <v>0.34970000000000001</v>
      </c>
      <c r="F486">
        <f t="shared" si="22"/>
        <v>5.4235280768837296E-2</v>
      </c>
      <c r="G486">
        <f t="shared" si="23"/>
        <v>1.6500647192311626</v>
      </c>
    </row>
    <row r="487" spans="1:7" x14ac:dyDescent="0.25">
      <c r="A487" s="2" t="s">
        <v>10</v>
      </c>
      <c r="B487" s="3">
        <v>42361</v>
      </c>
      <c r="C487" s="4">
        <v>-0.89870000000000005</v>
      </c>
      <c r="D487" s="4">
        <v>-0.35270000000000001</v>
      </c>
      <c r="E487" s="22">
        <f t="shared" si="21"/>
        <v>-0.35570000000000002</v>
      </c>
      <c r="F487">
        <f t="shared" si="22"/>
        <v>-4.2911295296271704E-2</v>
      </c>
      <c r="G487">
        <f t="shared" si="23"/>
        <v>-0.85578870470372836</v>
      </c>
    </row>
    <row r="488" spans="1:7" x14ac:dyDescent="0.25">
      <c r="A488" s="2" t="s">
        <v>10</v>
      </c>
      <c r="B488" s="3">
        <v>42362</v>
      </c>
      <c r="C488" s="4">
        <v>0</v>
      </c>
      <c r="D488" s="4">
        <v>0.35270000000000001</v>
      </c>
      <c r="E488" s="22">
        <f t="shared" si="21"/>
        <v>0.34970000000000001</v>
      </c>
      <c r="F488">
        <f t="shared" si="22"/>
        <v>5.4235280768837296E-2</v>
      </c>
      <c r="G488">
        <f t="shared" si="23"/>
        <v>-5.4235280768837296E-2</v>
      </c>
    </row>
    <row r="489" spans="1:7" x14ac:dyDescent="0.25">
      <c r="A489" s="2" t="s">
        <v>10</v>
      </c>
      <c r="B489" s="3">
        <v>42363</v>
      </c>
      <c r="C489" s="4">
        <v>-0.60360000000000003</v>
      </c>
      <c r="D489" s="4">
        <v>0.70179999999999998</v>
      </c>
      <c r="E489" s="22">
        <f t="shared" si="21"/>
        <v>0.69879999999999998</v>
      </c>
      <c r="F489">
        <f t="shared" si="22"/>
        <v>0.10231278247613747</v>
      </c>
      <c r="G489">
        <f t="shared" si="23"/>
        <v>-0.70591278247613753</v>
      </c>
    </row>
    <row r="490" spans="1:7" x14ac:dyDescent="0.25">
      <c r="A490" s="2" t="s">
        <v>10</v>
      </c>
      <c r="B490" s="3">
        <v>42366</v>
      </c>
      <c r="C490" s="4">
        <v>-0.9123</v>
      </c>
      <c r="D490" s="4">
        <v>0.34899999999999998</v>
      </c>
      <c r="E490" s="22">
        <f t="shared" si="21"/>
        <v>0.34599999999999997</v>
      </c>
      <c r="F490">
        <f t="shared" si="22"/>
        <v>5.3725722601214804E-2</v>
      </c>
      <c r="G490">
        <f t="shared" si="23"/>
        <v>-0.96602572260121478</v>
      </c>
    </row>
    <row r="491" spans="1:7" x14ac:dyDescent="0.25">
      <c r="A491" s="2" t="s">
        <v>10</v>
      </c>
      <c r="B491" s="3">
        <v>42367</v>
      </c>
      <c r="C491" s="4">
        <v>0.1018</v>
      </c>
      <c r="D491" s="4">
        <v>-1.0508</v>
      </c>
      <c r="E491" s="22">
        <f t="shared" si="21"/>
        <v>-1.0537999999999998</v>
      </c>
      <c r="F491">
        <f t="shared" si="22"/>
        <v>-0.13905252686850386</v>
      </c>
      <c r="G491">
        <f t="shared" si="23"/>
        <v>0.24085252686850386</v>
      </c>
    </row>
    <row r="492" spans="1:7" x14ac:dyDescent="0.25">
      <c r="A492" s="2" t="s">
        <v>10</v>
      </c>
      <c r="B492" s="3">
        <v>42368</v>
      </c>
      <c r="C492" s="4">
        <v>0</v>
      </c>
      <c r="D492" s="4">
        <v>0.35149999999999998</v>
      </c>
      <c r="E492" s="22">
        <f t="shared" si="21"/>
        <v>0.34849999999999998</v>
      </c>
      <c r="F492">
        <f t="shared" si="22"/>
        <v>5.4070018660419182E-2</v>
      </c>
      <c r="G492">
        <f t="shared" si="23"/>
        <v>-5.4070018660419182E-2</v>
      </c>
    </row>
    <row r="493" spans="1:7" x14ac:dyDescent="0.25">
      <c r="A493" s="2" t="s">
        <v>10</v>
      </c>
      <c r="B493" s="3">
        <v>42369</v>
      </c>
      <c r="C493" s="4">
        <v>-0.30570000000000003</v>
      </c>
      <c r="D493" s="4">
        <v>0.3503</v>
      </c>
      <c r="E493" s="22">
        <f t="shared" si="21"/>
        <v>0.3473</v>
      </c>
      <c r="F493">
        <f t="shared" si="22"/>
        <v>5.3904756552001082E-2</v>
      </c>
      <c r="G493">
        <f t="shared" si="23"/>
        <v>-0.35960475655200108</v>
      </c>
    </row>
    <row r="494" spans="1:7" x14ac:dyDescent="0.25">
      <c r="A494" s="2" t="s">
        <v>10</v>
      </c>
      <c r="B494" s="3">
        <v>42373</v>
      </c>
      <c r="C494" s="4">
        <v>-1.6460999999999999</v>
      </c>
      <c r="D494" s="4">
        <v>-2.4780000000000002</v>
      </c>
      <c r="E494" s="22">
        <f t="shared" si="21"/>
        <v>-2.4810000000000003</v>
      </c>
      <c r="F494">
        <f t="shared" si="22"/>
        <v>-0.33560426114710268</v>
      </c>
      <c r="G494">
        <f t="shared" si="23"/>
        <v>-1.3104957388528973</v>
      </c>
    </row>
    <row r="495" spans="1:7" x14ac:dyDescent="0.25">
      <c r="A495" s="2" t="s">
        <v>10</v>
      </c>
      <c r="B495" s="3">
        <v>42374</v>
      </c>
      <c r="C495" s="4">
        <v>-0.83330000000000004</v>
      </c>
      <c r="D495" s="4">
        <v>-1.0810999999999999</v>
      </c>
      <c r="E495" s="22">
        <f t="shared" si="21"/>
        <v>-1.0840999999999998</v>
      </c>
      <c r="F495">
        <f t="shared" si="22"/>
        <v>-0.143225395106061</v>
      </c>
      <c r="G495">
        <f t="shared" si="23"/>
        <v>-0.69007460489393901</v>
      </c>
    </row>
    <row r="496" spans="1:7" x14ac:dyDescent="0.25">
      <c r="A496" s="2" t="s">
        <v>10</v>
      </c>
      <c r="B496" s="3">
        <v>42375</v>
      </c>
      <c r="C496" s="4">
        <v>-0.62960000000000005</v>
      </c>
      <c r="D496" s="4">
        <v>-1.8282</v>
      </c>
      <c r="E496" s="22">
        <f t="shared" si="21"/>
        <v>-1.8311999999999999</v>
      </c>
      <c r="F496">
        <f t="shared" si="22"/>
        <v>-0.24611482943869911</v>
      </c>
      <c r="G496">
        <f t="shared" si="23"/>
        <v>-0.38348517056130094</v>
      </c>
    </row>
    <row r="497" spans="1:7" x14ac:dyDescent="0.25">
      <c r="A497" s="2" t="s">
        <v>10</v>
      </c>
      <c r="B497" s="3">
        <v>42376</v>
      </c>
      <c r="C497" s="4">
        <v>-5.1847000000000003</v>
      </c>
      <c r="D497" s="4">
        <v>-1.8623000000000001</v>
      </c>
      <c r="E497" s="22">
        <f t="shared" si="21"/>
        <v>-1.8653</v>
      </c>
      <c r="F497">
        <f t="shared" si="22"/>
        <v>-0.25081102768624691</v>
      </c>
      <c r="G497">
        <f t="shared" si="23"/>
        <v>-4.9338889723137536</v>
      </c>
    </row>
    <row r="498" spans="1:7" x14ac:dyDescent="0.25">
      <c r="A498" s="2" t="s">
        <v>10</v>
      </c>
      <c r="B498" s="3">
        <v>42377</v>
      </c>
      <c r="C498" s="4">
        <v>2.3014999999999999</v>
      </c>
      <c r="D498" s="4">
        <v>0.74909999999999999</v>
      </c>
      <c r="E498" s="22">
        <f t="shared" si="21"/>
        <v>0.74609999999999999</v>
      </c>
      <c r="F498">
        <f t="shared" si="22"/>
        <v>0.10882686391628442</v>
      </c>
      <c r="G498">
        <f t="shared" si="23"/>
        <v>2.1926731360837155</v>
      </c>
    </row>
    <row r="499" spans="1:7" x14ac:dyDescent="0.25">
      <c r="A499" s="2" t="s">
        <v>10</v>
      </c>
      <c r="B499" s="3">
        <v>42380</v>
      </c>
      <c r="C499" s="4">
        <v>-1.859</v>
      </c>
      <c r="D499" s="4">
        <v>-0.74909999999999999</v>
      </c>
      <c r="E499" s="22">
        <f t="shared" si="21"/>
        <v>-0.75209999999999999</v>
      </c>
      <c r="F499">
        <f t="shared" si="22"/>
        <v>-9.7502878443718827E-2</v>
      </c>
      <c r="G499">
        <f t="shared" si="23"/>
        <v>-1.7614971215562811</v>
      </c>
    </row>
    <row r="500" spans="1:7" x14ac:dyDescent="0.25">
      <c r="A500" s="2" t="s">
        <v>10</v>
      </c>
      <c r="B500" s="3">
        <v>42381</v>
      </c>
      <c r="C500" s="4">
        <v>-0.88690000000000002</v>
      </c>
      <c r="D500" s="4">
        <v>0</v>
      </c>
      <c r="E500" s="22">
        <f t="shared" si="21"/>
        <v>-3.0000000000000001E-3</v>
      </c>
      <c r="F500">
        <f t="shared" si="22"/>
        <v>5.6619927362827945E-3</v>
      </c>
      <c r="G500">
        <f t="shared" si="23"/>
        <v>-0.89256199273628278</v>
      </c>
    </row>
    <row r="501" spans="1:7" x14ac:dyDescent="0.25">
      <c r="A501" s="2" t="s">
        <v>10</v>
      </c>
      <c r="B501" s="3">
        <v>42382</v>
      </c>
      <c r="C501" s="4">
        <v>-0.6704</v>
      </c>
      <c r="D501" s="4">
        <v>0.37519999999999998</v>
      </c>
      <c r="E501" s="22">
        <f t="shared" si="21"/>
        <v>0.37219999999999998</v>
      </c>
      <c r="F501">
        <f t="shared" si="22"/>
        <v>5.7333945301676743E-2</v>
      </c>
      <c r="G501">
        <f t="shared" si="23"/>
        <v>-0.72773394530167679</v>
      </c>
    </row>
    <row r="502" spans="1:7" x14ac:dyDescent="0.25">
      <c r="A502" s="2" t="s">
        <v>10</v>
      </c>
      <c r="B502" s="3">
        <v>42383</v>
      </c>
      <c r="C502" s="4">
        <v>-2.1530999999999998</v>
      </c>
      <c r="D502" s="4">
        <v>-1.5095000000000001</v>
      </c>
      <c r="E502" s="22">
        <f t="shared" si="21"/>
        <v>-1.5125</v>
      </c>
      <c r="F502">
        <f t="shared" si="22"/>
        <v>-0.20222396781132426</v>
      </c>
      <c r="G502">
        <f t="shared" si="23"/>
        <v>-1.9508760321886756</v>
      </c>
    </row>
    <row r="503" spans="1:7" x14ac:dyDescent="0.25">
      <c r="A503" s="2" t="s">
        <v>10</v>
      </c>
      <c r="B503" s="3">
        <v>42384</v>
      </c>
      <c r="C503" s="4">
        <v>0.57110000000000005</v>
      </c>
      <c r="D503" s="4">
        <v>4.0974000000000004</v>
      </c>
      <c r="E503" s="22">
        <f t="shared" si="21"/>
        <v>4.0944000000000003</v>
      </c>
      <c r="F503">
        <f t="shared" si="22"/>
        <v>0.56994946192990004</v>
      </c>
      <c r="G503">
        <f t="shared" si="23"/>
        <v>1.1505380701000156E-3</v>
      </c>
    </row>
    <row r="504" spans="1:7" x14ac:dyDescent="0.25">
      <c r="A504" s="2" t="s">
        <v>10</v>
      </c>
      <c r="B504" s="3">
        <v>42387</v>
      </c>
      <c r="C504" s="4">
        <v>4.7812999999999999</v>
      </c>
      <c r="D504" s="4">
        <v>0</v>
      </c>
      <c r="E504" s="22">
        <f t="shared" si="21"/>
        <v>-3.0000000000000001E-3</v>
      </c>
      <c r="F504">
        <f t="shared" si="22"/>
        <v>5.6619927362827945E-3</v>
      </c>
      <c r="G504">
        <f t="shared" si="23"/>
        <v>4.7756380072637175</v>
      </c>
    </row>
    <row r="505" spans="1:7" x14ac:dyDescent="0.25">
      <c r="A505" s="2" t="s">
        <v>10</v>
      </c>
      <c r="B505" s="3">
        <v>42388</v>
      </c>
      <c r="C505" s="4">
        <v>-1.6420999999999999</v>
      </c>
      <c r="D505" s="4">
        <v>0.72729999999999995</v>
      </c>
      <c r="E505" s="22">
        <f t="shared" si="21"/>
        <v>0.72429999999999994</v>
      </c>
      <c r="F505">
        <f t="shared" si="22"/>
        <v>0.10582460228002219</v>
      </c>
      <c r="G505">
        <f t="shared" si="23"/>
        <v>-1.7479246022800221</v>
      </c>
    </row>
    <row r="506" spans="1:7" x14ac:dyDescent="0.25">
      <c r="A506" s="2" t="s">
        <v>10</v>
      </c>
      <c r="B506" s="3">
        <v>42389</v>
      </c>
      <c r="C506" s="4">
        <v>-1.4453</v>
      </c>
      <c r="D506" s="4">
        <v>-2.5689000000000002</v>
      </c>
      <c r="E506" s="22">
        <f t="shared" si="21"/>
        <v>-2.5719000000000003</v>
      </c>
      <c r="F506">
        <f t="shared" si="22"/>
        <v>-0.34812286585977409</v>
      </c>
      <c r="G506">
        <f t="shared" si="23"/>
        <v>-1.0971771341402259</v>
      </c>
    </row>
    <row r="507" spans="1:7" x14ac:dyDescent="0.25">
      <c r="A507" s="2" t="s">
        <v>10</v>
      </c>
      <c r="B507" s="3">
        <v>42390</v>
      </c>
      <c r="C507" s="4">
        <v>-1.4664999999999999</v>
      </c>
      <c r="D507" s="4">
        <v>0.37109999999999999</v>
      </c>
      <c r="E507" s="22">
        <f t="shared" si="21"/>
        <v>0.36809999999999998</v>
      </c>
      <c r="F507">
        <f t="shared" si="22"/>
        <v>5.676929976458156E-2</v>
      </c>
      <c r="G507">
        <f t="shared" si="23"/>
        <v>-1.5232692997645816</v>
      </c>
    </row>
    <row r="508" spans="1:7" x14ac:dyDescent="0.25">
      <c r="A508" s="2" t="s">
        <v>10</v>
      </c>
      <c r="B508" s="3">
        <v>42391</v>
      </c>
      <c r="C508" s="4">
        <v>0.34029999999999999</v>
      </c>
      <c r="D508" s="4">
        <v>2.5596000000000001</v>
      </c>
      <c r="E508" s="22">
        <f t="shared" si="21"/>
        <v>2.5566</v>
      </c>
      <c r="F508">
        <f t="shared" si="22"/>
        <v>0.35816606999209932</v>
      </c>
      <c r="G508">
        <f t="shared" si="23"/>
        <v>-1.7866069992099332E-2</v>
      </c>
    </row>
    <row r="509" spans="1:7" x14ac:dyDescent="0.25">
      <c r="A509" s="2" t="s">
        <v>10</v>
      </c>
      <c r="B509" s="3">
        <v>42394</v>
      </c>
      <c r="C509" s="4">
        <v>1.2381</v>
      </c>
      <c r="D509" s="4">
        <v>0.71940000000000004</v>
      </c>
      <c r="E509" s="22">
        <f t="shared" si="21"/>
        <v>0.71640000000000004</v>
      </c>
      <c r="F509">
        <f t="shared" si="22"/>
        <v>0.10473662673293635</v>
      </c>
      <c r="G509">
        <f t="shared" si="23"/>
        <v>1.1333633732670636</v>
      </c>
    </row>
    <row r="510" spans="1:7" x14ac:dyDescent="0.25">
      <c r="A510" s="2" t="s">
        <v>10</v>
      </c>
      <c r="B510" s="3">
        <v>42395</v>
      </c>
      <c r="C510" s="4">
        <v>-1.1249</v>
      </c>
      <c r="D510" s="4">
        <v>-1.4440999999999999</v>
      </c>
      <c r="E510" s="22">
        <f t="shared" si="21"/>
        <v>-1.4470999999999998</v>
      </c>
      <c r="F510">
        <f t="shared" si="22"/>
        <v>-0.19321718290253756</v>
      </c>
      <c r="G510">
        <f t="shared" si="23"/>
        <v>-0.93168281709746248</v>
      </c>
    </row>
    <row r="511" spans="1:7" x14ac:dyDescent="0.25">
      <c r="A511" s="2" t="s">
        <v>10</v>
      </c>
      <c r="B511" s="3">
        <v>42396</v>
      </c>
      <c r="C511" s="4">
        <v>-0.79500000000000004</v>
      </c>
      <c r="D511" s="4">
        <v>1.4440999999999999</v>
      </c>
      <c r="E511" s="22">
        <f t="shared" si="21"/>
        <v>1.4411</v>
      </c>
      <c r="F511">
        <f t="shared" si="22"/>
        <v>0.20454116837510319</v>
      </c>
      <c r="G511">
        <f t="shared" si="23"/>
        <v>-0.99954116837510321</v>
      </c>
    </row>
    <row r="512" spans="1:7" x14ac:dyDescent="0.25">
      <c r="A512" s="2" t="s">
        <v>10</v>
      </c>
      <c r="B512" s="3">
        <v>42397</v>
      </c>
      <c r="C512" s="4">
        <v>-0.91639999999999999</v>
      </c>
      <c r="D512" s="4">
        <v>0.35780000000000001</v>
      </c>
      <c r="E512" s="22">
        <f t="shared" si="21"/>
        <v>0.3548</v>
      </c>
      <c r="F512">
        <f t="shared" si="22"/>
        <v>5.4937644729614238E-2</v>
      </c>
      <c r="G512">
        <f t="shared" si="23"/>
        <v>-0.97133764472961426</v>
      </c>
    </row>
    <row r="513" spans="1:7" x14ac:dyDescent="0.25">
      <c r="A513" s="2" t="s">
        <v>10</v>
      </c>
      <c r="B513" s="3">
        <v>42398</v>
      </c>
      <c r="C513" s="4">
        <v>4.6101000000000001</v>
      </c>
      <c r="D513" s="4">
        <v>2.1202000000000001</v>
      </c>
      <c r="E513" s="22">
        <f t="shared" si="21"/>
        <v>2.1172</v>
      </c>
      <c r="F513">
        <f t="shared" si="22"/>
        <v>0.29765259462633681</v>
      </c>
      <c r="G513">
        <f t="shared" si="23"/>
        <v>4.3124474053736632</v>
      </c>
    </row>
    <row r="514" spans="1:7" x14ac:dyDescent="0.25">
      <c r="A514" s="2" t="s">
        <v>10</v>
      </c>
      <c r="B514" s="3">
        <v>42399</v>
      </c>
      <c r="C514" s="4">
        <v>1.9587000000000001</v>
      </c>
      <c r="D514" s="4">
        <v>-0.70179999999999998</v>
      </c>
      <c r="E514" s="22">
        <f t="shared" si="21"/>
        <v>-0.70479999999999998</v>
      </c>
      <c r="F514">
        <f t="shared" si="22"/>
        <v>-9.0988797003571875E-2</v>
      </c>
      <c r="G514">
        <f t="shared" si="23"/>
        <v>2.0496887970035722</v>
      </c>
    </row>
    <row r="515" spans="1:7" x14ac:dyDescent="0.25">
      <c r="A515" s="2" t="s">
        <v>10</v>
      </c>
      <c r="B515" s="3">
        <v>42401</v>
      </c>
      <c r="C515" s="4">
        <v>-1.5201</v>
      </c>
      <c r="D515" s="4">
        <v>1.3986000000000001</v>
      </c>
      <c r="E515" s="22">
        <f t="shared" ref="E515:E578" si="24">D515-$L$1</f>
        <v>1.3956000000000002</v>
      </c>
      <c r="F515">
        <f t="shared" ref="F515:F578" si="25">L$2+L$3*E515</f>
        <v>0.1982749800975834</v>
      </c>
      <c r="G515">
        <f t="shared" ref="G515:G578" si="26">C515-F515</f>
        <v>-1.7183749800975834</v>
      </c>
    </row>
    <row r="516" spans="1:7" x14ac:dyDescent="0.25">
      <c r="A516" s="2" t="s">
        <v>10</v>
      </c>
      <c r="B516" s="3">
        <v>42402</v>
      </c>
      <c r="C516" s="4">
        <v>-2.6608999999999998</v>
      </c>
      <c r="D516" s="4">
        <v>-1.0470999999999999</v>
      </c>
      <c r="E516" s="22">
        <f t="shared" si="24"/>
        <v>-1.0500999999999998</v>
      </c>
      <c r="F516">
        <f t="shared" si="25"/>
        <v>-0.13854296870088137</v>
      </c>
      <c r="G516">
        <f t="shared" si="26"/>
        <v>-2.5223570312991184</v>
      </c>
    </row>
    <row r="517" spans="1:7" x14ac:dyDescent="0.25">
      <c r="A517" s="2" t="s">
        <v>10</v>
      </c>
      <c r="B517" s="3">
        <v>42403</v>
      </c>
      <c r="C517" s="4">
        <v>-1.1299999999999999</v>
      </c>
      <c r="D517" s="4">
        <v>2.4264999999999999</v>
      </c>
      <c r="E517" s="22">
        <f t="shared" si="24"/>
        <v>2.4234999999999998</v>
      </c>
      <c r="F517">
        <f t="shared" si="25"/>
        <v>0.33983574780005787</v>
      </c>
      <c r="G517">
        <f t="shared" si="26"/>
        <v>-1.4698357478000577</v>
      </c>
    </row>
    <row r="518" spans="1:7" x14ac:dyDescent="0.25">
      <c r="A518" s="2" t="s">
        <v>10</v>
      </c>
      <c r="B518" s="3">
        <v>42415</v>
      </c>
      <c r="C518" s="4">
        <v>-1.2579</v>
      </c>
      <c r="D518" s="4">
        <v>-0.68730000000000002</v>
      </c>
      <c r="E518" s="22">
        <f t="shared" si="24"/>
        <v>-0.69030000000000002</v>
      </c>
      <c r="F518">
        <f t="shared" si="25"/>
        <v>-8.899187986018646E-2</v>
      </c>
      <c r="G518">
        <f t="shared" si="26"/>
        <v>-1.1689081201398135</v>
      </c>
    </row>
    <row r="519" spans="1:7" x14ac:dyDescent="0.25">
      <c r="A519" s="2" t="s">
        <v>10</v>
      </c>
      <c r="B519" s="3">
        <v>42416</v>
      </c>
      <c r="C519" s="4">
        <v>1.2579</v>
      </c>
      <c r="D519" s="4">
        <v>1.7094</v>
      </c>
      <c r="E519" s="22">
        <f t="shared" si="24"/>
        <v>1.7064000000000001</v>
      </c>
      <c r="F519">
        <f t="shared" si="25"/>
        <v>0.24107786617787244</v>
      </c>
      <c r="G519">
        <f t="shared" si="26"/>
        <v>1.0168221338221275</v>
      </c>
    </row>
    <row r="520" spans="1:7" x14ac:dyDescent="0.25">
      <c r="A520" s="2" t="s">
        <v>10</v>
      </c>
      <c r="B520" s="3">
        <v>42417</v>
      </c>
      <c r="C520" s="4">
        <v>0.67949999999999999</v>
      </c>
      <c r="D520" s="4">
        <v>0.33839999999999998</v>
      </c>
      <c r="E520" s="22">
        <f t="shared" si="24"/>
        <v>0.33539999999999998</v>
      </c>
      <c r="F520">
        <f t="shared" si="25"/>
        <v>5.2265907310188216E-2</v>
      </c>
      <c r="G520">
        <f t="shared" si="26"/>
        <v>0.62723409268981178</v>
      </c>
    </row>
    <row r="521" spans="1:7" x14ac:dyDescent="0.25">
      <c r="A521" s="2" t="s">
        <v>10</v>
      </c>
      <c r="B521" s="3">
        <v>42418</v>
      </c>
      <c r="C521" s="4">
        <v>0.1128</v>
      </c>
      <c r="D521" s="4">
        <v>2.0068000000000001</v>
      </c>
      <c r="E521" s="22">
        <f t="shared" si="24"/>
        <v>2.0038</v>
      </c>
      <c r="F521">
        <f t="shared" si="25"/>
        <v>0.28203532538082593</v>
      </c>
      <c r="G521">
        <f t="shared" si="26"/>
        <v>-0.16923532538082592</v>
      </c>
    </row>
    <row r="522" spans="1:7" x14ac:dyDescent="0.25">
      <c r="A522" s="2" t="s">
        <v>10</v>
      </c>
      <c r="B522" s="3">
        <v>42419</v>
      </c>
      <c r="C522" s="4">
        <v>-0.7923</v>
      </c>
      <c r="D522" s="4">
        <v>0</v>
      </c>
      <c r="E522" s="22">
        <f t="shared" si="24"/>
        <v>-3.0000000000000001E-3</v>
      </c>
      <c r="F522">
        <f t="shared" si="25"/>
        <v>5.6619927362827945E-3</v>
      </c>
      <c r="G522">
        <f t="shared" si="26"/>
        <v>-0.79796199273628277</v>
      </c>
    </row>
    <row r="523" spans="1:7" x14ac:dyDescent="0.25">
      <c r="A523" s="2" t="s">
        <v>10</v>
      </c>
      <c r="B523" s="3">
        <v>42422</v>
      </c>
      <c r="C523" s="4">
        <v>5.7411000000000003</v>
      </c>
      <c r="D523" s="4">
        <v>0</v>
      </c>
      <c r="E523" s="22">
        <f t="shared" si="24"/>
        <v>-3.0000000000000001E-3</v>
      </c>
      <c r="F523">
        <f t="shared" si="25"/>
        <v>5.6619927362827945E-3</v>
      </c>
      <c r="G523">
        <f t="shared" si="26"/>
        <v>5.7354380072637179</v>
      </c>
    </row>
    <row r="524" spans="1:7" x14ac:dyDescent="0.25">
      <c r="A524" s="2" t="s">
        <v>10</v>
      </c>
      <c r="B524" s="3">
        <v>42423</v>
      </c>
      <c r="C524" s="4">
        <v>-1.6225000000000001</v>
      </c>
      <c r="D524" s="4">
        <v>-0.99829999999999997</v>
      </c>
      <c r="E524" s="22">
        <f t="shared" si="24"/>
        <v>-1.0012999999999999</v>
      </c>
      <c r="F524">
        <f t="shared" si="25"/>
        <v>-0.1318223096252118</v>
      </c>
      <c r="G524">
        <f t="shared" si="26"/>
        <v>-1.4906776903747883</v>
      </c>
    </row>
    <row r="525" spans="1:7" x14ac:dyDescent="0.25">
      <c r="A525" s="2" t="s">
        <v>10</v>
      </c>
      <c r="B525" s="3">
        <v>42424</v>
      </c>
      <c r="C525" s="4">
        <v>-0.98629999999999995</v>
      </c>
      <c r="D525" s="4">
        <v>-1.0084</v>
      </c>
      <c r="E525" s="22">
        <f t="shared" si="24"/>
        <v>-1.0113999999999999</v>
      </c>
      <c r="F525">
        <f t="shared" si="25"/>
        <v>-0.13321326570439751</v>
      </c>
      <c r="G525">
        <f t="shared" si="26"/>
        <v>-0.85308673429560244</v>
      </c>
    </row>
    <row r="526" spans="1:7" x14ac:dyDescent="0.25">
      <c r="A526" s="2" t="s">
        <v>10</v>
      </c>
      <c r="B526" s="3">
        <v>42425</v>
      </c>
      <c r="C526" s="4">
        <v>1.5301</v>
      </c>
      <c r="D526" s="4">
        <v>1.6751</v>
      </c>
      <c r="E526" s="22">
        <f t="shared" si="24"/>
        <v>1.6721000000000001</v>
      </c>
      <c r="F526">
        <f t="shared" si="25"/>
        <v>0.23635412424558827</v>
      </c>
      <c r="G526">
        <f t="shared" si="26"/>
        <v>1.2937458757544118</v>
      </c>
    </row>
    <row r="527" spans="1:7" x14ac:dyDescent="0.25">
      <c r="A527" s="2" t="s">
        <v>10</v>
      </c>
      <c r="B527" s="3">
        <v>42426</v>
      </c>
      <c r="C527" s="4">
        <v>-0.43480000000000002</v>
      </c>
      <c r="D527" s="4">
        <v>-1.0017</v>
      </c>
      <c r="E527" s="22">
        <f t="shared" si="24"/>
        <v>-1.0046999999999999</v>
      </c>
      <c r="F527">
        <f t="shared" si="25"/>
        <v>-0.13229055226572978</v>
      </c>
      <c r="G527">
        <f t="shared" si="26"/>
        <v>-0.30250944773427024</v>
      </c>
    </row>
    <row r="528" spans="1:7" x14ac:dyDescent="0.25">
      <c r="A528" s="2" t="s">
        <v>10</v>
      </c>
      <c r="B528" s="3">
        <v>42430</v>
      </c>
      <c r="C528" s="4">
        <v>1.4061999999999999</v>
      </c>
      <c r="D528" s="4">
        <v>1.9934000000000001</v>
      </c>
      <c r="E528" s="22">
        <f t="shared" si="24"/>
        <v>1.9904000000000002</v>
      </c>
      <c r="F528">
        <f t="shared" si="25"/>
        <v>0.28018989850349046</v>
      </c>
      <c r="G528">
        <f t="shared" si="26"/>
        <v>1.1260101014965094</v>
      </c>
    </row>
    <row r="529" spans="1:7" x14ac:dyDescent="0.25">
      <c r="A529" s="2" t="s">
        <v>10</v>
      </c>
      <c r="B529" s="3">
        <v>42431</v>
      </c>
      <c r="C529" s="4">
        <v>0.53559999999999997</v>
      </c>
      <c r="D529" s="4">
        <v>0.65569999999999995</v>
      </c>
      <c r="E529" s="22">
        <f t="shared" si="24"/>
        <v>0.65269999999999995</v>
      </c>
      <c r="F529">
        <f t="shared" si="25"/>
        <v>9.5963963144408623E-2</v>
      </c>
      <c r="G529">
        <f t="shared" si="26"/>
        <v>0.43963603685559133</v>
      </c>
    </row>
    <row r="530" spans="1:7" x14ac:dyDescent="0.25">
      <c r="A530" s="2" t="s">
        <v>10</v>
      </c>
      <c r="B530" s="3">
        <v>42432</v>
      </c>
      <c r="C530" s="4">
        <v>5.7099000000000002</v>
      </c>
      <c r="D530" s="4">
        <v>0.65149999999999997</v>
      </c>
      <c r="E530" s="22">
        <f t="shared" si="24"/>
        <v>0.64849999999999997</v>
      </c>
      <c r="F530">
        <f t="shared" si="25"/>
        <v>9.5385545764945262E-2</v>
      </c>
      <c r="G530">
        <f t="shared" si="26"/>
        <v>5.6145144542350547</v>
      </c>
    </row>
    <row r="531" spans="1:7" x14ac:dyDescent="0.25">
      <c r="A531" s="2" t="s">
        <v>10</v>
      </c>
      <c r="B531" s="3">
        <v>42433</v>
      </c>
      <c r="C531" s="4">
        <v>0.30230000000000001</v>
      </c>
      <c r="D531" s="4">
        <v>-0.9788</v>
      </c>
      <c r="E531" s="22">
        <f t="shared" si="24"/>
        <v>-0.98180000000000001</v>
      </c>
      <c r="F531">
        <f t="shared" si="25"/>
        <v>-0.12913680036341763</v>
      </c>
      <c r="G531">
        <f t="shared" si="26"/>
        <v>0.43143680036341764</v>
      </c>
    </row>
    <row r="532" spans="1:7" x14ac:dyDescent="0.25">
      <c r="A532" s="2" t="s">
        <v>10</v>
      </c>
      <c r="B532" s="3">
        <v>42436</v>
      </c>
      <c r="C532" s="4">
        <v>1.0009999999999999</v>
      </c>
      <c r="D532" s="4">
        <v>-0.32840000000000003</v>
      </c>
      <c r="E532" s="22">
        <f t="shared" si="24"/>
        <v>-0.33140000000000003</v>
      </c>
      <c r="F532">
        <f t="shared" si="25"/>
        <v>-3.9564737600805089E-2</v>
      </c>
      <c r="G532">
        <f t="shared" si="26"/>
        <v>1.0405647376008049</v>
      </c>
    </row>
    <row r="533" spans="1:7" x14ac:dyDescent="0.25">
      <c r="A533" s="2" t="s">
        <v>10</v>
      </c>
      <c r="B533" s="3">
        <v>42437</v>
      </c>
      <c r="C533" s="4">
        <v>-1.4041999999999999</v>
      </c>
      <c r="D533" s="4">
        <v>0</v>
      </c>
      <c r="E533" s="22">
        <f t="shared" si="24"/>
        <v>-3.0000000000000001E-3</v>
      </c>
      <c r="F533">
        <f t="shared" si="25"/>
        <v>5.6619927362827945E-3</v>
      </c>
      <c r="G533">
        <f t="shared" si="26"/>
        <v>-1.4098619927362828</v>
      </c>
    </row>
    <row r="534" spans="1:7" x14ac:dyDescent="0.25">
      <c r="A534" s="2" t="s">
        <v>10</v>
      </c>
      <c r="B534" s="3">
        <v>42438</v>
      </c>
      <c r="C534" s="4">
        <v>-1.6294</v>
      </c>
      <c r="D534" s="4">
        <v>0.65569999999999995</v>
      </c>
      <c r="E534" s="22">
        <f t="shared" si="24"/>
        <v>0.65269999999999995</v>
      </c>
      <c r="F534">
        <f t="shared" si="25"/>
        <v>9.5963963144408623E-2</v>
      </c>
      <c r="G534">
        <f t="shared" si="26"/>
        <v>-1.7253639631444087</v>
      </c>
    </row>
    <row r="535" spans="1:7" x14ac:dyDescent="0.25">
      <c r="A535" s="2" t="s">
        <v>10</v>
      </c>
      <c r="B535" s="3">
        <v>42439</v>
      </c>
      <c r="C535" s="4">
        <v>0.2051</v>
      </c>
      <c r="D535" s="4">
        <v>0.97560000000000002</v>
      </c>
      <c r="E535" s="22">
        <f t="shared" si="24"/>
        <v>0.97260000000000002</v>
      </c>
      <c r="F535">
        <f t="shared" si="25"/>
        <v>0.14002008688020162</v>
      </c>
      <c r="G535">
        <f t="shared" si="26"/>
        <v>6.5079913119798383E-2</v>
      </c>
    </row>
    <row r="536" spans="1:7" x14ac:dyDescent="0.25">
      <c r="A536" s="2" t="s">
        <v>10</v>
      </c>
      <c r="B536" s="3">
        <v>42440</v>
      </c>
      <c r="C536" s="4">
        <v>2.2290999999999999</v>
      </c>
      <c r="D536" s="4">
        <v>0.3231</v>
      </c>
      <c r="E536" s="22">
        <f t="shared" si="24"/>
        <v>0.3201</v>
      </c>
      <c r="F536">
        <f t="shared" si="25"/>
        <v>5.0158815427857384E-2</v>
      </c>
      <c r="G536">
        <f t="shared" si="26"/>
        <v>2.1789411845721425</v>
      </c>
    </row>
    <row r="537" spans="1:7" x14ac:dyDescent="0.25">
      <c r="A537" s="2" t="s">
        <v>10</v>
      </c>
      <c r="B537" s="3">
        <v>42443</v>
      </c>
      <c r="C537" s="4">
        <v>-0.2006</v>
      </c>
      <c r="D537" s="4">
        <v>0.6431</v>
      </c>
      <c r="E537" s="22">
        <f t="shared" si="24"/>
        <v>0.6401</v>
      </c>
      <c r="F537">
        <f t="shared" si="25"/>
        <v>9.422871100601854E-2</v>
      </c>
      <c r="G537">
        <f t="shared" si="26"/>
        <v>-0.29482871100601854</v>
      </c>
    </row>
    <row r="538" spans="1:7" x14ac:dyDescent="0.25">
      <c r="A538" s="2" t="s">
        <v>10</v>
      </c>
      <c r="B538" s="3">
        <v>42444</v>
      </c>
      <c r="C538" s="4">
        <v>-2.1309999999999998</v>
      </c>
      <c r="D538" s="4">
        <v>-0.96619999999999995</v>
      </c>
      <c r="E538" s="22">
        <f t="shared" si="24"/>
        <v>-0.96919999999999995</v>
      </c>
      <c r="F538">
        <f t="shared" si="25"/>
        <v>-0.12740154822502753</v>
      </c>
      <c r="G538">
        <f t="shared" si="26"/>
        <v>-2.0035984517749723</v>
      </c>
    </row>
    <row r="539" spans="1:7" x14ac:dyDescent="0.25">
      <c r="A539" s="2" t="s">
        <v>10</v>
      </c>
      <c r="B539" s="3">
        <v>42445</v>
      </c>
      <c r="C539" s="4">
        <v>0.10249999999999999</v>
      </c>
      <c r="D539" s="4">
        <v>0.96619999999999995</v>
      </c>
      <c r="E539" s="22">
        <f t="shared" si="24"/>
        <v>0.96319999999999995</v>
      </c>
      <c r="F539">
        <f t="shared" si="25"/>
        <v>0.13872553369759313</v>
      </c>
      <c r="G539">
        <f t="shared" si="26"/>
        <v>-3.622553369759314E-2</v>
      </c>
    </row>
    <row r="540" spans="1:7" x14ac:dyDescent="0.25">
      <c r="A540" s="2" t="s">
        <v>10</v>
      </c>
      <c r="B540" s="3">
        <v>42446</v>
      </c>
      <c r="C540" s="4">
        <v>-1.3409</v>
      </c>
      <c r="D540" s="4">
        <v>1.5899000000000001</v>
      </c>
      <c r="E540" s="22">
        <f t="shared" si="24"/>
        <v>1.5869000000000002</v>
      </c>
      <c r="F540">
        <f t="shared" si="25"/>
        <v>0.22462051454790288</v>
      </c>
      <c r="G540">
        <f t="shared" si="26"/>
        <v>-1.5655205145479028</v>
      </c>
    </row>
    <row r="541" spans="1:7" x14ac:dyDescent="0.25">
      <c r="A541" s="2" t="s">
        <v>10</v>
      </c>
      <c r="B541" s="3">
        <v>42447</v>
      </c>
      <c r="C541" s="4">
        <v>1.1357999999999999</v>
      </c>
      <c r="D541" s="4">
        <v>0.62890000000000001</v>
      </c>
      <c r="E541" s="22">
        <f t="shared" si="24"/>
        <v>0.62590000000000001</v>
      </c>
      <c r="F541">
        <f t="shared" si="25"/>
        <v>9.2273109389737637E-2</v>
      </c>
      <c r="G541">
        <f t="shared" si="26"/>
        <v>1.0435268906102624</v>
      </c>
    </row>
    <row r="542" spans="1:7" x14ac:dyDescent="0.25">
      <c r="A542" s="2" t="s">
        <v>10</v>
      </c>
      <c r="B542" s="3">
        <v>42450</v>
      </c>
      <c r="C542" s="4">
        <v>0.81799999999999995</v>
      </c>
      <c r="D542" s="4">
        <v>0.313</v>
      </c>
      <c r="E542" s="22">
        <f t="shared" si="24"/>
        <v>0.31</v>
      </c>
      <c r="F542">
        <f t="shared" si="25"/>
        <v>4.8767859348671672E-2</v>
      </c>
      <c r="G542">
        <f t="shared" si="26"/>
        <v>0.76923214065132828</v>
      </c>
    </row>
    <row r="543" spans="1:7" x14ac:dyDescent="0.25">
      <c r="A543" s="2" t="s">
        <v>10</v>
      </c>
      <c r="B543" s="3">
        <v>42451</v>
      </c>
      <c r="C543" s="4">
        <v>0</v>
      </c>
      <c r="D543" s="4">
        <v>-0.94189999999999996</v>
      </c>
      <c r="E543" s="22">
        <f t="shared" si="24"/>
        <v>-0.94489999999999996</v>
      </c>
      <c r="F543">
        <f t="shared" si="25"/>
        <v>-0.12405499052956093</v>
      </c>
      <c r="G543">
        <f t="shared" si="26"/>
        <v>0.12405499052956093</v>
      </c>
    </row>
    <row r="544" spans="1:7" x14ac:dyDescent="0.25">
      <c r="A544" s="2" t="s">
        <v>10</v>
      </c>
      <c r="B544" s="3">
        <v>42452</v>
      </c>
      <c r="C544" s="4">
        <v>0.71030000000000004</v>
      </c>
      <c r="D544" s="4">
        <v>0.62890000000000001</v>
      </c>
      <c r="E544" s="22">
        <f t="shared" si="24"/>
        <v>0.62590000000000001</v>
      </c>
      <c r="F544">
        <f t="shared" si="25"/>
        <v>9.2273109389737637E-2</v>
      </c>
      <c r="G544">
        <f t="shared" si="26"/>
        <v>0.61802689061026239</v>
      </c>
    </row>
    <row r="545" spans="1:7" x14ac:dyDescent="0.25">
      <c r="A545" s="2" t="s">
        <v>10</v>
      </c>
      <c r="B545" s="3">
        <v>42453</v>
      </c>
      <c r="C545" s="4">
        <v>-0.50680000000000003</v>
      </c>
      <c r="D545" s="4">
        <v>-0.62890000000000001</v>
      </c>
      <c r="E545" s="22">
        <f t="shared" si="24"/>
        <v>-0.63190000000000002</v>
      </c>
      <c r="F545">
        <f t="shared" si="25"/>
        <v>-8.0949123917172044E-2</v>
      </c>
      <c r="G545">
        <f t="shared" si="26"/>
        <v>-0.42585087608282801</v>
      </c>
    </row>
    <row r="546" spans="1:7" x14ac:dyDescent="0.25">
      <c r="A546" s="2" t="s">
        <v>10</v>
      </c>
      <c r="B546" s="3">
        <v>42454</v>
      </c>
      <c r="C546" s="4">
        <v>-0.30530000000000002</v>
      </c>
      <c r="D546" s="4">
        <v>-0.316</v>
      </c>
      <c r="E546" s="22">
        <f t="shared" si="24"/>
        <v>-0.31900000000000001</v>
      </c>
      <c r="F546">
        <f t="shared" si="25"/>
        <v>-3.785702914715134E-2</v>
      </c>
      <c r="G546">
        <f t="shared" si="26"/>
        <v>-0.26744297085284868</v>
      </c>
    </row>
    <row r="547" spans="1:7" x14ac:dyDescent="0.25">
      <c r="A547" s="2" t="s">
        <v>10</v>
      </c>
      <c r="B547" s="3">
        <v>42457</v>
      </c>
      <c r="C547" s="4">
        <v>0.1019</v>
      </c>
      <c r="D547" s="4">
        <v>0.63090000000000002</v>
      </c>
      <c r="E547" s="22">
        <f t="shared" si="24"/>
        <v>0.62790000000000001</v>
      </c>
      <c r="F547">
        <f t="shared" si="25"/>
        <v>9.2548546237101154E-2</v>
      </c>
      <c r="G547">
        <f t="shared" si="26"/>
        <v>9.3514537628988509E-3</v>
      </c>
    </row>
    <row r="548" spans="1:7" x14ac:dyDescent="0.25">
      <c r="A548" s="2" t="s">
        <v>10</v>
      </c>
      <c r="B548" s="3">
        <v>42458</v>
      </c>
      <c r="C548" s="4">
        <v>-0.6129</v>
      </c>
      <c r="D548" s="4">
        <v>0</v>
      </c>
      <c r="E548" s="22">
        <f t="shared" si="24"/>
        <v>-3.0000000000000001E-3</v>
      </c>
      <c r="F548">
        <f t="shared" si="25"/>
        <v>5.6619927362827945E-3</v>
      </c>
      <c r="G548">
        <f t="shared" si="26"/>
        <v>-0.61856199273628276</v>
      </c>
    </row>
    <row r="549" spans="1:7" x14ac:dyDescent="0.25">
      <c r="A549" s="2" t="s">
        <v>10</v>
      </c>
      <c r="B549" s="3">
        <v>42459</v>
      </c>
      <c r="C549" s="4">
        <v>0</v>
      </c>
      <c r="D549" s="4">
        <v>1.5601</v>
      </c>
      <c r="E549" s="22">
        <f t="shared" si="24"/>
        <v>1.5571000000000002</v>
      </c>
      <c r="F549">
        <f t="shared" si="25"/>
        <v>0.22051650552218663</v>
      </c>
      <c r="G549">
        <f t="shared" si="26"/>
        <v>-0.22051650552218663</v>
      </c>
    </row>
    <row r="550" spans="1:7" x14ac:dyDescent="0.25">
      <c r="A550" s="2" t="s">
        <v>10</v>
      </c>
      <c r="B550" s="3">
        <v>42460</v>
      </c>
      <c r="C550" s="4">
        <v>1.0194000000000001</v>
      </c>
      <c r="D550" s="4">
        <v>0.30909999999999999</v>
      </c>
      <c r="E550" s="22">
        <f t="shared" si="24"/>
        <v>0.30609999999999998</v>
      </c>
      <c r="F550">
        <f t="shared" si="25"/>
        <v>4.823075749631283E-2</v>
      </c>
      <c r="G550">
        <f t="shared" si="26"/>
        <v>0.9711692425036873</v>
      </c>
    </row>
    <row r="551" spans="1:7" x14ac:dyDescent="0.25">
      <c r="A551" s="2" t="s">
        <v>10</v>
      </c>
      <c r="B551" s="3">
        <v>42461</v>
      </c>
      <c r="C551" s="4">
        <v>0.2026</v>
      </c>
      <c r="D551" s="4">
        <v>-2.1842000000000001</v>
      </c>
      <c r="E551" s="22">
        <f t="shared" si="24"/>
        <v>-2.1872000000000003</v>
      </c>
      <c r="F551">
        <f t="shared" si="25"/>
        <v>-0.29514258826940348</v>
      </c>
      <c r="G551">
        <f t="shared" si="26"/>
        <v>0.49774258826940349</v>
      </c>
    </row>
    <row r="552" spans="1:7" x14ac:dyDescent="0.25">
      <c r="A552" s="2" t="s">
        <v>10</v>
      </c>
      <c r="B552" s="3">
        <v>42466</v>
      </c>
      <c r="C552" s="4">
        <v>-2.4590999999999998</v>
      </c>
      <c r="D552" s="4">
        <v>-3.2054</v>
      </c>
      <c r="E552" s="22">
        <f t="shared" si="24"/>
        <v>-3.2084000000000001</v>
      </c>
      <c r="F552">
        <f t="shared" si="25"/>
        <v>-0.43578064253321025</v>
      </c>
      <c r="G552">
        <f t="shared" si="26"/>
        <v>-2.0233193574667894</v>
      </c>
    </row>
    <row r="553" spans="1:7" x14ac:dyDescent="0.25">
      <c r="A553" s="2" t="s">
        <v>10</v>
      </c>
      <c r="B553" s="3">
        <v>42467</v>
      </c>
      <c r="C553" s="4">
        <v>-3.1615000000000002</v>
      </c>
      <c r="D553" s="4">
        <v>0.64939999999999998</v>
      </c>
      <c r="E553" s="22">
        <f t="shared" si="24"/>
        <v>0.64639999999999997</v>
      </c>
      <c r="F553">
        <f t="shared" si="25"/>
        <v>9.5096337075213588E-2</v>
      </c>
      <c r="G553">
        <f t="shared" si="26"/>
        <v>-3.256596337075214</v>
      </c>
    </row>
    <row r="554" spans="1:7" x14ac:dyDescent="0.25">
      <c r="A554" s="2" t="s">
        <v>10</v>
      </c>
      <c r="B554" s="3">
        <v>42468</v>
      </c>
      <c r="C554" s="4">
        <v>1.3823000000000001</v>
      </c>
      <c r="D554" s="4">
        <v>1.9231</v>
      </c>
      <c r="E554" s="22">
        <f t="shared" si="24"/>
        <v>1.9201000000000001</v>
      </c>
      <c r="F554">
        <f t="shared" si="25"/>
        <v>0.27050829331866316</v>
      </c>
      <c r="G554">
        <f t="shared" si="26"/>
        <v>1.111791706681337</v>
      </c>
    </row>
    <row r="555" spans="1:7" x14ac:dyDescent="0.25">
      <c r="A555" s="2" t="s">
        <v>10</v>
      </c>
      <c r="B555" s="3">
        <v>42471</v>
      </c>
      <c r="C555" s="4">
        <v>-0.7419</v>
      </c>
      <c r="D555" s="4">
        <v>0.63290000000000002</v>
      </c>
      <c r="E555" s="22">
        <f t="shared" si="24"/>
        <v>0.62990000000000002</v>
      </c>
      <c r="F555">
        <f t="shared" si="25"/>
        <v>9.2823983084464656E-2</v>
      </c>
      <c r="G555">
        <f t="shared" si="26"/>
        <v>-0.8347239830844646</v>
      </c>
    </row>
    <row r="556" spans="1:7" x14ac:dyDescent="0.25">
      <c r="A556" s="2" t="s">
        <v>10</v>
      </c>
      <c r="B556" s="3">
        <v>42472</v>
      </c>
      <c r="C556" s="4">
        <v>-0.96209999999999996</v>
      </c>
      <c r="D556" s="4">
        <v>0</v>
      </c>
      <c r="E556" s="22">
        <f t="shared" si="24"/>
        <v>-3.0000000000000001E-3</v>
      </c>
      <c r="F556">
        <f t="shared" si="25"/>
        <v>5.6619927362827945E-3</v>
      </c>
      <c r="G556">
        <f t="shared" si="26"/>
        <v>-0.96776199273628272</v>
      </c>
    </row>
    <row r="557" spans="1:7" x14ac:dyDescent="0.25">
      <c r="A557" s="2" t="s">
        <v>10</v>
      </c>
      <c r="B557" s="3">
        <v>42473</v>
      </c>
      <c r="C557" s="4">
        <v>0.32169999999999999</v>
      </c>
      <c r="D557" s="4">
        <v>1.8751</v>
      </c>
      <c r="E557" s="22">
        <f t="shared" si="24"/>
        <v>1.8721000000000001</v>
      </c>
      <c r="F557">
        <f t="shared" si="25"/>
        <v>0.26389780898193899</v>
      </c>
      <c r="G557">
        <f t="shared" si="26"/>
        <v>5.7802191018061E-2</v>
      </c>
    </row>
    <row r="558" spans="1:7" x14ac:dyDescent="0.25">
      <c r="A558" s="2" t="s">
        <v>10</v>
      </c>
      <c r="B558" s="3">
        <v>42474</v>
      </c>
      <c r="C558" s="4">
        <v>1.2766</v>
      </c>
      <c r="D558" s="4">
        <v>0</v>
      </c>
      <c r="E558" s="22">
        <f t="shared" si="24"/>
        <v>-3.0000000000000001E-3</v>
      </c>
      <c r="F558">
        <f t="shared" si="25"/>
        <v>5.6619927362827945E-3</v>
      </c>
      <c r="G558">
        <f t="shared" si="26"/>
        <v>1.2709380072637171</v>
      </c>
    </row>
    <row r="559" spans="1:7" x14ac:dyDescent="0.25">
      <c r="A559" s="2" t="s">
        <v>10</v>
      </c>
      <c r="B559" s="3">
        <v>42475</v>
      </c>
      <c r="C559" s="4">
        <v>-0.42370000000000002</v>
      </c>
      <c r="D559" s="4">
        <v>-1.2461</v>
      </c>
      <c r="E559" s="22">
        <f t="shared" si="24"/>
        <v>-1.2490999999999999</v>
      </c>
      <c r="F559">
        <f t="shared" si="25"/>
        <v>-0.16594893501355035</v>
      </c>
      <c r="G559">
        <f t="shared" si="26"/>
        <v>-0.25775106498644967</v>
      </c>
    </row>
    <row r="560" spans="1:7" x14ac:dyDescent="0.25">
      <c r="A560" s="2" t="s">
        <v>10</v>
      </c>
      <c r="B560" s="3">
        <v>42478</v>
      </c>
      <c r="C560" s="4">
        <v>0.42370000000000002</v>
      </c>
      <c r="D560" s="4">
        <v>-0.94489999999999996</v>
      </c>
      <c r="E560" s="22">
        <f t="shared" si="24"/>
        <v>-0.94789999999999996</v>
      </c>
      <c r="F560">
        <f t="shared" si="25"/>
        <v>-0.12446814580060617</v>
      </c>
      <c r="G560">
        <f t="shared" si="26"/>
        <v>0.54816814580060624</v>
      </c>
    </row>
    <row r="561" spans="1:7" x14ac:dyDescent="0.25">
      <c r="A561" s="2" t="s">
        <v>10</v>
      </c>
      <c r="B561" s="3">
        <v>42479</v>
      </c>
      <c r="C561" s="4">
        <v>-1.0627</v>
      </c>
      <c r="D561" s="4">
        <v>-0.317</v>
      </c>
      <c r="E561" s="22">
        <f t="shared" si="24"/>
        <v>-0.32</v>
      </c>
      <c r="F561">
        <f t="shared" si="25"/>
        <v>-3.7994747570833098E-2</v>
      </c>
      <c r="G561">
        <f t="shared" si="26"/>
        <v>-1.0247052524291669</v>
      </c>
    </row>
    <row r="562" spans="1:7" x14ac:dyDescent="0.25">
      <c r="A562" s="2" t="s">
        <v>10</v>
      </c>
      <c r="B562" s="3">
        <v>42480</v>
      </c>
      <c r="C562" s="4">
        <v>-1.0741000000000001</v>
      </c>
      <c r="D562" s="4">
        <v>-2.2473000000000001</v>
      </c>
      <c r="E562" s="22">
        <f t="shared" si="24"/>
        <v>-2.2503000000000002</v>
      </c>
      <c r="F562">
        <f t="shared" si="25"/>
        <v>-0.30383262080372209</v>
      </c>
      <c r="G562">
        <f t="shared" si="26"/>
        <v>-0.77026737919627797</v>
      </c>
    </row>
    <row r="563" spans="1:7" x14ac:dyDescent="0.25">
      <c r="A563" s="2" t="s">
        <v>10</v>
      </c>
      <c r="B563" s="3">
        <v>42481</v>
      </c>
      <c r="C563" s="4">
        <v>-0.108</v>
      </c>
      <c r="D563" s="4">
        <v>1.9293</v>
      </c>
      <c r="E563" s="22">
        <f t="shared" si="24"/>
        <v>1.9263000000000001</v>
      </c>
      <c r="F563">
        <f t="shared" si="25"/>
        <v>0.27136214754549004</v>
      </c>
      <c r="G563">
        <f t="shared" si="26"/>
        <v>-0.37936214754549002</v>
      </c>
    </row>
    <row r="564" spans="1:7" x14ac:dyDescent="0.25">
      <c r="A564" s="2" t="s">
        <v>10</v>
      </c>
      <c r="B564" s="3">
        <v>42482</v>
      </c>
      <c r="C564" s="4">
        <v>-0.32490000000000002</v>
      </c>
      <c r="D564" s="4">
        <v>-0.31900000000000001</v>
      </c>
      <c r="E564" s="22">
        <f t="shared" si="24"/>
        <v>-0.32200000000000001</v>
      </c>
      <c r="F564">
        <f t="shared" si="25"/>
        <v>-3.8270184418196601E-2</v>
      </c>
      <c r="G564">
        <f t="shared" si="26"/>
        <v>-0.28662981558180345</v>
      </c>
    </row>
    <row r="565" spans="1:7" x14ac:dyDescent="0.25">
      <c r="A565" s="2" t="s">
        <v>10</v>
      </c>
      <c r="B565" s="3">
        <v>42485</v>
      </c>
      <c r="C565" s="4">
        <v>0.43290000000000001</v>
      </c>
      <c r="D565" s="4">
        <v>0.63690000000000002</v>
      </c>
      <c r="E565" s="22">
        <f t="shared" si="24"/>
        <v>0.63390000000000002</v>
      </c>
      <c r="F565">
        <f t="shared" si="25"/>
        <v>9.3374856779191676E-2</v>
      </c>
      <c r="G565">
        <f t="shared" si="26"/>
        <v>0.33952514322080835</v>
      </c>
    </row>
    <row r="566" spans="1:7" x14ac:dyDescent="0.25">
      <c r="A566" s="2" t="s">
        <v>10</v>
      </c>
      <c r="B566" s="3">
        <v>42486</v>
      </c>
      <c r="C566" s="4">
        <v>-0.2162</v>
      </c>
      <c r="D566" s="4">
        <v>0.317</v>
      </c>
      <c r="E566" s="22">
        <f t="shared" si="24"/>
        <v>0.314</v>
      </c>
      <c r="F566">
        <f t="shared" si="25"/>
        <v>4.9318733043398691E-2</v>
      </c>
      <c r="G566">
        <f t="shared" si="26"/>
        <v>-0.26551873304339868</v>
      </c>
    </row>
    <row r="567" spans="1:7" x14ac:dyDescent="0.25">
      <c r="A567" s="2" t="s">
        <v>10</v>
      </c>
      <c r="B567" s="3">
        <v>42487</v>
      </c>
      <c r="C567" s="4">
        <v>-0.9788</v>
      </c>
      <c r="D567" s="4">
        <v>-0.95389999999999997</v>
      </c>
      <c r="E567" s="22">
        <f t="shared" si="24"/>
        <v>-0.95689999999999997</v>
      </c>
      <c r="F567">
        <f t="shared" si="25"/>
        <v>-0.12570761161374197</v>
      </c>
      <c r="G567">
        <f t="shared" si="26"/>
        <v>-0.853092388386258</v>
      </c>
    </row>
    <row r="568" spans="1:7" x14ac:dyDescent="0.25">
      <c r="A568" s="2" t="s">
        <v>10</v>
      </c>
      <c r="B568" s="3">
        <v>42488</v>
      </c>
      <c r="C568" s="4">
        <v>-0.43809999999999999</v>
      </c>
      <c r="D568" s="4">
        <v>-2.2618</v>
      </c>
      <c r="E568" s="22">
        <f t="shared" si="24"/>
        <v>-2.2648000000000001</v>
      </c>
      <c r="F568">
        <f t="shared" si="25"/>
        <v>-0.30582953794710754</v>
      </c>
      <c r="G568">
        <f t="shared" si="26"/>
        <v>-0.13227046205289245</v>
      </c>
    </row>
    <row r="569" spans="1:7" x14ac:dyDescent="0.25">
      <c r="A569" s="2" t="s">
        <v>10</v>
      </c>
      <c r="B569" s="3">
        <v>42489</v>
      </c>
      <c r="C569" s="4">
        <v>0.10970000000000001</v>
      </c>
      <c r="D569" s="4">
        <v>-1.9802999999999999</v>
      </c>
      <c r="E569" s="22">
        <f t="shared" si="24"/>
        <v>-1.9832999999999998</v>
      </c>
      <c r="F569">
        <f t="shared" si="25"/>
        <v>-0.26706180168069382</v>
      </c>
      <c r="G569">
        <f t="shared" si="26"/>
        <v>0.37676180168069384</v>
      </c>
    </row>
    <row r="570" spans="1:7" x14ac:dyDescent="0.25">
      <c r="A570" s="2" t="s">
        <v>10</v>
      </c>
      <c r="B570" s="3">
        <v>42493</v>
      </c>
      <c r="C570" s="4">
        <v>-0.88109999999999999</v>
      </c>
      <c r="D570" s="4">
        <v>-1.6807000000000001</v>
      </c>
      <c r="E570" s="22">
        <f t="shared" si="24"/>
        <v>-1.6837</v>
      </c>
      <c r="F570">
        <f t="shared" si="25"/>
        <v>-0.22580136194564049</v>
      </c>
      <c r="G570">
        <f t="shared" si="26"/>
        <v>-0.65529863805435951</v>
      </c>
    </row>
    <row r="571" spans="1:7" x14ac:dyDescent="0.25">
      <c r="A571" s="2" t="s">
        <v>10</v>
      </c>
      <c r="B571" s="3">
        <v>42494</v>
      </c>
      <c r="C571" s="4">
        <v>-0.77729999999999999</v>
      </c>
      <c r="D571" s="4">
        <v>-0.33960000000000001</v>
      </c>
      <c r="E571" s="22">
        <f t="shared" si="24"/>
        <v>-0.34260000000000002</v>
      </c>
      <c r="F571">
        <f t="shared" si="25"/>
        <v>-4.110718394604073E-2</v>
      </c>
      <c r="G571">
        <f t="shared" si="26"/>
        <v>-0.73619281605395925</v>
      </c>
    </row>
    <row r="572" spans="1:7" x14ac:dyDescent="0.25">
      <c r="A572" s="2" t="s">
        <v>10</v>
      </c>
      <c r="B572" s="3">
        <v>42495</v>
      </c>
      <c r="C572" s="4">
        <v>0.88790000000000002</v>
      </c>
      <c r="D572" s="4">
        <v>0.33960000000000001</v>
      </c>
      <c r="E572" s="22">
        <f t="shared" si="24"/>
        <v>0.33660000000000001</v>
      </c>
      <c r="F572">
        <f t="shared" si="25"/>
        <v>5.2431169418606323E-2</v>
      </c>
      <c r="G572">
        <f t="shared" si="26"/>
        <v>0.83546883058139365</v>
      </c>
    </row>
    <row r="573" spans="1:7" x14ac:dyDescent="0.25">
      <c r="A573" s="2" t="s">
        <v>10</v>
      </c>
      <c r="B573" s="3">
        <v>42496</v>
      </c>
      <c r="C573" s="4">
        <v>-0.33200000000000002</v>
      </c>
      <c r="D573" s="4">
        <v>0.33839999999999998</v>
      </c>
      <c r="E573" s="22">
        <f t="shared" si="24"/>
        <v>0.33539999999999998</v>
      </c>
      <c r="F573">
        <f t="shared" si="25"/>
        <v>5.2265907310188216E-2</v>
      </c>
      <c r="G573">
        <f t="shared" si="26"/>
        <v>-0.38426590731018823</v>
      </c>
    </row>
    <row r="574" spans="1:7" x14ac:dyDescent="0.25">
      <c r="A574" s="2" t="s">
        <v>10</v>
      </c>
      <c r="B574" s="3">
        <v>42499</v>
      </c>
      <c r="C574" s="4">
        <v>0.1108</v>
      </c>
      <c r="D574" s="4">
        <v>-0.33839999999999998</v>
      </c>
      <c r="E574" s="22">
        <f t="shared" si="24"/>
        <v>-0.34139999999999998</v>
      </c>
      <c r="F574">
        <f t="shared" si="25"/>
        <v>-4.0941921837622623E-2</v>
      </c>
      <c r="G574">
        <f t="shared" si="26"/>
        <v>0.15174192183762261</v>
      </c>
    </row>
    <row r="575" spans="1:7" x14ac:dyDescent="0.25">
      <c r="A575" s="2" t="s">
        <v>10</v>
      </c>
      <c r="B575" s="3">
        <v>42500</v>
      </c>
      <c r="C575" s="4">
        <v>1.6475</v>
      </c>
      <c r="D575" s="4">
        <v>-0.33960000000000001</v>
      </c>
      <c r="E575" s="22">
        <f t="shared" si="24"/>
        <v>-0.34260000000000002</v>
      </c>
      <c r="F575">
        <f t="shared" si="25"/>
        <v>-4.110718394604073E-2</v>
      </c>
      <c r="G575">
        <f t="shared" si="26"/>
        <v>1.6886071839460406</v>
      </c>
    </row>
    <row r="576" spans="1:7" x14ac:dyDescent="0.25">
      <c r="A576" s="2" t="s">
        <v>10</v>
      </c>
      <c r="B576" s="3">
        <v>42501</v>
      </c>
      <c r="C576" s="4">
        <v>0.32629999999999998</v>
      </c>
      <c r="D576" s="4">
        <v>0</v>
      </c>
      <c r="E576" s="22">
        <f t="shared" si="24"/>
        <v>-3.0000000000000001E-3</v>
      </c>
      <c r="F576">
        <f t="shared" si="25"/>
        <v>5.6619927362827945E-3</v>
      </c>
      <c r="G576">
        <f t="shared" si="26"/>
        <v>0.32063800726371716</v>
      </c>
    </row>
    <row r="577" spans="1:7" x14ac:dyDescent="0.25">
      <c r="A577" s="2" t="s">
        <v>10</v>
      </c>
      <c r="B577" s="3">
        <v>42502</v>
      </c>
      <c r="C577" s="4">
        <v>-1.4216</v>
      </c>
      <c r="D577" s="4">
        <v>-0.68259999999999998</v>
      </c>
      <c r="E577" s="22">
        <f t="shared" si="24"/>
        <v>-0.68559999999999999</v>
      </c>
      <c r="F577">
        <f t="shared" si="25"/>
        <v>-8.8344603268882216E-2</v>
      </c>
      <c r="G577">
        <f t="shared" si="26"/>
        <v>-1.3332553967311178</v>
      </c>
    </row>
    <row r="578" spans="1:7" x14ac:dyDescent="0.25">
      <c r="A578" s="2" t="s">
        <v>10</v>
      </c>
      <c r="B578" s="3">
        <v>42503</v>
      </c>
      <c r="C578" s="4">
        <v>-1.5539000000000001</v>
      </c>
      <c r="D578" s="4">
        <v>-1.3793</v>
      </c>
      <c r="E578" s="22">
        <f t="shared" si="24"/>
        <v>-1.3822999999999999</v>
      </c>
      <c r="F578">
        <f t="shared" si="25"/>
        <v>-0.18429302904795994</v>
      </c>
      <c r="G578">
        <f t="shared" si="26"/>
        <v>-1.3696069709520402</v>
      </c>
    </row>
    <row r="579" spans="1:7" x14ac:dyDescent="0.25">
      <c r="A579" s="2" t="s">
        <v>10</v>
      </c>
      <c r="B579" s="3">
        <v>42506</v>
      </c>
      <c r="C579" s="4">
        <v>0</v>
      </c>
      <c r="D579" s="4">
        <v>0.34660000000000002</v>
      </c>
      <c r="E579" s="22">
        <f t="shared" ref="E579:E642" si="27">D579-$L$1</f>
        <v>0.34360000000000002</v>
      </c>
      <c r="F579">
        <f t="shared" ref="F579:F642" si="28">L$2+L$3*E579</f>
        <v>5.3395198384378596E-2</v>
      </c>
      <c r="G579">
        <f t="shared" ref="G579:G642" si="29">C579-F579</f>
        <v>-5.3395198384378596E-2</v>
      </c>
    </row>
    <row r="580" spans="1:7" x14ac:dyDescent="0.25">
      <c r="A580" s="2" t="s">
        <v>10</v>
      </c>
      <c r="B580" s="3">
        <v>42507</v>
      </c>
      <c r="C580" s="4">
        <v>-0.6734</v>
      </c>
      <c r="D580" s="4">
        <v>1.7153</v>
      </c>
      <c r="E580" s="22">
        <f t="shared" si="27"/>
        <v>1.7123000000000002</v>
      </c>
      <c r="F580">
        <f t="shared" si="28"/>
        <v>0.24189040487759478</v>
      </c>
      <c r="G580">
        <f t="shared" si="29"/>
        <v>-0.91529040487759472</v>
      </c>
    </row>
    <row r="581" spans="1:7" x14ac:dyDescent="0.25">
      <c r="A581" s="2" t="s">
        <v>10</v>
      </c>
      <c r="B581" s="3">
        <v>42508</v>
      </c>
      <c r="C581" s="4">
        <v>-0.22550000000000001</v>
      </c>
      <c r="D581" s="4">
        <v>0</v>
      </c>
      <c r="E581" s="22">
        <f t="shared" si="27"/>
        <v>-3.0000000000000001E-3</v>
      </c>
      <c r="F581">
        <f t="shared" si="28"/>
        <v>5.6619927362827945E-3</v>
      </c>
      <c r="G581">
        <f t="shared" si="29"/>
        <v>-0.2311619927362828</v>
      </c>
    </row>
    <row r="582" spans="1:7" x14ac:dyDescent="0.25">
      <c r="A582" s="2" t="s">
        <v>10</v>
      </c>
      <c r="B582" s="3">
        <v>42509</v>
      </c>
      <c r="C582" s="4">
        <v>0.1128</v>
      </c>
      <c r="D582" s="4">
        <v>0</v>
      </c>
      <c r="E582" s="22">
        <f t="shared" si="27"/>
        <v>-3.0000000000000001E-3</v>
      </c>
      <c r="F582">
        <f t="shared" si="28"/>
        <v>5.6619927362827945E-3</v>
      </c>
      <c r="G582">
        <f t="shared" si="29"/>
        <v>0.10713800726371721</v>
      </c>
    </row>
    <row r="583" spans="1:7" x14ac:dyDescent="0.25">
      <c r="A583" s="2" t="s">
        <v>10</v>
      </c>
      <c r="B583" s="3">
        <v>42510</v>
      </c>
      <c r="C583" s="4">
        <v>-1.0198</v>
      </c>
      <c r="D583" s="4">
        <v>1.0152000000000001</v>
      </c>
      <c r="E583" s="22">
        <f t="shared" si="27"/>
        <v>1.0122000000000002</v>
      </c>
      <c r="F583">
        <f t="shared" si="28"/>
        <v>0.14547373645799908</v>
      </c>
      <c r="G583">
        <f t="shared" si="29"/>
        <v>-1.165273736457999</v>
      </c>
    </row>
    <row r="584" spans="1:7" x14ac:dyDescent="0.25">
      <c r="A584" s="2" t="s">
        <v>10</v>
      </c>
      <c r="B584" s="3">
        <v>42513</v>
      </c>
      <c r="C584" s="4">
        <v>2.4748000000000001</v>
      </c>
      <c r="D584" s="4">
        <v>3.6368</v>
      </c>
      <c r="E584" s="22">
        <f t="shared" si="27"/>
        <v>3.6337999999999999</v>
      </c>
      <c r="F584">
        <f t="shared" si="28"/>
        <v>0.50651635598208422</v>
      </c>
      <c r="G584">
        <f t="shared" si="29"/>
        <v>1.9682836440179159</v>
      </c>
    </row>
    <row r="585" spans="1:7" x14ac:dyDescent="0.25">
      <c r="A585" s="2" t="s">
        <v>10</v>
      </c>
      <c r="B585" s="3">
        <v>42514</v>
      </c>
      <c r="C585" s="4">
        <v>0.222</v>
      </c>
      <c r="D585" s="4">
        <v>-1.9673</v>
      </c>
      <c r="E585" s="22">
        <f t="shared" si="27"/>
        <v>-1.9702999999999999</v>
      </c>
      <c r="F585">
        <f t="shared" si="28"/>
        <v>-0.26527146217283104</v>
      </c>
      <c r="G585">
        <f t="shared" si="29"/>
        <v>0.48727146217283102</v>
      </c>
    </row>
    <row r="586" spans="1:7" x14ac:dyDescent="0.25">
      <c r="A586" s="2" t="s">
        <v>10</v>
      </c>
      <c r="B586" s="3">
        <v>42515</v>
      </c>
      <c r="C586" s="4">
        <v>0.55279999999999996</v>
      </c>
      <c r="D586" s="4">
        <v>2.2913999999999999</v>
      </c>
      <c r="E586" s="22">
        <f t="shared" si="27"/>
        <v>2.2883999999999998</v>
      </c>
      <c r="F586">
        <f t="shared" si="28"/>
        <v>0.32122998876065295</v>
      </c>
      <c r="G586">
        <f t="shared" si="29"/>
        <v>0.23157001123934701</v>
      </c>
    </row>
    <row r="587" spans="1:7" x14ac:dyDescent="0.25">
      <c r="A587" s="2" t="s">
        <v>10</v>
      </c>
      <c r="B587" s="3">
        <v>42516</v>
      </c>
      <c r="C587" s="4">
        <v>0.98740000000000006</v>
      </c>
      <c r="D587" s="4">
        <v>0.3231</v>
      </c>
      <c r="E587" s="22">
        <f t="shared" si="27"/>
        <v>0.3201</v>
      </c>
      <c r="F587">
        <f t="shared" si="28"/>
        <v>5.0158815427857384E-2</v>
      </c>
      <c r="G587">
        <f t="shared" si="29"/>
        <v>0.93724118457214267</v>
      </c>
    </row>
    <row r="588" spans="1:7" x14ac:dyDescent="0.25">
      <c r="A588" s="2" t="s">
        <v>10</v>
      </c>
      <c r="B588" s="3">
        <v>42517</v>
      </c>
      <c r="C588" s="4">
        <v>-0.21859999999999999</v>
      </c>
      <c r="D588" s="4">
        <v>0.96309999999999996</v>
      </c>
      <c r="E588" s="22">
        <f t="shared" si="27"/>
        <v>0.96009999999999995</v>
      </c>
      <c r="F588">
        <f t="shared" si="28"/>
        <v>0.1382986065841797</v>
      </c>
      <c r="G588">
        <f t="shared" si="29"/>
        <v>-0.35689860658417971</v>
      </c>
    </row>
    <row r="589" spans="1:7" x14ac:dyDescent="0.25">
      <c r="A589" s="2" t="s">
        <v>10</v>
      </c>
      <c r="B589" s="3">
        <v>42520</v>
      </c>
      <c r="C589" s="4">
        <v>0.65429999999999999</v>
      </c>
      <c r="D589" s="4">
        <v>0.31900000000000001</v>
      </c>
      <c r="E589" s="22">
        <f t="shared" si="27"/>
        <v>0.316</v>
      </c>
      <c r="F589">
        <f t="shared" si="28"/>
        <v>4.9594169890762194E-2</v>
      </c>
      <c r="G589">
        <f t="shared" si="29"/>
        <v>0.60470583010923784</v>
      </c>
    </row>
    <row r="590" spans="1:7" x14ac:dyDescent="0.25">
      <c r="A590" s="2" t="s">
        <v>10</v>
      </c>
      <c r="B590" s="3">
        <v>42521</v>
      </c>
      <c r="C590" s="4">
        <v>-1.0929</v>
      </c>
      <c r="D590" s="4">
        <v>-0.31900000000000001</v>
      </c>
      <c r="E590" s="22">
        <f t="shared" si="27"/>
        <v>-0.32200000000000001</v>
      </c>
      <c r="F590">
        <f t="shared" si="28"/>
        <v>-3.8270184418196601E-2</v>
      </c>
      <c r="G590">
        <f t="shared" si="29"/>
        <v>-1.0546298155818035</v>
      </c>
    </row>
    <row r="591" spans="1:7" x14ac:dyDescent="0.25">
      <c r="A591" s="2" t="s">
        <v>10</v>
      </c>
      <c r="B591" s="3">
        <v>42522</v>
      </c>
      <c r="C591" s="4">
        <v>-0.4405</v>
      </c>
      <c r="D591" s="4">
        <v>1.5848</v>
      </c>
      <c r="E591" s="22">
        <f t="shared" si="27"/>
        <v>1.5818000000000001</v>
      </c>
      <c r="F591">
        <f t="shared" si="28"/>
        <v>0.22391815058712591</v>
      </c>
      <c r="G591">
        <f t="shared" si="29"/>
        <v>-0.66441815058712594</v>
      </c>
    </row>
    <row r="592" spans="1:7" x14ac:dyDescent="0.25">
      <c r="A592" s="2" t="s">
        <v>10</v>
      </c>
      <c r="B592" s="3">
        <v>42523</v>
      </c>
      <c r="C592" s="4">
        <v>1.3158000000000001</v>
      </c>
      <c r="D592" s="4">
        <v>0</v>
      </c>
      <c r="E592" s="22">
        <f t="shared" si="27"/>
        <v>-3.0000000000000001E-3</v>
      </c>
      <c r="F592">
        <f t="shared" si="28"/>
        <v>5.6619927362827945E-3</v>
      </c>
      <c r="G592">
        <f t="shared" si="29"/>
        <v>1.3101380072637172</v>
      </c>
    </row>
    <row r="593" spans="1:7" x14ac:dyDescent="0.25">
      <c r="A593" s="2" t="s">
        <v>10</v>
      </c>
      <c r="B593" s="3">
        <v>42524</v>
      </c>
      <c r="C593" s="4">
        <v>-1.7583</v>
      </c>
      <c r="D593" s="4">
        <v>0.93899999999999995</v>
      </c>
      <c r="E593" s="22">
        <f t="shared" si="27"/>
        <v>0.93599999999999994</v>
      </c>
      <c r="F593">
        <f t="shared" si="28"/>
        <v>0.13497959257344944</v>
      </c>
      <c r="G593">
        <f t="shared" si="29"/>
        <v>-1.8932795925734494</v>
      </c>
    </row>
    <row r="594" spans="1:7" x14ac:dyDescent="0.25">
      <c r="A594" s="2" t="s">
        <v>10</v>
      </c>
      <c r="B594" s="3">
        <v>42525</v>
      </c>
      <c r="C594" s="4">
        <v>0.88300000000000001</v>
      </c>
      <c r="D594" s="4">
        <v>-0.312</v>
      </c>
      <c r="E594" s="22">
        <f t="shared" si="27"/>
        <v>-0.315</v>
      </c>
      <c r="F594">
        <f t="shared" si="28"/>
        <v>-3.7306155452424328E-2</v>
      </c>
      <c r="G594">
        <f t="shared" si="29"/>
        <v>0.92030615545242433</v>
      </c>
    </row>
    <row r="595" spans="1:7" x14ac:dyDescent="0.25">
      <c r="A595" s="2" t="s">
        <v>10</v>
      </c>
      <c r="B595" s="3">
        <v>42527</v>
      </c>
      <c r="C595" s="4">
        <v>1.6349</v>
      </c>
      <c r="D595" s="4">
        <v>0.62309999999999999</v>
      </c>
      <c r="E595" s="22">
        <f t="shared" si="27"/>
        <v>0.62009999999999998</v>
      </c>
      <c r="F595">
        <f t="shared" si="28"/>
        <v>9.1474342532383471E-2</v>
      </c>
      <c r="G595">
        <f t="shared" si="29"/>
        <v>1.5434256574676166</v>
      </c>
    </row>
    <row r="596" spans="1:7" x14ac:dyDescent="0.25">
      <c r="A596" s="2" t="s">
        <v>10</v>
      </c>
      <c r="B596" s="3">
        <v>42528</v>
      </c>
      <c r="C596" s="4">
        <v>1.1821999999999999</v>
      </c>
      <c r="D596" s="4">
        <v>0.61919999999999997</v>
      </c>
      <c r="E596" s="22">
        <f t="shared" si="27"/>
        <v>0.61619999999999997</v>
      </c>
      <c r="F596">
        <f t="shared" si="28"/>
        <v>9.0937240680024622E-2</v>
      </c>
      <c r="G596">
        <f t="shared" si="29"/>
        <v>1.0912627593199753</v>
      </c>
    </row>
    <row r="597" spans="1:7" x14ac:dyDescent="0.25">
      <c r="A597" s="2" t="s">
        <v>10</v>
      </c>
      <c r="B597" s="3">
        <v>42529</v>
      </c>
      <c r="C597" s="4">
        <v>1.0627</v>
      </c>
      <c r="D597" s="4">
        <v>2.1375000000000002</v>
      </c>
      <c r="E597" s="22">
        <f t="shared" si="27"/>
        <v>2.1345000000000001</v>
      </c>
      <c r="F597">
        <f t="shared" si="28"/>
        <v>0.30003512335603111</v>
      </c>
      <c r="G597">
        <f t="shared" si="29"/>
        <v>0.76266487664396887</v>
      </c>
    </row>
    <row r="598" spans="1:7" x14ac:dyDescent="0.25">
      <c r="A598" s="2" t="s">
        <v>10</v>
      </c>
      <c r="B598" s="3">
        <v>42534</v>
      </c>
      <c r="C598" s="4">
        <v>-1.4910000000000001</v>
      </c>
      <c r="D598" s="4">
        <v>-2.1375000000000002</v>
      </c>
      <c r="E598" s="22">
        <f t="shared" si="27"/>
        <v>-2.1405000000000003</v>
      </c>
      <c r="F598">
        <f t="shared" si="28"/>
        <v>-0.28871113788346559</v>
      </c>
      <c r="G598">
        <f t="shared" si="29"/>
        <v>-1.2022888621165344</v>
      </c>
    </row>
    <row r="599" spans="1:7" x14ac:dyDescent="0.25">
      <c r="A599" s="2" t="s">
        <v>10</v>
      </c>
      <c r="B599" s="3">
        <v>42535</v>
      </c>
      <c r="C599" s="4">
        <v>0.32140000000000002</v>
      </c>
      <c r="D599" s="4">
        <v>0</v>
      </c>
      <c r="E599" s="22">
        <f t="shared" si="27"/>
        <v>-3.0000000000000001E-3</v>
      </c>
      <c r="F599">
        <f t="shared" si="28"/>
        <v>5.6619927362827945E-3</v>
      </c>
      <c r="G599">
        <f t="shared" si="29"/>
        <v>0.3157380072637172</v>
      </c>
    </row>
    <row r="600" spans="1:7" x14ac:dyDescent="0.25">
      <c r="A600" s="2" t="s">
        <v>10</v>
      </c>
      <c r="B600" s="3">
        <v>42536</v>
      </c>
      <c r="C600" s="4">
        <v>0.63970000000000005</v>
      </c>
      <c r="D600" s="4">
        <v>0.61539999999999995</v>
      </c>
      <c r="E600" s="22">
        <f t="shared" si="27"/>
        <v>0.61239999999999994</v>
      </c>
      <c r="F600">
        <f t="shared" si="28"/>
        <v>9.0413910670033959E-2</v>
      </c>
      <c r="G600">
        <f t="shared" si="29"/>
        <v>0.54928608932996603</v>
      </c>
    </row>
    <row r="601" spans="1:7" x14ac:dyDescent="0.25">
      <c r="A601" s="2" t="s">
        <v>10</v>
      </c>
      <c r="B601" s="3">
        <v>42537</v>
      </c>
      <c r="C601" s="4">
        <v>-1.8230999999999999</v>
      </c>
      <c r="D601" s="4">
        <v>-1.5456000000000001</v>
      </c>
      <c r="E601" s="22">
        <f t="shared" si="27"/>
        <v>-1.5486</v>
      </c>
      <c r="F601">
        <f t="shared" si="28"/>
        <v>-0.20719560290623557</v>
      </c>
      <c r="G601">
        <f t="shared" si="29"/>
        <v>-1.6159043970937643</v>
      </c>
    </row>
    <row r="602" spans="1:7" x14ac:dyDescent="0.25">
      <c r="A602" s="2" t="s">
        <v>10</v>
      </c>
      <c r="B602" s="3">
        <v>42538</v>
      </c>
      <c r="C602" s="4">
        <v>1.0764</v>
      </c>
      <c r="D602" s="4">
        <v>1.5456000000000001</v>
      </c>
      <c r="E602" s="22">
        <f t="shared" si="27"/>
        <v>1.5426000000000002</v>
      </c>
      <c r="F602">
        <f t="shared" si="28"/>
        <v>0.2185195883788012</v>
      </c>
      <c r="G602">
        <f t="shared" si="29"/>
        <v>0.85788041162119888</v>
      </c>
    </row>
    <row r="603" spans="1:7" x14ac:dyDescent="0.25">
      <c r="A603" s="2" t="s">
        <v>10</v>
      </c>
      <c r="B603" s="3">
        <v>42541</v>
      </c>
      <c r="C603" s="4">
        <v>1.2766</v>
      </c>
      <c r="D603" s="4">
        <v>0</v>
      </c>
      <c r="E603" s="22">
        <f t="shared" si="27"/>
        <v>-3.0000000000000001E-3</v>
      </c>
      <c r="F603">
        <f t="shared" si="28"/>
        <v>5.6619927362827945E-3</v>
      </c>
      <c r="G603">
        <f t="shared" si="29"/>
        <v>1.2709380072637171</v>
      </c>
    </row>
    <row r="604" spans="1:7" x14ac:dyDescent="0.25">
      <c r="A604" s="2" t="s">
        <v>10</v>
      </c>
      <c r="B604" s="3">
        <v>42542</v>
      </c>
      <c r="C604" s="4">
        <v>1.1560999999999999</v>
      </c>
      <c r="D604" s="4">
        <v>1.5221</v>
      </c>
      <c r="E604" s="22">
        <f t="shared" si="27"/>
        <v>1.5191000000000001</v>
      </c>
      <c r="F604">
        <f t="shared" si="28"/>
        <v>0.21528320542227997</v>
      </c>
      <c r="G604">
        <f t="shared" si="29"/>
        <v>0.94081679457771994</v>
      </c>
    </row>
    <row r="605" spans="1:7" x14ac:dyDescent="0.25">
      <c r="A605" s="2" t="s">
        <v>10</v>
      </c>
      <c r="B605" s="3">
        <v>42543</v>
      </c>
      <c r="C605" s="4">
        <v>-0.6865</v>
      </c>
      <c r="D605" s="4">
        <v>0.30170000000000002</v>
      </c>
      <c r="E605" s="22">
        <f t="shared" si="27"/>
        <v>0.29870000000000002</v>
      </c>
      <c r="F605">
        <f t="shared" si="28"/>
        <v>4.7211641161067859E-2</v>
      </c>
      <c r="G605">
        <f t="shared" si="29"/>
        <v>-0.73371164116106791</v>
      </c>
    </row>
    <row r="606" spans="1:7" x14ac:dyDescent="0.25">
      <c r="A606" s="2" t="s">
        <v>10</v>
      </c>
      <c r="B606" s="3">
        <v>42544</v>
      </c>
      <c r="C606" s="4">
        <v>-0.57569999999999999</v>
      </c>
      <c r="D606" s="4">
        <v>-1.2121</v>
      </c>
      <c r="E606" s="22">
        <f t="shared" si="27"/>
        <v>-1.2150999999999998</v>
      </c>
      <c r="F606">
        <f t="shared" si="28"/>
        <v>-0.16126650860837072</v>
      </c>
      <c r="G606">
        <f t="shared" si="29"/>
        <v>-0.41443349139162927</v>
      </c>
    </row>
    <row r="607" spans="1:7" x14ac:dyDescent="0.25">
      <c r="A607" s="2" t="s">
        <v>10</v>
      </c>
      <c r="B607" s="3">
        <v>42545</v>
      </c>
      <c r="C607" s="4">
        <v>-2.4548000000000001</v>
      </c>
      <c r="D607" s="4">
        <v>-3.0962000000000001</v>
      </c>
      <c r="E607" s="22">
        <f t="shared" si="27"/>
        <v>-3.0992000000000002</v>
      </c>
      <c r="F607">
        <f t="shared" si="28"/>
        <v>-0.42074179066716272</v>
      </c>
      <c r="G607">
        <f t="shared" si="29"/>
        <v>-2.0340582093328372</v>
      </c>
    </row>
    <row r="608" spans="1:7" x14ac:dyDescent="0.25">
      <c r="A608" s="2" t="s">
        <v>10</v>
      </c>
      <c r="B608" s="3">
        <v>42548</v>
      </c>
      <c r="C608" s="4">
        <v>-1.0708</v>
      </c>
      <c r="D608" s="4">
        <v>1.5601</v>
      </c>
      <c r="E608" s="22">
        <f t="shared" si="27"/>
        <v>1.5571000000000002</v>
      </c>
      <c r="F608">
        <f t="shared" si="28"/>
        <v>0.22051650552218663</v>
      </c>
      <c r="G608">
        <f t="shared" si="29"/>
        <v>-1.2913165055221867</v>
      </c>
    </row>
    <row r="609" spans="1:7" x14ac:dyDescent="0.25">
      <c r="A609" s="2" t="s">
        <v>10</v>
      </c>
      <c r="B609" s="3">
        <v>42549</v>
      </c>
      <c r="C609" s="4">
        <v>0.71509999999999996</v>
      </c>
      <c r="D609" s="4">
        <v>0.96</v>
      </c>
      <c r="E609" s="22">
        <f t="shared" si="27"/>
        <v>0.95699999999999996</v>
      </c>
      <c r="F609">
        <f t="shared" si="28"/>
        <v>0.13787167947076626</v>
      </c>
      <c r="G609">
        <f t="shared" si="29"/>
        <v>0.57722832052923367</v>
      </c>
    </row>
    <row r="610" spans="1:7" x14ac:dyDescent="0.25">
      <c r="A610" s="2" t="s">
        <v>10</v>
      </c>
      <c r="B610" s="3">
        <v>42550</v>
      </c>
      <c r="C610" s="4">
        <v>1.5321</v>
      </c>
      <c r="D610" s="4">
        <v>1.2658</v>
      </c>
      <c r="E610" s="22">
        <f t="shared" si="27"/>
        <v>1.2628000000000001</v>
      </c>
      <c r="F610">
        <f t="shared" si="28"/>
        <v>0.17998597343264652</v>
      </c>
      <c r="G610">
        <f t="shared" si="29"/>
        <v>1.3521140265673535</v>
      </c>
    </row>
    <row r="611" spans="1:7" x14ac:dyDescent="0.25">
      <c r="A611" s="2" t="s">
        <v>10</v>
      </c>
      <c r="B611" s="3">
        <v>42551</v>
      </c>
      <c r="C611" s="4">
        <v>0.3503</v>
      </c>
      <c r="D611" s="4">
        <v>2.1774</v>
      </c>
      <c r="E611" s="22">
        <f t="shared" si="27"/>
        <v>2.1743999999999999</v>
      </c>
      <c r="F611">
        <f t="shared" si="28"/>
        <v>0.3055300884609331</v>
      </c>
      <c r="G611">
        <f t="shared" si="29"/>
        <v>4.4769911539066898E-2</v>
      </c>
    </row>
    <row r="612" spans="1:7" x14ac:dyDescent="0.25">
      <c r="A612" s="2" t="s">
        <v>10</v>
      </c>
      <c r="B612" s="3">
        <v>42552</v>
      </c>
      <c r="C612" s="4">
        <v>0.11650000000000001</v>
      </c>
      <c r="D612" s="4">
        <v>2.1309999999999998</v>
      </c>
      <c r="E612" s="22">
        <f t="shared" si="27"/>
        <v>2.1279999999999997</v>
      </c>
      <c r="F612">
        <f t="shared" si="28"/>
        <v>0.29913995360209966</v>
      </c>
      <c r="G612">
        <f t="shared" si="29"/>
        <v>-0.18263995360209967</v>
      </c>
    </row>
    <row r="613" spans="1:7" x14ac:dyDescent="0.25">
      <c r="A613" s="2" t="s">
        <v>10</v>
      </c>
      <c r="B613" s="3">
        <v>42555</v>
      </c>
      <c r="C613" s="4">
        <v>0.69610000000000005</v>
      </c>
      <c r="D613" s="4">
        <v>0</v>
      </c>
      <c r="E613" s="22">
        <f t="shared" si="27"/>
        <v>-3.0000000000000001E-3</v>
      </c>
      <c r="F613">
        <f t="shared" si="28"/>
        <v>5.6619927362827945E-3</v>
      </c>
      <c r="G613">
        <f t="shared" si="29"/>
        <v>0.69043800726371729</v>
      </c>
    </row>
    <row r="614" spans="1:7" x14ac:dyDescent="0.25">
      <c r="A614" s="2" t="s">
        <v>10</v>
      </c>
      <c r="B614" s="3">
        <v>42556</v>
      </c>
      <c r="C614" s="4">
        <v>-0.57969999999999999</v>
      </c>
      <c r="D614" s="4">
        <v>-1.2121</v>
      </c>
      <c r="E614" s="22">
        <f t="shared" si="27"/>
        <v>-1.2150999999999998</v>
      </c>
      <c r="F614">
        <f t="shared" si="28"/>
        <v>-0.16126650860837072</v>
      </c>
      <c r="G614">
        <f t="shared" si="29"/>
        <v>-0.41843349139162928</v>
      </c>
    </row>
    <row r="615" spans="1:7" x14ac:dyDescent="0.25">
      <c r="A615" s="2" t="s">
        <v>10</v>
      </c>
      <c r="B615" s="3">
        <v>42557</v>
      </c>
      <c r="C615" s="4">
        <v>0.1162</v>
      </c>
      <c r="D615" s="4">
        <v>-1.5361</v>
      </c>
      <c r="E615" s="22">
        <f t="shared" si="27"/>
        <v>-1.5390999999999999</v>
      </c>
      <c r="F615">
        <f t="shared" si="28"/>
        <v>-0.20588727788125891</v>
      </c>
      <c r="G615">
        <f t="shared" si="29"/>
        <v>0.3220872778812589</v>
      </c>
    </row>
    <row r="616" spans="1:7" x14ac:dyDescent="0.25">
      <c r="A616" s="2" t="s">
        <v>10</v>
      </c>
      <c r="B616" s="3">
        <v>42558</v>
      </c>
      <c r="C616" s="4">
        <v>-0.2326</v>
      </c>
      <c r="D616" s="4">
        <v>1.8405</v>
      </c>
      <c r="E616" s="22">
        <f t="shared" si="27"/>
        <v>1.8375000000000001</v>
      </c>
      <c r="F616">
        <f t="shared" si="28"/>
        <v>0.25913275152255033</v>
      </c>
      <c r="G616">
        <f t="shared" si="29"/>
        <v>-0.49173275152255036</v>
      </c>
    </row>
    <row r="617" spans="1:7" x14ac:dyDescent="0.25">
      <c r="A617" s="2" t="s">
        <v>10</v>
      </c>
      <c r="B617" s="3">
        <v>42562</v>
      </c>
      <c r="C617" s="4">
        <v>-0.34989999999999999</v>
      </c>
      <c r="D617" s="4">
        <v>3.2888000000000002</v>
      </c>
      <c r="E617" s="22">
        <f t="shared" si="27"/>
        <v>3.2858000000000001</v>
      </c>
      <c r="F617">
        <f t="shared" si="28"/>
        <v>0.45859034454083408</v>
      </c>
      <c r="G617">
        <f t="shared" si="29"/>
        <v>-0.80849034454083402</v>
      </c>
    </row>
    <row r="618" spans="1:7" x14ac:dyDescent="0.25">
      <c r="A618" s="2" t="s">
        <v>10</v>
      </c>
      <c r="B618" s="3">
        <v>42563</v>
      </c>
      <c r="C618" s="4">
        <v>0.2334</v>
      </c>
      <c r="D618" s="4">
        <v>0.58650000000000002</v>
      </c>
      <c r="E618" s="22">
        <f t="shared" si="27"/>
        <v>0.58350000000000002</v>
      </c>
      <c r="F618">
        <f t="shared" si="28"/>
        <v>8.6433848225631285E-2</v>
      </c>
      <c r="G618">
        <f t="shared" si="29"/>
        <v>0.14696615177436873</v>
      </c>
    </row>
    <row r="619" spans="1:7" x14ac:dyDescent="0.25">
      <c r="A619" s="2" t="s">
        <v>10</v>
      </c>
      <c r="B619" s="3">
        <v>42564</v>
      </c>
      <c r="C619" s="4">
        <v>0.58109999999999995</v>
      </c>
      <c r="D619" s="4">
        <v>-1.4728000000000001</v>
      </c>
      <c r="E619" s="22">
        <f t="shared" si="27"/>
        <v>-1.4758</v>
      </c>
      <c r="F619">
        <f t="shared" si="28"/>
        <v>-0.19716970166220391</v>
      </c>
      <c r="G619">
        <f t="shared" si="29"/>
        <v>0.77826970166220388</v>
      </c>
    </row>
    <row r="620" spans="1:7" x14ac:dyDescent="0.25">
      <c r="A620" s="2" t="s">
        <v>10</v>
      </c>
      <c r="B620" s="3">
        <v>42565</v>
      </c>
      <c r="C620" s="4">
        <v>-0.34820000000000001</v>
      </c>
      <c r="D620" s="4">
        <v>0.29630000000000001</v>
      </c>
      <c r="E620" s="22">
        <f t="shared" si="27"/>
        <v>0.29330000000000001</v>
      </c>
      <c r="F620">
        <f t="shared" si="28"/>
        <v>4.6467961673186391E-2</v>
      </c>
      <c r="G620">
        <f t="shared" si="29"/>
        <v>-0.39466796167318641</v>
      </c>
    </row>
    <row r="621" spans="1:7" x14ac:dyDescent="0.25">
      <c r="A621" s="2" t="s">
        <v>10</v>
      </c>
      <c r="B621" s="3">
        <v>42566</v>
      </c>
      <c r="C621" s="4">
        <v>-1.5232000000000001</v>
      </c>
      <c r="D621" s="4">
        <v>0.2954</v>
      </c>
      <c r="E621" s="22">
        <f t="shared" si="27"/>
        <v>0.29239999999999999</v>
      </c>
      <c r="F621">
        <f t="shared" si="28"/>
        <v>4.634401509187281E-2</v>
      </c>
      <c r="G621">
        <f t="shared" si="29"/>
        <v>-1.5695440150918729</v>
      </c>
    </row>
    <row r="622" spans="1:7" x14ac:dyDescent="0.25">
      <c r="A622" s="2" t="s">
        <v>10</v>
      </c>
      <c r="B622" s="3">
        <v>42569</v>
      </c>
      <c r="C622" s="4">
        <v>-1.1877</v>
      </c>
      <c r="D622" s="4">
        <v>0</v>
      </c>
      <c r="E622" s="22">
        <f t="shared" si="27"/>
        <v>-3.0000000000000001E-3</v>
      </c>
      <c r="F622">
        <f t="shared" si="28"/>
        <v>5.6619927362827945E-3</v>
      </c>
      <c r="G622">
        <f t="shared" si="29"/>
        <v>-1.1933619927362829</v>
      </c>
    </row>
    <row r="623" spans="1:7" x14ac:dyDescent="0.25">
      <c r="A623" s="2" t="s">
        <v>10</v>
      </c>
      <c r="B623" s="3">
        <v>42570</v>
      </c>
      <c r="C623" s="4">
        <v>0.11940000000000001</v>
      </c>
      <c r="D623" s="4">
        <v>0.58819999999999995</v>
      </c>
      <c r="E623" s="22">
        <f t="shared" si="27"/>
        <v>0.58519999999999994</v>
      </c>
      <c r="F623">
        <f t="shared" si="28"/>
        <v>8.6667969545890261E-2</v>
      </c>
      <c r="G623">
        <f t="shared" si="29"/>
        <v>3.2732030454109745E-2</v>
      </c>
    </row>
    <row r="624" spans="1:7" x14ac:dyDescent="0.25">
      <c r="A624" s="2" t="s">
        <v>10</v>
      </c>
      <c r="B624" s="3">
        <v>42571</v>
      </c>
      <c r="C624" s="4">
        <v>0.47620000000000001</v>
      </c>
      <c r="D624" s="4">
        <v>-0.29370000000000002</v>
      </c>
      <c r="E624" s="22">
        <f t="shared" si="27"/>
        <v>-0.29670000000000002</v>
      </c>
      <c r="F624">
        <f t="shared" si="28"/>
        <v>-3.4785908299048242E-2</v>
      </c>
      <c r="G624">
        <f t="shared" si="29"/>
        <v>0.51098590829904822</v>
      </c>
    </row>
    <row r="625" spans="1:7" x14ac:dyDescent="0.25">
      <c r="A625" s="2" t="s">
        <v>10</v>
      </c>
      <c r="B625" s="3">
        <v>42572</v>
      </c>
      <c r="C625" s="4">
        <v>1.5321</v>
      </c>
      <c r="D625" s="4">
        <v>1.1696</v>
      </c>
      <c r="E625" s="22">
        <f t="shared" si="27"/>
        <v>1.1666000000000001</v>
      </c>
      <c r="F625">
        <f t="shared" si="28"/>
        <v>0.16673746107446183</v>
      </c>
      <c r="G625">
        <f t="shared" si="29"/>
        <v>1.3653625389255382</v>
      </c>
    </row>
    <row r="626" spans="1:7" x14ac:dyDescent="0.25">
      <c r="A626" s="2" t="s">
        <v>10</v>
      </c>
      <c r="B626" s="3">
        <v>42573</v>
      </c>
      <c r="C626" s="4">
        <v>0</v>
      </c>
      <c r="D626" s="4">
        <v>-0.58309999999999995</v>
      </c>
      <c r="E626" s="22">
        <f t="shared" si="27"/>
        <v>-0.58609999999999995</v>
      </c>
      <c r="F626">
        <f t="shared" si="28"/>
        <v>-7.4641620112547727E-2</v>
      </c>
      <c r="G626">
        <f t="shared" si="29"/>
        <v>7.4641620112547727E-2</v>
      </c>
    </row>
    <row r="627" spans="1:7" x14ac:dyDescent="0.25">
      <c r="A627" s="2" t="s">
        <v>10</v>
      </c>
      <c r="B627" s="3">
        <v>42576</v>
      </c>
      <c r="C627" s="4">
        <v>-1.77</v>
      </c>
      <c r="D627" s="4">
        <v>0.29199999999999998</v>
      </c>
      <c r="E627" s="22">
        <f t="shared" si="27"/>
        <v>0.28899999999999998</v>
      </c>
      <c r="F627">
        <f t="shared" si="28"/>
        <v>4.5875772451354845E-2</v>
      </c>
      <c r="G627">
        <f t="shared" si="29"/>
        <v>-1.8158757724513548</v>
      </c>
    </row>
    <row r="628" spans="1:7" x14ac:dyDescent="0.25">
      <c r="A628" s="2" t="s">
        <v>10</v>
      </c>
      <c r="B628" s="3">
        <v>42577</v>
      </c>
      <c r="C628" s="4">
        <v>-0.2384</v>
      </c>
      <c r="D628" s="4">
        <v>0.87080000000000002</v>
      </c>
      <c r="E628" s="22">
        <f t="shared" si="27"/>
        <v>0.86780000000000002</v>
      </c>
      <c r="F628">
        <f t="shared" si="28"/>
        <v>0.12558719607835384</v>
      </c>
      <c r="G628">
        <f t="shared" si="29"/>
        <v>-0.36398719607835384</v>
      </c>
    </row>
    <row r="629" spans="1:7" x14ac:dyDescent="0.25">
      <c r="A629" s="2" t="s">
        <v>10</v>
      </c>
      <c r="B629" s="3">
        <v>42578</v>
      </c>
      <c r="C629" s="4">
        <v>1.0683</v>
      </c>
      <c r="D629" s="4">
        <v>1.1494</v>
      </c>
      <c r="E629" s="22">
        <f t="shared" si="27"/>
        <v>1.1464000000000001</v>
      </c>
      <c r="F629">
        <f t="shared" si="28"/>
        <v>0.1639555489160904</v>
      </c>
      <c r="G629">
        <f t="shared" si="29"/>
        <v>0.9043444510839096</v>
      </c>
    </row>
    <row r="630" spans="1:7" x14ac:dyDescent="0.25">
      <c r="A630" s="2" t="s">
        <v>10</v>
      </c>
      <c r="B630" s="3">
        <v>42579</v>
      </c>
      <c r="C630" s="4">
        <v>0.11799999999999999</v>
      </c>
      <c r="D630" s="4">
        <v>0.85350000000000004</v>
      </c>
      <c r="E630" s="22">
        <f t="shared" si="27"/>
        <v>0.85050000000000003</v>
      </c>
      <c r="F630">
        <f t="shared" si="28"/>
        <v>0.12320466734865951</v>
      </c>
      <c r="G630">
        <f t="shared" si="29"/>
        <v>-5.2046673486595141E-3</v>
      </c>
    </row>
    <row r="631" spans="1:7" x14ac:dyDescent="0.25">
      <c r="A631" s="2" t="s">
        <v>10</v>
      </c>
      <c r="B631" s="3">
        <v>42580</v>
      </c>
      <c r="C631" s="4">
        <v>-0.4728</v>
      </c>
      <c r="D631" s="4">
        <v>-2.2924000000000002</v>
      </c>
      <c r="E631" s="22">
        <f t="shared" si="27"/>
        <v>-2.2954000000000003</v>
      </c>
      <c r="F631">
        <f t="shared" si="28"/>
        <v>-0.31004372171176919</v>
      </c>
      <c r="G631">
        <f t="shared" si="29"/>
        <v>-0.1627562782882308</v>
      </c>
    </row>
    <row r="632" spans="1:7" x14ac:dyDescent="0.25">
      <c r="A632" s="2" t="s">
        <v>10</v>
      </c>
      <c r="B632" s="3">
        <v>42583</v>
      </c>
      <c r="C632" s="4">
        <v>0</v>
      </c>
      <c r="D632" s="4">
        <v>2.5752000000000002</v>
      </c>
      <c r="E632" s="22">
        <f t="shared" si="27"/>
        <v>2.5722</v>
      </c>
      <c r="F632">
        <f t="shared" si="28"/>
        <v>0.36031447740153466</v>
      </c>
      <c r="G632">
        <f t="shared" si="29"/>
        <v>-0.36031447740153466</v>
      </c>
    </row>
    <row r="633" spans="1:7" x14ac:dyDescent="0.25">
      <c r="A633" s="2" t="s">
        <v>10</v>
      </c>
      <c r="B633" s="3">
        <v>42584</v>
      </c>
      <c r="C633" s="4">
        <v>-0.35610000000000003</v>
      </c>
      <c r="D633" s="4">
        <v>-0.56659999999999999</v>
      </c>
      <c r="E633" s="22">
        <f t="shared" si="27"/>
        <v>-0.5696</v>
      </c>
      <c r="F633">
        <f t="shared" si="28"/>
        <v>-7.2369266121798795E-2</v>
      </c>
      <c r="G633">
        <f t="shared" si="29"/>
        <v>-0.28373073387820125</v>
      </c>
    </row>
    <row r="634" spans="1:7" x14ac:dyDescent="0.25">
      <c r="A634" s="2" t="s">
        <v>10</v>
      </c>
      <c r="B634" s="3">
        <v>42585</v>
      </c>
      <c r="C634" s="4">
        <v>-4.2507999999999999</v>
      </c>
      <c r="D634" s="4">
        <v>-2.0087000000000002</v>
      </c>
      <c r="E634" s="22">
        <f t="shared" si="27"/>
        <v>-2.0117000000000003</v>
      </c>
      <c r="F634">
        <f t="shared" si="28"/>
        <v>-0.27097300491325571</v>
      </c>
      <c r="G634">
        <f t="shared" si="29"/>
        <v>-3.9798269950867442</v>
      </c>
    </row>
    <row r="635" spans="1:7" x14ac:dyDescent="0.25">
      <c r="A635" s="2" t="s">
        <v>10</v>
      </c>
      <c r="B635" s="3">
        <v>42586</v>
      </c>
      <c r="C635" s="4">
        <v>-1.6261000000000001</v>
      </c>
      <c r="D635" s="4">
        <v>1.1528</v>
      </c>
      <c r="E635" s="22">
        <f t="shared" si="27"/>
        <v>1.1498000000000002</v>
      </c>
      <c r="F635">
        <f t="shared" si="28"/>
        <v>0.16442379155660838</v>
      </c>
      <c r="G635">
        <f t="shared" si="29"/>
        <v>-1.7905237915566086</v>
      </c>
    </row>
    <row r="636" spans="1:7" x14ac:dyDescent="0.25">
      <c r="A636" s="2" t="s">
        <v>10</v>
      </c>
      <c r="B636" s="3">
        <v>42587</v>
      </c>
      <c r="C636" s="4">
        <v>0.37759999999999999</v>
      </c>
      <c r="D636" s="4">
        <v>1.4225000000000001</v>
      </c>
      <c r="E636" s="22">
        <f t="shared" si="27"/>
        <v>1.4195000000000002</v>
      </c>
      <c r="F636">
        <f t="shared" si="28"/>
        <v>0.20156645042357732</v>
      </c>
      <c r="G636">
        <f t="shared" si="29"/>
        <v>0.17603354957642267</v>
      </c>
    </row>
    <row r="637" spans="1:7" x14ac:dyDescent="0.25">
      <c r="A637" s="2" t="s">
        <v>10</v>
      </c>
      <c r="B637" s="3">
        <v>42590</v>
      </c>
      <c r="C637" s="4">
        <v>0.87560000000000004</v>
      </c>
      <c r="D637" s="4">
        <v>0.56340000000000001</v>
      </c>
      <c r="E637" s="22">
        <f t="shared" si="27"/>
        <v>0.56040000000000001</v>
      </c>
      <c r="F637">
        <f t="shared" si="28"/>
        <v>8.3252552638582777E-2</v>
      </c>
      <c r="G637">
        <f t="shared" si="29"/>
        <v>0.79234744736141727</v>
      </c>
    </row>
    <row r="638" spans="1:7" x14ac:dyDescent="0.25">
      <c r="A638" s="2" t="s">
        <v>10</v>
      </c>
      <c r="B638" s="3">
        <v>42591</v>
      </c>
      <c r="C638" s="4">
        <v>-1.2531000000000001</v>
      </c>
      <c r="D638" s="4">
        <v>0.28050000000000003</v>
      </c>
      <c r="E638" s="22">
        <f t="shared" si="27"/>
        <v>0.27750000000000002</v>
      </c>
      <c r="F638">
        <f t="shared" si="28"/>
        <v>4.4292010579014683E-2</v>
      </c>
      <c r="G638">
        <f t="shared" si="29"/>
        <v>-1.2973920105790149</v>
      </c>
    </row>
    <row r="639" spans="1:7" x14ac:dyDescent="0.25">
      <c r="A639" s="2" t="s">
        <v>10</v>
      </c>
      <c r="B639" s="3">
        <v>42592</v>
      </c>
      <c r="C639" s="4">
        <v>0.126</v>
      </c>
      <c r="D639" s="4">
        <v>0.55869999999999997</v>
      </c>
      <c r="E639" s="22">
        <f t="shared" si="27"/>
        <v>0.55569999999999997</v>
      </c>
      <c r="F639">
        <f t="shared" si="28"/>
        <v>8.2605276047278534E-2</v>
      </c>
      <c r="G639">
        <f t="shared" si="29"/>
        <v>4.3394723952721467E-2</v>
      </c>
    </row>
    <row r="640" spans="1:7" x14ac:dyDescent="0.25">
      <c r="A640" s="2" t="s">
        <v>10</v>
      </c>
      <c r="B640" s="3">
        <v>42593</v>
      </c>
      <c r="C640" s="4">
        <v>-0.25219999999999998</v>
      </c>
      <c r="D640" s="4">
        <v>-1.6854</v>
      </c>
      <c r="E640" s="22">
        <f t="shared" si="27"/>
        <v>-1.6883999999999999</v>
      </c>
      <c r="F640">
        <f t="shared" si="28"/>
        <v>-0.22644863853694472</v>
      </c>
      <c r="G640">
        <f t="shared" si="29"/>
        <v>-2.5751361463055261E-2</v>
      </c>
    </row>
    <row r="641" spans="1:7" x14ac:dyDescent="0.25">
      <c r="A641" s="2" t="s">
        <v>10</v>
      </c>
      <c r="B641" s="3">
        <v>42594</v>
      </c>
      <c r="C641" s="4">
        <v>-0.3795</v>
      </c>
      <c r="D641" s="4">
        <v>0.56499999999999995</v>
      </c>
      <c r="E641" s="22">
        <f t="shared" si="27"/>
        <v>0.56199999999999994</v>
      </c>
      <c r="F641">
        <f t="shared" si="28"/>
        <v>8.3472902116473569E-2</v>
      </c>
      <c r="G641">
        <f t="shared" si="29"/>
        <v>-0.46297290211647357</v>
      </c>
    </row>
    <row r="642" spans="1:7" x14ac:dyDescent="0.25">
      <c r="A642" s="2" t="s">
        <v>10</v>
      </c>
      <c r="B642" s="3">
        <v>42597</v>
      </c>
      <c r="C642" s="4">
        <v>-0.89119999999999999</v>
      </c>
      <c r="D642" s="4">
        <v>0.84150000000000003</v>
      </c>
      <c r="E642" s="22">
        <f t="shared" si="27"/>
        <v>0.83850000000000002</v>
      </c>
      <c r="F642">
        <f t="shared" si="28"/>
        <v>0.12155204626447846</v>
      </c>
      <c r="G642">
        <f t="shared" si="29"/>
        <v>-1.0127520462644783</v>
      </c>
    </row>
    <row r="643" spans="1:7" x14ac:dyDescent="0.25">
      <c r="A643" s="2" t="s">
        <v>10</v>
      </c>
      <c r="B643" s="3">
        <v>42598</v>
      </c>
      <c r="C643" s="4">
        <v>0.38290000000000002</v>
      </c>
      <c r="D643" s="4">
        <v>-1.9746999999999999</v>
      </c>
      <c r="E643" s="22">
        <f t="shared" ref="E643:E706" si="30">D643-$L$1</f>
        <v>-1.9776999999999998</v>
      </c>
      <c r="F643">
        <f t="shared" ref="F643:F706" si="31">L$2+L$3*E643</f>
        <v>-0.26629057850807603</v>
      </c>
      <c r="G643">
        <f t="shared" ref="G643:G706" si="32">C643-F643</f>
        <v>0.64919057850807604</v>
      </c>
    </row>
    <row r="644" spans="1:7" x14ac:dyDescent="0.25">
      <c r="A644" s="2" t="s">
        <v>10</v>
      </c>
      <c r="B644" s="3">
        <v>42599</v>
      </c>
      <c r="C644" s="4">
        <v>1.6425000000000001</v>
      </c>
      <c r="D644" s="4">
        <v>0.85109999999999997</v>
      </c>
      <c r="E644" s="22">
        <f t="shared" si="30"/>
        <v>0.84809999999999997</v>
      </c>
      <c r="F644">
        <f t="shared" si="31"/>
        <v>0.12287414313182328</v>
      </c>
      <c r="G644">
        <f t="shared" si="32"/>
        <v>1.5196258568681769</v>
      </c>
    </row>
    <row r="645" spans="1:7" x14ac:dyDescent="0.25">
      <c r="A645" s="2" t="s">
        <v>10</v>
      </c>
      <c r="B645" s="3">
        <v>42600</v>
      </c>
      <c r="C645" s="4">
        <v>0</v>
      </c>
      <c r="D645" s="4">
        <v>-0.56659999999999999</v>
      </c>
      <c r="E645" s="22">
        <f t="shared" si="30"/>
        <v>-0.5696</v>
      </c>
      <c r="F645">
        <f t="shared" si="31"/>
        <v>-7.2369266121798795E-2</v>
      </c>
      <c r="G645">
        <f t="shared" si="32"/>
        <v>7.2369266121798795E-2</v>
      </c>
    </row>
    <row r="646" spans="1:7" x14ac:dyDescent="0.25">
      <c r="A646" s="2" t="s">
        <v>10</v>
      </c>
      <c r="B646" s="3">
        <v>42601</v>
      </c>
      <c r="C646" s="4">
        <v>0.62460000000000004</v>
      </c>
      <c r="D646" s="4">
        <v>-0.85589999999999999</v>
      </c>
      <c r="E646" s="22">
        <f t="shared" si="30"/>
        <v>-0.8589</v>
      </c>
      <c r="F646">
        <f t="shared" si="31"/>
        <v>-0.11221120609293012</v>
      </c>
      <c r="G646">
        <f t="shared" si="32"/>
        <v>0.73681120609293016</v>
      </c>
    </row>
    <row r="647" spans="1:7" x14ac:dyDescent="0.25">
      <c r="A647" s="2" t="s">
        <v>10</v>
      </c>
      <c r="B647" s="3">
        <v>42604</v>
      </c>
      <c r="C647" s="4">
        <v>-0.37430000000000002</v>
      </c>
      <c r="D647" s="4">
        <v>-0.86329999999999996</v>
      </c>
      <c r="E647" s="22">
        <f t="shared" si="30"/>
        <v>-0.86629999999999996</v>
      </c>
      <c r="F647">
        <f t="shared" si="31"/>
        <v>-0.11323032242817509</v>
      </c>
      <c r="G647">
        <f t="shared" si="32"/>
        <v>-0.26106967757182492</v>
      </c>
    </row>
    <row r="648" spans="1:7" x14ac:dyDescent="0.25">
      <c r="A648" s="2" t="s">
        <v>10</v>
      </c>
      <c r="B648" s="3">
        <v>42605</v>
      </c>
      <c r="C648" s="4">
        <v>0</v>
      </c>
      <c r="D648" s="4">
        <v>0.57640000000000002</v>
      </c>
      <c r="E648" s="22">
        <f t="shared" si="30"/>
        <v>0.57340000000000002</v>
      </c>
      <c r="F648">
        <f t="shared" si="31"/>
        <v>8.5042892146445573E-2</v>
      </c>
      <c r="G648">
        <f t="shared" si="32"/>
        <v>-8.5042892146445573E-2</v>
      </c>
    </row>
    <row r="649" spans="1:7" x14ac:dyDescent="0.25">
      <c r="A649" s="2" t="s">
        <v>10</v>
      </c>
      <c r="B649" s="3">
        <v>42606</v>
      </c>
      <c r="C649" s="4">
        <v>-0.12509999999999999</v>
      </c>
      <c r="D649" s="4">
        <v>-0.2878</v>
      </c>
      <c r="E649" s="22">
        <f t="shared" si="30"/>
        <v>-0.2908</v>
      </c>
      <c r="F649">
        <f t="shared" si="31"/>
        <v>-3.3973369599325891E-2</v>
      </c>
      <c r="G649">
        <f t="shared" si="32"/>
        <v>-9.1126630400674091E-2</v>
      </c>
    </row>
    <row r="650" spans="1:7" x14ac:dyDescent="0.25">
      <c r="A650" s="2" t="s">
        <v>10</v>
      </c>
      <c r="B650" s="3">
        <v>42607</v>
      </c>
      <c r="C650" s="4">
        <v>0</v>
      </c>
      <c r="D650" s="4">
        <v>1.9972000000000001</v>
      </c>
      <c r="E650" s="22">
        <f t="shared" si="30"/>
        <v>1.9942000000000002</v>
      </c>
      <c r="F650">
        <f t="shared" si="31"/>
        <v>0.28071322851348113</v>
      </c>
      <c r="G650">
        <f t="shared" si="32"/>
        <v>-0.28071322851348113</v>
      </c>
    </row>
    <row r="651" spans="1:7" x14ac:dyDescent="0.25">
      <c r="A651" s="2" t="s">
        <v>10</v>
      </c>
      <c r="B651" s="3">
        <v>42608</v>
      </c>
      <c r="C651" s="4">
        <v>0.12509999999999999</v>
      </c>
      <c r="D651" s="4">
        <v>0</v>
      </c>
      <c r="E651" s="22">
        <f t="shared" si="30"/>
        <v>-3.0000000000000001E-3</v>
      </c>
      <c r="F651">
        <f t="shared" si="31"/>
        <v>5.6619927362827945E-3</v>
      </c>
      <c r="G651">
        <f t="shared" si="32"/>
        <v>0.1194380072637172</v>
      </c>
    </row>
    <row r="652" spans="1:7" x14ac:dyDescent="0.25">
      <c r="A652" s="2" t="s">
        <v>10</v>
      </c>
      <c r="B652" s="3">
        <v>42611</v>
      </c>
      <c r="C652" s="4">
        <v>0.62309999999999999</v>
      </c>
      <c r="D652" s="4">
        <v>-0.28289999999999998</v>
      </c>
      <c r="E652" s="22">
        <f t="shared" si="30"/>
        <v>-0.28589999999999999</v>
      </c>
      <c r="F652">
        <f t="shared" si="31"/>
        <v>-3.3298549323285298E-2</v>
      </c>
      <c r="G652">
        <f t="shared" si="32"/>
        <v>0.65639854932328534</v>
      </c>
    </row>
    <row r="653" spans="1:7" x14ac:dyDescent="0.25">
      <c r="A653" s="2" t="s">
        <v>10</v>
      </c>
      <c r="B653" s="3">
        <v>42612</v>
      </c>
      <c r="C653" s="4">
        <v>-0.12429999999999999</v>
      </c>
      <c r="D653" s="4">
        <v>-1.1395999999999999</v>
      </c>
      <c r="E653" s="22">
        <f t="shared" si="30"/>
        <v>-1.1425999999999998</v>
      </c>
      <c r="F653">
        <f t="shared" si="31"/>
        <v>-0.1512819228914436</v>
      </c>
      <c r="G653">
        <f t="shared" si="32"/>
        <v>2.6981922891443605E-2</v>
      </c>
    </row>
    <row r="654" spans="1:7" x14ac:dyDescent="0.25">
      <c r="A654" s="2" t="s">
        <v>10</v>
      </c>
      <c r="B654" s="3">
        <v>42613</v>
      </c>
      <c r="C654" s="4">
        <v>-2.7745000000000002</v>
      </c>
      <c r="D654" s="4">
        <v>0.85589999999999999</v>
      </c>
      <c r="E654" s="22">
        <f t="shared" si="30"/>
        <v>0.85289999999999999</v>
      </c>
      <c r="F654">
        <f t="shared" si="31"/>
        <v>0.12353519156549571</v>
      </c>
      <c r="G654">
        <f t="shared" si="32"/>
        <v>-2.898035191565496</v>
      </c>
    </row>
    <row r="655" spans="1:7" x14ac:dyDescent="0.25">
      <c r="A655" s="2" t="s">
        <v>10</v>
      </c>
      <c r="B655" s="3">
        <v>42614</v>
      </c>
      <c r="C655" s="4">
        <v>1.3968</v>
      </c>
      <c r="D655" s="4">
        <v>-1.4306000000000001</v>
      </c>
      <c r="E655" s="22">
        <f t="shared" si="30"/>
        <v>-1.4336</v>
      </c>
      <c r="F655">
        <f t="shared" si="31"/>
        <v>-0.1913579841828339</v>
      </c>
      <c r="G655">
        <f t="shared" si="32"/>
        <v>1.5881579841828339</v>
      </c>
    </row>
    <row r="656" spans="1:7" x14ac:dyDescent="0.25">
      <c r="A656" s="2" t="s">
        <v>10</v>
      </c>
      <c r="B656" s="3">
        <v>42615</v>
      </c>
      <c r="C656" s="4">
        <v>-1.1414</v>
      </c>
      <c r="D656" s="4">
        <v>0.57469999999999999</v>
      </c>
      <c r="E656" s="22">
        <f t="shared" si="30"/>
        <v>0.57169999999999999</v>
      </c>
      <c r="F656">
        <f t="shared" si="31"/>
        <v>8.4808770826186597E-2</v>
      </c>
      <c r="G656">
        <f t="shared" si="32"/>
        <v>-1.2262087708261866</v>
      </c>
    </row>
    <row r="657" spans="1:7" x14ac:dyDescent="0.25">
      <c r="A657" s="2" t="s">
        <v>10</v>
      </c>
      <c r="B657" s="3">
        <v>42618</v>
      </c>
      <c r="C657" s="4">
        <v>0.25480000000000003</v>
      </c>
      <c r="D657" s="4">
        <v>1.1395999999999999</v>
      </c>
      <c r="E657" s="22">
        <f t="shared" si="30"/>
        <v>1.1366000000000001</v>
      </c>
      <c r="F657">
        <f t="shared" si="31"/>
        <v>0.16260590836400921</v>
      </c>
      <c r="G657">
        <f t="shared" si="32"/>
        <v>9.2194091635990821E-2</v>
      </c>
    </row>
    <row r="658" spans="1:7" x14ac:dyDescent="0.25">
      <c r="A658" s="2" t="s">
        <v>10</v>
      </c>
      <c r="B658" s="3">
        <v>42619</v>
      </c>
      <c r="C658" s="4">
        <v>1.0126999999999999</v>
      </c>
      <c r="D658" s="4">
        <v>1.4065000000000001</v>
      </c>
      <c r="E658" s="22">
        <f t="shared" si="30"/>
        <v>1.4035000000000002</v>
      </c>
      <c r="F658">
        <f t="shared" si="31"/>
        <v>0.19936295564466927</v>
      </c>
      <c r="G658">
        <f t="shared" si="32"/>
        <v>0.81333704435533072</v>
      </c>
    </row>
    <row r="659" spans="1:7" x14ac:dyDescent="0.25">
      <c r="A659" s="2" t="s">
        <v>10</v>
      </c>
      <c r="B659" s="3">
        <v>42620</v>
      </c>
      <c r="C659" s="4">
        <v>1.0024999999999999</v>
      </c>
      <c r="D659" s="4">
        <v>2.7549999999999999</v>
      </c>
      <c r="E659" s="22">
        <f t="shared" si="30"/>
        <v>2.7519999999999998</v>
      </c>
      <c r="F659">
        <f t="shared" si="31"/>
        <v>0.38507624997951395</v>
      </c>
      <c r="G659">
        <f t="shared" si="32"/>
        <v>0.617423750020486</v>
      </c>
    </row>
    <row r="660" spans="1:7" x14ac:dyDescent="0.25">
      <c r="A660" s="2" t="s">
        <v>10</v>
      </c>
      <c r="B660" s="3">
        <v>42621</v>
      </c>
      <c r="C660" s="4">
        <v>0.4975</v>
      </c>
      <c r="D660" s="4">
        <v>-0.54500000000000004</v>
      </c>
      <c r="E660" s="22">
        <f t="shared" si="30"/>
        <v>-0.54800000000000004</v>
      </c>
      <c r="F660">
        <f t="shared" si="31"/>
        <v>-6.9394548170272921E-2</v>
      </c>
      <c r="G660">
        <f t="shared" si="32"/>
        <v>0.56689454817027296</v>
      </c>
    </row>
    <row r="661" spans="1:7" x14ac:dyDescent="0.25">
      <c r="A661" s="2" t="s">
        <v>10</v>
      </c>
      <c r="B661" s="3">
        <v>42622</v>
      </c>
      <c r="C661" s="4">
        <v>0</v>
      </c>
      <c r="D661" s="4">
        <v>-1.9311</v>
      </c>
      <c r="E661" s="22">
        <f t="shared" si="30"/>
        <v>-1.9340999999999999</v>
      </c>
      <c r="F661">
        <f t="shared" si="31"/>
        <v>-0.26028605523555159</v>
      </c>
      <c r="G661">
        <f t="shared" si="32"/>
        <v>0.26028605523555159</v>
      </c>
    </row>
    <row r="662" spans="1:7" x14ac:dyDescent="0.25">
      <c r="A662" s="2" t="s">
        <v>10</v>
      </c>
      <c r="B662" s="3">
        <v>42623</v>
      </c>
      <c r="C662" s="4">
        <v>-1.2484999999999999</v>
      </c>
      <c r="D662" s="4">
        <v>-0.83919999999999995</v>
      </c>
      <c r="E662" s="22">
        <f t="shared" si="30"/>
        <v>-0.84219999999999995</v>
      </c>
      <c r="F662">
        <f t="shared" si="31"/>
        <v>-0.10991130841744483</v>
      </c>
      <c r="G662">
        <f t="shared" si="32"/>
        <v>-1.1385886915825552</v>
      </c>
    </row>
    <row r="663" spans="1:7" x14ac:dyDescent="0.25">
      <c r="A663" s="2" t="s">
        <v>10</v>
      </c>
      <c r="B663" s="3">
        <v>42625</v>
      </c>
      <c r="C663" s="4">
        <v>-0.50380000000000003</v>
      </c>
      <c r="D663" s="4">
        <v>-1.6998</v>
      </c>
      <c r="E663" s="22">
        <f t="shared" si="30"/>
        <v>-1.7027999999999999</v>
      </c>
      <c r="F663">
        <f t="shared" si="31"/>
        <v>-0.22843178383796195</v>
      </c>
      <c r="G663">
        <f t="shared" si="32"/>
        <v>-0.2753682161620381</v>
      </c>
    </row>
    <row r="664" spans="1:7" x14ac:dyDescent="0.25">
      <c r="A664" s="2" t="s">
        <v>10</v>
      </c>
      <c r="B664" s="3">
        <v>42626</v>
      </c>
      <c r="C664" s="4">
        <v>-0.76049999999999995</v>
      </c>
      <c r="D664" s="4">
        <v>0</v>
      </c>
      <c r="E664" s="22">
        <f t="shared" si="30"/>
        <v>-3.0000000000000001E-3</v>
      </c>
      <c r="F664">
        <f t="shared" si="31"/>
        <v>5.6619927362827945E-3</v>
      </c>
      <c r="G664">
        <f t="shared" si="32"/>
        <v>-0.76616199273628272</v>
      </c>
    </row>
    <row r="665" spans="1:7" x14ac:dyDescent="0.25">
      <c r="A665" s="2" t="s">
        <v>10</v>
      </c>
      <c r="B665" s="3">
        <v>42627</v>
      </c>
      <c r="C665" s="4">
        <v>1.6404000000000001</v>
      </c>
      <c r="D665" s="4">
        <v>-0.86080000000000001</v>
      </c>
      <c r="E665" s="22">
        <f t="shared" si="30"/>
        <v>-0.86380000000000001</v>
      </c>
      <c r="F665">
        <f t="shared" si="31"/>
        <v>-0.1128860263689707</v>
      </c>
      <c r="G665">
        <f t="shared" si="32"/>
        <v>1.7532860263689707</v>
      </c>
    </row>
    <row r="666" spans="1:7" x14ac:dyDescent="0.25">
      <c r="A666" s="2" t="s">
        <v>10</v>
      </c>
      <c r="B666" s="3">
        <v>42632</v>
      </c>
      <c r="C666" s="4">
        <v>-1.0063</v>
      </c>
      <c r="D666" s="4">
        <v>5.0572999999999997</v>
      </c>
      <c r="E666" s="22">
        <f t="shared" si="30"/>
        <v>5.0542999999999996</v>
      </c>
      <c r="F666">
        <f t="shared" si="31"/>
        <v>0.70214537682201517</v>
      </c>
      <c r="G666">
        <f t="shared" si="32"/>
        <v>-1.7084453768220151</v>
      </c>
    </row>
    <row r="667" spans="1:7" x14ac:dyDescent="0.25">
      <c r="A667" s="2" t="s">
        <v>10</v>
      </c>
      <c r="B667" s="3">
        <v>42633</v>
      </c>
      <c r="C667" s="4">
        <v>0.63009999999999999</v>
      </c>
      <c r="D667" s="4">
        <v>0.27360000000000001</v>
      </c>
      <c r="E667" s="22">
        <f t="shared" si="30"/>
        <v>0.27060000000000001</v>
      </c>
      <c r="F667">
        <f t="shared" si="31"/>
        <v>4.3341753455610581E-2</v>
      </c>
      <c r="G667">
        <f t="shared" si="32"/>
        <v>0.58675824654438946</v>
      </c>
    </row>
    <row r="668" spans="1:7" x14ac:dyDescent="0.25">
      <c r="A668" s="2" t="s">
        <v>10</v>
      </c>
      <c r="B668" s="3">
        <v>42634</v>
      </c>
      <c r="C668" s="4">
        <v>2.6040000000000001</v>
      </c>
      <c r="D668" s="4">
        <v>0.54500000000000004</v>
      </c>
      <c r="E668" s="22">
        <f t="shared" si="30"/>
        <v>0.54200000000000004</v>
      </c>
      <c r="F668">
        <f t="shared" si="31"/>
        <v>8.0718533642838514E-2</v>
      </c>
      <c r="G668">
        <f t="shared" si="32"/>
        <v>2.5232814663571617</v>
      </c>
    </row>
    <row r="669" spans="1:7" x14ac:dyDescent="0.25">
      <c r="A669" s="2" t="s">
        <v>10</v>
      </c>
      <c r="B669" s="3">
        <v>42635</v>
      </c>
      <c r="C669" s="4">
        <v>1.9395</v>
      </c>
      <c r="D669" s="4">
        <v>0.81189999999999996</v>
      </c>
      <c r="E669" s="22">
        <f t="shared" si="30"/>
        <v>0.80889999999999995</v>
      </c>
      <c r="F669">
        <f t="shared" si="31"/>
        <v>0.11747558092349854</v>
      </c>
      <c r="G669">
        <f t="shared" si="32"/>
        <v>1.8220244190765014</v>
      </c>
    </row>
    <row r="670" spans="1:7" x14ac:dyDescent="0.25">
      <c r="A670" s="2" t="s">
        <v>10</v>
      </c>
      <c r="B670" s="3">
        <v>42636</v>
      </c>
      <c r="C670" s="4">
        <v>-0.48130000000000001</v>
      </c>
      <c r="D670" s="4">
        <v>1.0724</v>
      </c>
      <c r="E670" s="22">
        <f t="shared" si="30"/>
        <v>1.0694000000000001</v>
      </c>
      <c r="F670">
        <f t="shared" si="31"/>
        <v>0.15335123029259537</v>
      </c>
      <c r="G670">
        <f t="shared" si="32"/>
        <v>-0.6346512302925954</v>
      </c>
    </row>
    <row r="671" spans="1:7" x14ac:dyDescent="0.25">
      <c r="A671" s="2" t="s">
        <v>10</v>
      </c>
      <c r="B671" s="3">
        <v>42639</v>
      </c>
      <c r="C671" s="4">
        <v>-0.24149999999999999</v>
      </c>
      <c r="D671" s="4">
        <v>-2.4293</v>
      </c>
      <c r="E671" s="22">
        <f t="shared" si="30"/>
        <v>-2.4323000000000001</v>
      </c>
      <c r="F671">
        <f t="shared" si="31"/>
        <v>-0.32889737391380125</v>
      </c>
      <c r="G671">
        <f t="shared" si="32"/>
        <v>8.7397373913801257E-2</v>
      </c>
    </row>
    <row r="672" spans="1:7" x14ac:dyDescent="0.25">
      <c r="A672" s="2" t="s">
        <v>10</v>
      </c>
      <c r="B672" s="3">
        <v>42642</v>
      </c>
      <c r="C672" s="4">
        <v>-0.3634</v>
      </c>
      <c r="D672" s="4">
        <v>1.3569</v>
      </c>
      <c r="E672" s="22">
        <f t="shared" si="30"/>
        <v>1.3539000000000001</v>
      </c>
      <c r="F672">
        <f t="shared" si="31"/>
        <v>0.19253212183005428</v>
      </c>
      <c r="G672">
        <f t="shared" si="32"/>
        <v>-0.55593212183005425</v>
      </c>
    </row>
    <row r="673" spans="1:7" x14ac:dyDescent="0.25">
      <c r="A673" s="2" t="s">
        <v>10</v>
      </c>
      <c r="B673" s="3">
        <v>42643</v>
      </c>
      <c r="C673" s="4">
        <v>-0.48659999999999998</v>
      </c>
      <c r="D673" s="4">
        <v>-1.6305000000000001</v>
      </c>
      <c r="E673" s="22">
        <f t="shared" si="30"/>
        <v>-1.6335</v>
      </c>
      <c r="F673">
        <f t="shared" si="31"/>
        <v>-0.21888789707681644</v>
      </c>
      <c r="G673">
        <f t="shared" si="32"/>
        <v>-0.26771210292318354</v>
      </c>
    </row>
    <row r="674" spans="1:7" x14ac:dyDescent="0.25">
      <c r="A674" s="2" t="s">
        <v>10</v>
      </c>
      <c r="B674" s="3">
        <v>42646</v>
      </c>
      <c r="C674" s="4">
        <v>0.48659999999999998</v>
      </c>
      <c r="D674" s="4">
        <v>1.8996999999999999</v>
      </c>
      <c r="E674" s="22">
        <f t="shared" si="30"/>
        <v>1.8967000000000001</v>
      </c>
      <c r="F674">
        <f t="shared" si="31"/>
        <v>0.2672856822045101</v>
      </c>
      <c r="G674">
        <f t="shared" si="32"/>
        <v>0.21931431779548988</v>
      </c>
    </row>
    <row r="675" spans="1:7" x14ac:dyDescent="0.25">
      <c r="A675" s="2" t="s">
        <v>10</v>
      </c>
      <c r="B675" s="3">
        <v>42647</v>
      </c>
      <c r="C675" s="4">
        <v>0.60499999999999998</v>
      </c>
      <c r="D675" s="4">
        <v>0.53620000000000001</v>
      </c>
      <c r="E675" s="22">
        <f t="shared" si="30"/>
        <v>0.53320000000000001</v>
      </c>
      <c r="F675">
        <f t="shared" si="31"/>
        <v>7.9506611514439079E-2</v>
      </c>
      <c r="G675">
        <f t="shared" si="32"/>
        <v>0.52549338848556093</v>
      </c>
    </row>
    <row r="676" spans="1:7" x14ac:dyDescent="0.25">
      <c r="A676" s="2" t="s">
        <v>10</v>
      </c>
      <c r="B676" s="3">
        <v>42648</v>
      </c>
      <c r="C676" s="4">
        <v>-1.5806</v>
      </c>
      <c r="D676" s="4">
        <v>-0.53620000000000001</v>
      </c>
      <c r="E676" s="22">
        <f t="shared" si="30"/>
        <v>-0.53920000000000001</v>
      </c>
      <c r="F676">
        <f t="shared" si="31"/>
        <v>-6.8182626041873487E-2</v>
      </c>
      <c r="G676">
        <f t="shared" si="32"/>
        <v>-1.5124173739581266</v>
      </c>
    </row>
    <row r="677" spans="1:7" x14ac:dyDescent="0.25">
      <c r="A677" s="2" t="s">
        <v>10</v>
      </c>
      <c r="B677" s="3">
        <v>42649</v>
      </c>
      <c r="C677" s="4">
        <v>-0.61460000000000004</v>
      </c>
      <c r="D677" s="4">
        <v>0.80320000000000003</v>
      </c>
      <c r="E677" s="22">
        <f t="shared" si="30"/>
        <v>0.80020000000000002</v>
      </c>
      <c r="F677">
        <f t="shared" si="31"/>
        <v>0.11627743063746729</v>
      </c>
      <c r="G677">
        <f t="shared" si="32"/>
        <v>-0.73087743063746735</v>
      </c>
    </row>
    <row r="678" spans="1:7" x14ac:dyDescent="0.25">
      <c r="A678" s="2" t="s">
        <v>10</v>
      </c>
      <c r="B678" s="3">
        <v>42650</v>
      </c>
      <c r="C678" s="4">
        <v>0.24629999999999999</v>
      </c>
      <c r="D678" s="4">
        <v>0.26629999999999998</v>
      </c>
      <c r="E678" s="22">
        <f t="shared" si="30"/>
        <v>0.26329999999999998</v>
      </c>
      <c r="F678">
        <f t="shared" si="31"/>
        <v>4.2336408962733781E-2</v>
      </c>
      <c r="G678">
        <f t="shared" si="32"/>
        <v>0.20396359103726622</v>
      </c>
    </row>
    <row r="679" spans="1:7" x14ac:dyDescent="0.25">
      <c r="A679" s="2" t="s">
        <v>10</v>
      </c>
      <c r="B679" s="3">
        <v>42654</v>
      </c>
      <c r="C679" s="4">
        <v>-2.4908000000000001</v>
      </c>
      <c r="D679" s="4">
        <v>-0.26629999999999998</v>
      </c>
      <c r="E679" s="22">
        <f t="shared" si="30"/>
        <v>-0.26929999999999998</v>
      </c>
      <c r="F679">
        <f t="shared" si="31"/>
        <v>-3.1012423490168188E-2</v>
      </c>
      <c r="G679">
        <f t="shared" si="32"/>
        <v>-2.4597875765098318</v>
      </c>
    </row>
    <row r="680" spans="1:7" x14ac:dyDescent="0.25">
      <c r="A680" s="2" t="s">
        <v>10</v>
      </c>
      <c r="B680" s="3">
        <v>42655</v>
      </c>
      <c r="C680" s="4">
        <v>0.126</v>
      </c>
      <c r="D680" s="4">
        <v>1.0609999999999999</v>
      </c>
      <c r="E680" s="22">
        <f t="shared" si="30"/>
        <v>1.0580000000000001</v>
      </c>
      <c r="F680">
        <f t="shared" si="31"/>
        <v>0.15178124026262338</v>
      </c>
      <c r="G680">
        <f t="shared" si="32"/>
        <v>-2.5781240262623378E-2</v>
      </c>
    </row>
    <row r="681" spans="1:7" x14ac:dyDescent="0.25">
      <c r="A681" s="2" t="s">
        <v>10</v>
      </c>
      <c r="B681" s="3">
        <v>42656</v>
      </c>
      <c r="C681" s="4">
        <v>-0.25219999999999998</v>
      </c>
      <c r="D681" s="4">
        <v>-0.52910000000000001</v>
      </c>
      <c r="E681" s="22">
        <f t="shared" si="30"/>
        <v>-0.53210000000000002</v>
      </c>
      <c r="F681">
        <f t="shared" si="31"/>
        <v>-6.7204825233733043E-2</v>
      </c>
      <c r="G681">
        <f t="shared" si="32"/>
        <v>-0.18499517476626692</v>
      </c>
    </row>
    <row r="682" spans="1:7" x14ac:dyDescent="0.25">
      <c r="A682" s="2" t="s">
        <v>10</v>
      </c>
      <c r="B682" s="3">
        <v>42657</v>
      </c>
      <c r="C682" s="4">
        <v>-0.76049999999999995</v>
      </c>
      <c r="D682" s="4">
        <v>-0.2656</v>
      </c>
      <c r="E682" s="22">
        <f t="shared" si="30"/>
        <v>-0.26860000000000001</v>
      </c>
      <c r="F682">
        <f t="shared" si="31"/>
        <v>-3.0916020593590963E-2</v>
      </c>
      <c r="G682">
        <f t="shared" si="32"/>
        <v>-0.72958397940640896</v>
      </c>
    </row>
    <row r="683" spans="1:7" x14ac:dyDescent="0.25">
      <c r="A683" s="2" t="s">
        <v>10</v>
      </c>
      <c r="B683" s="3">
        <v>42660</v>
      </c>
      <c r="C683" s="4">
        <v>0.50760000000000005</v>
      </c>
      <c r="D683" s="4">
        <v>-0.80110000000000003</v>
      </c>
      <c r="E683" s="22">
        <f t="shared" si="30"/>
        <v>-0.80410000000000004</v>
      </c>
      <c r="F683">
        <f t="shared" si="31"/>
        <v>-0.10466423647517002</v>
      </c>
      <c r="G683">
        <f t="shared" si="32"/>
        <v>0.61226423647517003</v>
      </c>
    </row>
    <row r="684" spans="1:7" x14ac:dyDescent="0.25">
      <c r="A684" s="2" t="s">
        <v>10</v>
      </c>
      <c r="B684" s="3">
        <v>42661</v>
      </c>
      <c r="C684" s="4">
        <v>1.1328</v>
      </c>
      <c r="D684" s="4">
        <v>0.26769999999999999</v>
      </c>
      <c r="E684" s="22">
        <f t="shared" si="30"/>
        <v>0.26469999999999999</v>
      </c>
      <c r="F684">
        <f t="shared" si="31"/>
        <v>4.2529214755888237E-2</v>
      </c>
      <c r="G684">
        <f t="shared" si="32"/>
        <v>1.0902707852441118</v>
      </c>
    </row>
    <row r="685" spans="1:7" x14ac:dyDescent="0.25">
      <c r="A685" s="2" t="s">
        <v>10</v>
      </c>
      <c r="B685" s="3">
        <v>42662</v>
      </c>
      <c r="C685" s="4">
        <v>-0.50190000000000001</v>
      </c>
      <c r="D685" s="4">
        <v>1.3280000000000001</v>
      </c>
      <c r="E685" s="22">
        <f t="shared" si="30"/>
        <v>1.3250000000000002</v>
      </c>
      <c r="F685">
        <f t="shared" si="31"/>
        <v>0.18855205938565162</v>
      </c>
      <c r="G685">
        <f t="shared" si="32"/>
        <v>-0.69045205938565157</v>
      </c>
    </row>
    <row r="686" spans="1:7" x14ac:dyDescent="0.25">
      <c r="A686" s="2" t="s">
        <v>10</v>
      </c>
      <c r="B686" s="3">
        <v>42663</v>
      </c>
      <c r="C686" s="4">
        <v>-0.12590000000000001</v>
      </c>
      <c r="D686" s="4">
        <v>0.52629999999999999</v>
      </c>
      <c r="E686" s="22">
        <f t="shared" si="30"/>
        <v>0.52329999999999999</v>
      </c>
      <c r="F686">
        <f t="shared" si="31"/>
        <v>7.8143199119989723E-2</v>
      </c>
      <c r="G686">
        <f t="shared" si="32"/>
        <v>-0.20404319911998975</v>
      </c>
    </row>
    <row r="687" spans="1:7" x14ac:dyDescent="0.25">
      <c r="A687" s="2" t="s">
        <v>10</v>
      </c>
      <c r="B687" s="3">
        <v>42664</v>
      </c>
      <c r="C687" s="4">
        <v>7.2847999999999997</v>
      </c>
      <c r="D687" s="4">
        <v>-1.0553999999999999</v>
      </c>
      <c r="E687" s="22">
        <f t="shared" si="30"/>
        <v>-1.0583999999999998</v>
      </c>
      <c r="F687">
        <f t="shared" si="31"/>
        <v>-0.13968603161743992</v>
      </c>
      <c r="G687">
        <f t="shared" si="32"/>
        <v>7.4244860316174393</v>
      </c>
    </row>
    <row r="688" spans="1:7" x14ac:dyDescent="0.25">
      <c r="A688" s="2" t="s">
        <v>10</v>
      </c>
      <c r="B688" s="3">
        <v>42667</v>
      </c>
      <c r="C688" s="4">
        <v>-3.0918000000000001</v>
      </c>
      <c r="D688" s="4">
        <v>1.3174999999999999</v>
      </c>
      <c r="E688" s="22">
        <f t="shared" si="30"/>
        <v>1.3145</v>
      </c>
      <c r="F688">
        <f t="shared" si="31"/>
        <v>0.18710601593699316</v>
      </c>
      <c r="G688">
        <f t="shared" si="32"/>
        <v>-3.2789060159369932</v>
      </c>
    </row>
    <row r="689" spans="1:7" x14ac:dyDescent="0.25">
      <c r="A689" s="2" t="s">
        <v>10</v>
      </c>
      <c r="B689" s="3">
        <v>42668</v>
      </c>
      <c r="C689" s="4">
        <v>0</v>
      </c>
      <c r="D689" s="4">
        <v>1.0417000000000001</v>
      </c>
      <c r="E689" s="22">
        <f t="shared" si="30"/>
        <v>1.0387000000000002</v>
      </c>
      <c r="F689">
        <f t="shared" si="31"/>
        <v>0.14912327468556555</v>
      </c>
      <c r="G689">
        <f t="shared" si="32"/>
        <v>-0.14912327468556555</v>
      </c>
    </row>
    <row r="690" spans="1:7" x14ac:dyDescent="0.25">
      <c r="A690" s="2" t="s">
        <v>10</v>
      </c>
      <c r="B690" s="3">
        <v>42669</v>
      </c>
      <c r="C690" s="4">
        <v>0.4819</v>
      </c>
      <c r="D690" s="4">
        <v>-0.7802</v>
      </c>
      <c r="E690" s="22">
        <f t="shared" si="30"/>
        <v>-0.78320000000000001</v>
      </c>
      <c r="F690">
        <f t="shared" si="31"/>
        <v>-0.10178592142022137</v>
      </c>
      <c r="G690">
        <f t="shared" si="32"/>
        <v>0.58368592142022135</v>
      </c>
    </row>
    <row r="691" spans="1:7" x14ac:dyDescent="0.25">
      <c r="A691" s="2" t="s">
        <v>10</v>
      </c>
      <c r="B691" s="3">
        <v>42670</v>
      </c>
      <c r="C691" s="4">
        <v>-3.6724000000000001</v>
      </c>
      <c r="D691" s="4">
        <v>-1.579</v>
      </c>
      <c r="E691" s="22">
        <f t="shared" si="30"/>
        <v>-1.5819999999999999</v>
      </c>
      <c r="F691">
        <f t="shared" si="31"/>
        <v>-0.21179539825720611</v>
      </c>
      <c r="G691">
        <f t="shared" si="32"/>
        <v>-3.4606046017427938</v>
      </c>
    </row>
    <row r="692" spans="1:7" x14ac:dyDescent="0.25">
      <c r="A692" s="2" t="s">
        <v>10</v>
      </c>
      <c r="B692" s="3">
        <v>42671</v>
      </c>
      <c r="C692" s="4">
        <v>-3.0381999999999998</v>
      </c>
      <c r="D692" s="4">
        <v>0.52910000000000001</v>
      </c>
      <c r="E692" s="22">
        <f t="shared" si="30"/>
        <v>0.52610000000000001</v>
      </c>
      <c r="F692">
        <f t="shared" si="31"/>
        <v>7.8528810706298635E-2</v>
      </c>
      <c r="G692">
        <f t="shared" si="32"/>
        <v>-3.1167288107062983</v>
      </c>
    </row>
    <row r="693" spans="1:7" x14ac:dyDescent="0.25">
      <c r="A693" s="2" t="s">
        <v>10</v>
      </c>
      <c r="B693" s="3">
        <v>42674</v>
      </c>
      <c r="C693" s="4">
        <v>2.7885</v>
      </c>
      <c r="D693" s="4">
        <v>-0.52910000000000001</v>
      </c>
      <c r="E693" s="22">
        <f t="shared" si="30"/>
        <v>-0.53210000000000002</v>
      </c>
      <c r="F693">
        <f t="shared" si="31"/>
        <v>-6.7204825233733043E-2</v>
      </c>
      <c r="G693">
        <f t="shared" si="32"/>
        <v>2.8557048252337331</v>
      </c>
    </row>
    <row r="694" spans="1:7" x14ac:dyDescent="0.25">
      <c r="A694" s="2" t="s">
        <v>10</v>
      </c>
      <c r="B694" s="3">
        <v>42675</v>
      </c>
      <c r="C694" s="4">
        <v>0</v>
      </c>
      <c r="D694" s="4">
        <v>0.52910000000000001</v>
      </c>
      <c r="E694" s="22">
        <f t="shared" si="30"/>
        <v>0.52610000000000001</v>
      </c>
      <c r="F694">
        <f t="shared" si="31"/>
        <v>7.8528810706298635E-2</v>
      </c>
      <c r="G694">
        <f t="shared" si="32"/>
        <v>-7.8528810706298635E-2</v>
      </c>
    </row>
    <row r="695" spans="1:7" x14ac:dyDescent="0.25">
      <c r="A695" s="2" t="s">
        <v>10</v>
      </c>
      <c r="B695" s="3">
        <v>42676</v>
      </c>
      <c r="C695" s="4">
        <v>0.49880000000000002</v>
      </c>
      <c r="D695" s="4">
        <v>-1.8642000000000001</v>
      </c>
      <c r="E695" s="22">
        <f t="shared" si="30"/>
        <v>-1.8672</v>
      </c>
      <c r="F695">
        <f t="shared" si="31"/>
        <v>-0.25107269269124227</v>
      </c>
      <c r="G695">
        <f t="shared" si="32"/>
        <v>0.74987269269124224</v>
      </c>
    </row>
    <row r="696" spans="1:7" x14ac:dyDescent="0.25">
      <c r="A696" s="2" t="s">
        <v>10</v>
      </c>
      <c r="B696" s="3">
        <v>42677</v>
      </c>
      <c r="C696" s="4">
        <v>-1.1256999999999999</v>
      </c>
      <c r="D696" s="4">
        <v>-0.80969999999999998</v>
      </c>
      <c r="E696" s="22">
        <f t="shared" si="30"/>
        <v>-0.81269999999999998</v>
      </c>
      <c r="F696">
        <f t="shared" si="31"/>
        <v>-0.1058486149188331</v>
      </c>
      <c r="G696">
        <f t="shared" si="32"/>
        <v>-1.0198513850811668</v>
      </c>
    </row>
    <row r="697" spans="1:7" x14ac:dyDescent="0.25">
      <c r="A697" s="2" t="s">
        <v>10</v>
      </c>
      <c r="B697" s="3">
        <v>42678</v>
      </c>
      <c r="C697" s="4">
        <v>-0.25190000000000001</v>
      </c>
      <c r="D697" s="4">
        <v>0</v>
      </c>
      <c r="E697" s="22">
        <f t="shared" si="30"/>
        <v>-3.0000000000000001E-3</v>
      </c>
      <c r="F697">
        <f t="shared" si="31"/>
        <v>5.6619927362827945E-3</v>
      </c>
      <c r="G697">
        <f t="shared" si="32"/>
        <v>-0.25756199273628283</v>
      </c>
    </row>
    <row r="698" spans="1:7" x14ac:dyDescent="0.25">
      <c r="A698" s="2" t="s">
        <v>10</v>
      </c>
      <c r="B698" s="3">
        <v>42681</v>
      </c>
      <c r="C698" s="4">
        <v>0.25190000000000001</v>
      </c>
      <c r="D698" s="4">
        <v>2.4098000000000002</v>
      </c>
      <c r="E698" s="22">
        <f t="shared" si="30"/>
        <v>2.4068000000000001</v>
      </c>
      <c r="F698">
        <f t="shared" si="31"/>
        <v>0.33753585012457266</v>
      </c>
      <c r="G698">
        <f t="shared" si="32"/>
        <v>-8.5635850124572643E-2</v>
      </c>
    </row>
    <row r="699" spans="1:7" x14ac:dyDescent="0.25">
      <c r="A699" s="2" t="s">
        <v>10</v>
      </c>
      <c r="B699" s="3">
        <v>42682</v>
      </c>
      <c r="C699" s="4">
        <v>0.75190000000000001</v>
      </c>
      <c r="D699" s="4">
        <v>-0.26490000000000002</v>
      </c>
      <c r="E699" s="22">
        <f t="shared" si="30"/>
        <v>-0.26790000000000003</v>
      </c>
      <c r="F699">
        <f t="shared" si="31"/>
        <v>-3.0819617697013739E-2</v>
      </c>
      <c r="G699">
        <f t="shared" si="32"/>
        <v>0.7827196176970137</v>
      </c>
    </row>
    <row r="700" spans="1:7" x14ac:dyDescent="0.25">
      <c r="A700" s="2" t="s">
        <v>10</v>
      </c>
      <c r="B700" s="3">
        <v>42683</v>
      </c>
      <c r="C700" s="4">
        <v>-1.3828</v>
      </c>
      <c r="D700" s="4">
        <v>-3.5091000000000001</v>
      </c>
      <c r="E700" s="22">
        <f t="shared" si="30"/>
        <v>-3.5121000000000002</v>
      </c>
      <c r="F700">
        <f t="shared" si="31"/>
        <v>-0.47760572780535882</v>
      </c>
      <c r="G700">
        <f t="shared" si="32"/>
        <v>-0.90519427219464121</v>
      </c>
    </row>
    <row r="701" spans="1:7" x14ac:dyDescent="0.25">
      <c r="A701" s="2" t="s">
        <v>10</v>
      </c>
      <c r="B701" s="3">
        <v>42684</v>
      </c>
      <c r="C701" s="4">
        <v>0.50509999999999999</v>
      </c>
      <c r="D701" s="4">
        <v>1.9048</v>
      </c>
      <c r="E701" s="22">
        <f t="shared" si="30"/>
        <v>1.9018000000000002</v>
      </c>
      <c r="F701">
        <f t="shared" si="31"/>
        <v>0.2679880461652871</v>
      </c>
      <c r="G701">
        <f t="shared" si="32"/>
        <v>0.2371119538347129</v>
      </c>
    </row>
    <row r="702" spans="1:7" x14ac:dyDescent="0.25">
      <c r="A702" s="2" t="s">
        <v>10</v>
      </c>
      <c r="B702" s="3">
        <v>42685</v>
      </c>
      <c r="C702" s="4">
        <v>-2.1642999999999999</v>
      </c>
      <c r="D702" s="4">
        <v>-2.1798999999999999</v>
      </c>
      <c r="E702" s="22">
        <f t="shared" si="30"/>
        <v>-2.1829000000000001</v>
      </c>
      <c r="F702">
        <f t="shared" si="31"/>
        <v>-0.29455039904757191</v>
      </c>
      <c r="G702">
        <f t="shared" si="32"/>
        <v>-1.8697496009524279</v>
      </c>
    </row>
    <row r="703" spans="1:7" x14ac:dyDescent="0.25">
      <c r="A703" s="2" t="s">
        <v>10</v>
      </c>
      <c r="B703" s="3">
        <v>42688</v>
      </c>
      <c r="C703" s="4">
        <v>-0.5161</v>
      </c>
      <c r="D703" s="4">
        <v>-0.55249999999999999</v>
      </c>
      <c r="E703" s="22">
        <f t="shared" si="30"/>
        <v>-0.55549999999999999</v>
      </c>
      <c r="F703">
        <f t="shared" si="31"/>
        <v>-7.0427436347886063E-2</v>
      </c>
      <c r="G703">
        <f t="shared" si="32"/>
        <v>-0.44567256365211394</v>
      </c>
    </row>
    <row r="704" spans="1:7" x14ac:dyDescent="0.25">
      <c r="A704" s="2" t="s">
        <v>10</v>
      </c>
      <c r="B704" s="3">
        <v>42689</v>
      </c>
      <c r="C704" s="4">
        <v>0.25840000000000002</v>
      </c>
      <c r="D704" s="4">
        <v>-0.27739999999999998</v>
      </c>
      <c r="E704" s="22">
        <f t="shared" si="30"/>
        <v>-0.28039999999999998</v>
      </c>
      <c r="F704">
        <f t="shared" si="31"/>
        <v>-3.2541097993035652E-2</v>
      </c>
      <c r="G704">
        <f t="shared" si="32"/>
        <v>0.29094109799303569</v>
      </c>
    </row>
    <row r="705" spans="1:7" x14ac:dyDescent="0.25">
      <c r="A705" s="2" t="s">
        <v>10</v>
      </c>
      <c r="B705" s="3">
        <v>42690</v>
      </c>
      <c r="C705" s="4">
        <v>0.38629999999999998</v>
      </c>
      <c r="D705" s="4">
        <v>0</v>
      </c>
      <c r="E705" s="22">
        <f t="shared" si="30"/>
        <v>-3.0000000000000001E-3</v>
      </c>
      <c r="F705">
        <f t="shared" si="31"/>
        <v>5.6619927362827945E-3</v>
      </c>
      <c r="G705">
        <f t="shared" si="32"/>
        <v>0.38063800726371716</v>
      </c>
    </row>
    <row r="706" spans="1:7" x14ac:dyDescent="0.25">
      <c r="A706" s="2" t="s">
        <v>10</v>
      </c>
      <c r="B706" s="3">
        <v>42691</v>
      </c>
      <c r="C706" s="4">
        <v>0.38490000000000002</v>
      </c>
      <c r="D706" s="4">
        <v>0.82989999999999997</v>
      </c>
      <c r="E706" s="22">
        <f t="shared" si="30"/>
        <v>0.82689999999999997</v>
      </c>
      <c r="F706">
        <f t="shared" si="31"/>
        <v>0.1199545125497701</v>
      </c>
      <c r="G706">
        <f t="shared" si="32"/>
        <v>0.26494548745022994</v>
      </c>
    </row>
    <row r="707" spans="1:7" x14ac:dyDescent="0.25">
      <c r="A707" s="2" t="s">
        <v>10</v>
      </c>
      <c r="B707" s="3">
        <v>42692</v>
      </c>
      <c r="C707" s="4">
        <v>2.2786</v>
      </c>
      <c r="D707" s="4">
        <v>-0.27589999999999998</v>
      </c>
      <c r="E707" s="22">
        <f t="shared" ref="E707:E737" si="33">D707-$L$1</f>
        <v>-0.27889999999999998</v>
      </c>
      <c r="F707">
        <f t="shared" ref="F707:F737" si="34">L$2+L$3*E707</f>
        <v>-3.2334520357513018E-2</v>
      </c>
      <c r="G707">
        <f t="shared" ref="G707:G737" si="35">C707-F707</f>
        <v>2.3109345203575131</v>
      </c>
    </row>
    <row r="708" spans="1:7" x14ac:dyDescent="0.25">
      <c r="A708" s="2" t="s">
        <v>10</v>
      </c>
      <c r="B708" s="3">
        <v>42695</v>
      </c>
      <c r="C708" s="4">
        <v>0.74809999999999999</v>
      </c>
      <c r="D708" s="4">
        <v>0</v>
      </c>
      <c r="E708" s="22">
        <f t="shared" si="33"/>
        <v>-3.0000000000000001E-3</v>
      </c>
      <c r="F708">
        <f t="shared" si="34"/>
        <v>5.6619927362827945E-3</v>
      </c>
      <c r="G708">
        <f t="shared" si="35"/>
        <v>0.74243800726371723</v>
      </c>
    </row>
    <row r="709" spans="1:7" x14ac:dyDescent="0.25">
      <c r="A709" s="2" t="s">
        <v>10</v>
      </c>
      <c r="B709" s="3">
        <v>42696</v>
      </c>
      <c r="C709" s="4">
        <v>0.86580000000000001</v>
      </c>
      <c r="D709" s="4">
        <v>1.6438999999999999</v>
      </c>
      <c r="E709" s="22">
        <f t="shared" si="33"/>
        <v>1.6409</v>
      </c>
      <c r="F709">
        <f t="shared" si="34"/>
        <v>0.23205730942671754</v>
      </c>
      <c r="G709">
        <f t="shared" si="35"/>
        <v>0.63374269057328247</v>
      </c>
    </row>
    <row r="710" spans="1:7" x14ac:dyDescent="0.25">
      <c r="A710" s="2" t="s">
        <v>10</v>
      </c>
      <c r="B710" s="3">
        <v>42697</v>
      </c>
      <c r="C710" s="4">
        <v>0.36880000000000002</v>
      </c>
      <c r="D710" s="4">
        <v>0.81189999999999996</v>
      </c>
      <c r="E710" s="22">
        <f t="shared" si="33"/>
        <v>0.80889999999999995</v>
      </c>
      <c r="F710">
        <f t="shared" si="34"/>
        <v>0.11747558092349854</v>
      </c>
      <c r="G710">
        <f t="shared" si="35"/>
        <v>0.25132441907650149</v>
      </c>
    </row>
    <row r="711" spans="1:7" x14ac:dyDescent="0.25">
      <c r="A711" s="2" t="s">
        <v>10</v>
      </c>
      <c r="B711" s="3">
        <v>42698</v>
      </c>
      <c r="C711" s="4">
        <v>-0.49199999999999999</v>
      </c>
      <c r="D711" s="4">
        <v>-1.3569</v>
      </c>
      <c r="E711" s="22">
        <f t="shared" si="33"/>
        <v>-1.3598999999999999</v>
      </c>
      <c r="F711">
        <f t="shared" si="34"/>
        <v>-0.18120813635748864</v>
      </c>
      <c r="G711">
        <f t="shared" si="35"/>
        <v>-0.31079186364251132</v>
      </c>
    </row>
    <row r="712" spans="1:7" x14ac:dyDescent="0.25">
      <c r="A712" s="2" t="s">
        <v>10</v>
      </c>
      <c r="B712" s="3">
        <v>42699</v>
      </c>
      <c r="C712" s="4">
        <v>0.36919999999999997</v>
      </c>
      <c r="D712" s="4">
        <v>-0.54790000000000005</v>
      </c>
      <c r="E712" s="22">
        <f t="shared" si="33"/>
        <v>-0.55090000000000006</v>
      </c>
      <c r="F712">
        <f t="shared" si="34"/>
        <v>-6.9793931598950018E-2</v>
      </c>
      <c r="G712">
        <f t="shared" si="35"/>
        <v>0.43899393159895</v>
      </c>
    </row>
    <row r="713" spans="1:7" x14ac:dyDescent="0.25">
      <c r="A713" s="2" t="s">
        <v>10</v>
      </c>
      <c r="B713" s="3">
        <v>42702</v>
      </c>
      <c r="C713" s="4">
        <v>1.2210000000000001</v>
      </c>
      <c r="D713" s="4">
        <v>1.0929</v>
      </c>
      <c r="E713" s="22">
        <f t="shared" si="33"/>
        <v>1.0899000000000001</v>
      </c>
      <c r="F713">
        <f t="shared" si="34"/>
        <v>0.15617445797807133</v>
      </c>
      <c r="G713">
        <f t="shared" si="35"/>
        <v>1.0648255420219288</v>
      </c>
    </row>
    <row r="714" spans="1:7" x14ac:dyDescent="0.25">
      <c r="A714" s="2" t="s">
        <v>10</v>
      </c>
      <c r="B714" s="3">
        <v>42703</v>
      </c>
      <c r="C714" s="4">
        <v>-0.48659999999999998</v>
      </c>
      <c r="D714" s="4">
        <v>-1.0929</v>
      </c>
      <c r="E714" s="22">
        <f t="shared" si="33"/>
        <v>-1.0958999999999999</v>
      </c>
      <c r="F714">
        <f t="shared" si="34"/>
        <v>-0.1448504725055057</v>
      </c>
      <c r="G714">
        <f t="shared" si="35"/>
        <v>-0.34174952749449428</v>
      </c>
    </row>
    <row r="715" spans="1:7" x14ac:dyDescent="0.25">
      <c r="A715" s="2" t="s">
        <v>10</v>
      </c>
      <c r="B715" s="3">
        <v>42704</v>
      </c>
      <c r="C715" s="4">
        <v>0.12189999999999999</v>
      </c>
      <c r="D715" s="4">
        <v>0.54790000000000005</v>
      </c>
      <c r="E715" s="22">
        <f t="shared" si="33"/>
        <v>0.54490000000000005</v>
      </c>
      <c r="F715">
        <f t="shared" si="34"/>
        <v>8.1117917071515597E-2</v>
      </c>
      <c r="G715">
        <f t="shared" si="35"/>
        <v>4.0782082928484398E-2</v>
      </c>
    </row>
    <row r="716" spans="1:7" x14ac:dyDescent="0.25">
      <c r="A716" s="2" t="s">
        <v>10</v>
      </c>
      <c r="B716" s="3">
        <v>42705</v>
      </c>
      <c r="C716" s="4">
        <v>0.24329999999999999</v>
      </c>
      <c r="D716" s="4">
        <v>0</v>
      </c>
      <c r="E716" s="22">
        <f t="shared" si="33"/>
        <v>-3.0000000000000001E-3</v>
      </c>
      <c r="F716">
        <f t="shared" si="34"/>
        <v>5.6619927362827945E-3</v>
      </c>
      <c r="G716">
        <f t="shared" si="35"/>
        <v>0.2376380072637172</v>
      </c>
    </row>
    <row r="717" spans="1:7" x14ac:dyDescent="0.25">
      <c r="A717" s="2" t="s">
        <v>10</v>
      </c>
      <c r="B717" s="3">
        <v>42706</v>
      </c>
      <c r="C717" s="4">
        <v>-1.5922000000000001</v>
      </c>
      <c r="D717" s="4">
        <v>-2.7703000000000002</v>
      </c>
      <c r="E717" s="22">
        <f t="shared" si="33"/>
        <v>-2.7733000000000003</v>
      </c>
      <c r="F717">
        <f t="shared" si="34"/>
        <v>-0.37585935638927925</v>
      </c>
      <c r="G717">
        <f t="shared" si="35"/>
        <v>-1.2163406436107209</v>
      </c>
    </row>
    <row r="718" spans="1:7" x14ac:dyDescent="0.25">
      <c r="A718" s="2" t="s">
        <v>10</v>
      </c>
      <c r="B718" s="3">
        <v>42709</v>
      </c>
      <c r="C718" s="4">
        <v>-3.0076999999999998</v>
      </c>
      <c r="D718" s="4">
        <v>0.56020000000000003</v>
      </c>
      <c r="E718" s="22">
        <f t="shared" si="33"/>
        <v>0.55720000000000003</v>
      </c>
      <c r="F718">
        <f t="shared" si="34"/>
        <v>8.2811853682801168E-2</v>
      </c>
      <c r="G718">
        <f t="shared" si="35"/>
        <v>-3.0905118536828011</v>
      </c>
    </row>
    <row r="719" spans="1:7" x14ac:dyDescent="0.25">
      <c r="A719" s="2" t="s">
        <v>10</v>
      </c>
      <c r="B719" s="3">
        <v>42710</v>
      </c>
      <c r="C719" s="4">
        <v>0.76049999999999995</v>
      </c>
      <c r="D719" s="4">
        <v>1.6620999999999999</v>
      </c>
      <c r="E719" s="22">
        <f t="shared" si="33"/>
        <v>1.6591</v>
      </c>
      <c r="F719">
        <f t="shared" si="34"/>
        <v>0.23456378473772546</v>
      </c>
      <c r="G719">
        <f t="shared" si="35"/>
        <v>0.52593621526227452</v>
      </c>
    </row>
    <row r="720" spans="1:7" x14ac:dyDescent="0.25">
      <c r="A720" s="2" t="s">
        <v>10</v>
      </c>
      <c r="B720" s="3">
        <v>42711</v>
      </c>
      <c r="C720" s="4">
        <v>-0.76049999999999995</v>
      </c>
      <c r="D720" s="4">
        <v>-0.27510000000000001</v>
      </c>
      <c r="E720" s="22">
        <f t="shared" si="33"/>
        <v>-0.27810000000000001</v>
      </c>
      <c r="F720">
        <f t="shared" si="34"/>
        <v>-3.2224345618567622E-2</v>
      </c>
      <c r="G720">
        <f t="shared" si="35"/>
        <v>-0.72827565438143238</v>
      </c>
    </row>
    <row r="721" spans="1:7" x14ac:dyDescent="0.25">
      <c r="A721" s="2" t="s">
        <v>10</v>
      </c>
      <c r="B721" s="3">
        <v>42712</v>
      </c>
      <c r="C721" s="4">
        <v>-0.38240000000000002</v>
      </c>
      <c r="D721" s="4">
        <v>2.1798999999999999</v>
      </c>
      <c r="E721" s="22">
        <f t="shared" si="33"/>
        <v>2.1768999999999998</v>
      </c>
      <c r="F721">
        <f t="shared" si="34"/>
        <v>0.30587438452013743</v>
      </c>
      <c r="G721">
        <f t="shared" si="35"/>
        <v>-0.68827438452013745</v>
      </c>
    </row>
    <row r="722" spans="1:7" x14ac:dyDescent="0.25">
      <c r="A722" s="2" t="s">
        <v>10</v>
      </c>
      <c r="B722" s="3">
        <v>42713</v>
      </c>
      <c r="C722" s="4">
        <v>-0.38390000000000002</v>
      </c>
      <c r="D722" s="4">
        <v>0.26919999999999999</v>
      </c>
      <c r="E722" s="22">
        <f t="shared" si="33"/>
        <v>0.26619999999999999</v>
      </c>
      <c r="F722">
        <f t="shared" si="34"/>
        <v>4.2735792391410864E-2</v>
      </c>
      <c r="G722">
        <f t="shared" si="35"/>
        <v>-0.42663579239141086</v>
      </c>
    </row>
    <row r="723" spans="1:7" x14ac:dyDescent="0.25">
      <c r="A723" s="2" t="s">
        <v>10</v>
      </c>
      <c r="B723" s="3">
        <v>42716</v>
      </c>
      <c r="C723" s="4">
        <v>-1.1606000000000001</v>
      </c>
      <c r="D723" s="4">
        <v>-0.53910000000000002</v>
      </c>
      <c r="E723" s="22">
        <f t="shared" si="33"/>
        <v>-0.54210000000000003</v>
      </c>
      <c r="F723">
        <f t="shared" si="34"/>
        <v>-6.858200947055057E-2</v>
      </c>
      <c r="G723">
        <f t="shared" si="35"/>
        <v>-1.0920179905294496</v>
      </c>
    </row>
    <row r="724" spans="1:7" x14ac:dyDescent="0.25">
      <c r="A724" s="2" t="s">
        <v>10</v>
      </c>
      <c r="B724" s="3">
        <v>42717</v>
      </c>
      <c r="C724" s="4">
        <v>-1.0429999999999999</v>
      </c>
      <c r="D724" s="4">
        <v>0.53910000000000002</v>
      </c>
      <c r="E724" s="22">
        <f t="shared" si="33"/>
        <v>0.53610000000000002</v>
      </c>
      <c r="F724">
        <f t="shared" si="34"/>
        <v>7.9905994943116163E-2</v>
      </c>
      <c r="G724">
        <f t="shared" si="35"/>
        <v>-1.1229059949431162</v>
      </c>
    </row>
    <row r="725" spans="1:7" x14ac:dyDescent="0.25">
      <c r="A725" s="2" t="s">
        <v>10</v>
      </c>
      <c r="B725" s="3">
        <v>42718</v>
      </c>
      <c r="C725" s="4">
        <v>-0.52559999999999996</v>
      </c>
      <c r="D725" s="4">
        <v>0.80320000000000003</v>
      </c>
      <c r="E725" s="22">
        <f t="shared" si="33"/>
        <v>0.80020000000000002</v>
      </c>
      <c r="F725">
        <f t="shared" si="34"/>
        <v>0.11627743063746729</v>
      </c>
      <c r="G725">
        <f t="shared" si="35"/>
        <v>-0.64187743063746727</v>
      </c>
    </row>
    <row r="726" spans="1:7" x14ac:dyDescent="0.25">
      <c r="A726" s="2" t="s">
        <v>10</v>
      </c>
      <c r="B726" s="3">
        <v>42719</v>
      </c>
      <c r="C726" s="4">
        <v>-0.66090000000000004</v>
      </c>
      <c r="D726" s="4">
        <v>-0.26700000000000002</v>
      </c>
      <c r="E726" s="22">
        <f t="shared" si="33"/>
        <v>-0.27</v>
      </c>
      <c r="F726">
        <f t="shared" si="34"/>
        <v>-3.110882638674542E-2</v>
      </c>
      <c r="G726">
        <f t="shared" si="35"/>
        <v>-0.62979117361325465</v>
      </c>
    </row>
    <row r="727" spans="1:7" x14ac:dyDescent="0.25">
      <c r="A727" s="2" t="s">
        <v>10</v>
      </c>
      <c r="B727" s="3">
        <v>42720</v>
      </c>
      <c r="C727" s="4">
        <v>2.8759999999999999</v>
      </c>
      <c r="D727" s="4">
        <v>-1.0752999999999999</v>
      </c>
      <c r="E727" s="22">
        <f t="shared" si="33"/>
        <v>-1.0782999999999998</v>
      </c>
      <c r="F727">
        <f t="shared" si="34"/>
        <v>-0.14242662824870683</v>
      </c>
      <c r="G727">
        <f t="shared" si="35"/>
        <v>3.0184266282487067</v>
      </c>
    </row>
    <row r="728" spans="1:7" x14ac:dyDescent="0.25">
      <c r="A728" s="2" t="s">
        <v>10</v>
      </c>
      <c r="B728" s="3">
        <v>42723</v>
      </c>
      <c r="C728" s="4">
        <v>-1.2969999999999999</v>
      </c>
      <c r="D728" s="4">
        <v>-1.3606</v>
      </c>
      <c r="E728" s="22">
        <f t="shared" si="33"/>
        <v>-1.3635999999999999</v>
      </c>
      <c r="F728">
        <f t="shared" si="34"/>
        <v>-0.18171769452511113</v>
      </c>
      <c r="G728">
        <f t="shared" si="35"/>
        <v>-1.1152823054748888</v>
      </c>
    </row>
    <row r="729" spans="1:7" x14ac:dyDescent="0.25">
      <c r="A729" s="2" t="s">
        <v>10</v>
      </c>
      <c r="B729" s="3">
        <v>42724</v>
      </c>
      <c r="C729" s="4">
        <v>1.8111999999999999</v>
      </c>
      <c r="D729" s="4">
        <v>0</v>
      </c>
      <c r="E729" s="22">
        <f t="shared" si="33"/>
        <v>-3.0000000000000001E-3</v>
      </c>
      <c r="F729">
        <f t="shared" si="34"/>
        <v>5.6619927362827945E-3</v>
      </c>
      <c r="G729">
        <f t="shared" si="35"/>
        <v>1.805538007263717</v>
      </c>
    </row>
    <row r="730" spans="1:7" x14ac:dyDescent="0.25">
      <c r="A730" s="2" t="s">
        <v>10</v>
      </c>
      <c r="B730" s="3">
        <v>42725</v>
      </c>
      <c r="C730" s="4">
        <v>-0.38540000000000002</v>
      </c>
      <c r="D730" s="4">
        <v>-1.3793</v>
      </c>
      <c r="E730" s="22">
        <f t="shared" si="33"/>
        <v>-1.3822999999999999</v>
      </c>
      <c r="F730">
        <f t="shared" si="34"/>
        <v>-0.18429302904795994</v>
      </c>
      <c r="G730">
        <f t="shared" si="35"/>
        <v>-0.20110697095204008</v>
      </c>
    </row>
    <row r="731" spans="1:7" x14ac:dyDescent="0.25">
      <c r="A731" s="2" t="s">
        <v>10</v>
      </c>
      <c r="B731" s="3">
        <v>42726</v>
      </c>
      <c r="C731" s="4">
        <v>-1.6873</v>
      </c>
      <c r="D731" s="4">
        <v>-0.55710000000000004</v>
      </c>
      <c r="E731" s="22">
        <f t="shared" si="33"/>
        <v>-0.56010000000000004</v>
      </c>
      <c r="F731">
        <f t="shared" si="34"/>
        <v>-7.1060941096822136E-2</v>
      </c>
      <c r="G731">
        <f t="shared" si="35"/>
        <v>-1.6162390589031779</v>
      </c>
    </row>
    <row r="732" spans="1:7" x14ac:dyDescent="0.25">
      <c r="A732" s="2" t="s">
        <v>10</v>
      </c>
      <c r="B732" s="3">
        <v>42727</v>
      </c>
      <c r="C732" s="4">
        <v>-0.52490000000000003</v>
      </c>
      <c r="D732" s="4">
        <v>-0.2797</v>
      </c>
      <c r="E732" s="22">
        <f t="shared" si="33"/>
        <v>-0.28270000000000001</v>
      </c>
      <c r="F732">
        <f t="shared" si="34"/>
        <v>-3.2857850367503688E-2</v>
      </c>
      <c r="G732">
        <f t="shared" si="35"/>
        <v>-0.49204214963249637</v>
      </c>
    </row>
    <row r="733" spans="1:7" x14ac:dyDescent="0.25">
      <c r="A733" s="2" t="s">
        <v>10</v>
      </c>
      <c r="B733" s="3">
        <v>42730</v>
      </c>
      <c r="C733" s="4">
        <v>-1.1913</v>
      </c>
      <c r="D733" s="4">
        <v>0.55869999999999997</v>
      </c>
      <c r="E733" s="22">
        <f t="shared" si="33"/>
        <v>0.55569999999999997</v>
      </c>
      <c r="F733">
        <f t="shared" si="34"/>
        <v>8.2605276047278534E-2</v>
      </c>
      <c r="G733">
        <f t="shared" si="35"/>
        <v>-1.2739052760472787</v>
      </c>
    </row>
    <row r="734" spans="1:7" x14ac:dyDescent="0.25">
      <c r="A734" s="2" t="s">
        <v>10</v>
      </c>
      <c r="B734" s="3">
        <v>42731</v>
      </c>
      <c r="C734" s="4">
        <v>-0.66800000000000004</v>
      </c>
      <c r="D734" s="4">
        <v>0.2782</v>
      </c>
      <c r="E734" s="22">
        <f t="shared" si="33"/>
        <v>0.2752</v>
      </c>
      <c r="F734">
        <f t="shared" si="34"/>
        <v>4.3975258204546647E-2</v>
      </c>
      <c r="G734">
        <f t="shared" si="35"/>
        <v>-0.71197525820454666</v>
      </c>
    </row>
    <row r="735" spans="1:7" x14ac:dyDescent="0.25">
      <c r="A735" s="2" t="s">
        <v>10</v>
      </c>
      <c r="B735" s="3">
        <v>42732</v>
      </c>
      <c r="C735" s="4">
        <v>0.80110000000000003</v>
      </c>
      <c r="D735" s="4">
        <v>1.105</v>
      </c>
      <c r="E735" s="22">
        <f t="shared" si="33"/>
        <v>1.1020000000000001</v>
      </c>
      <c r="F735">
        <f t="shared" si="34"/>
        <v>0.15784085090462055</v>
      </c>
      <c r="G735">
        <f t="shared" si="35"/>
        <v>0.64325914909537951</v>
      </c>
    </row>
    <row r="736" spans="1:7" x14ac:dyDescent="0.25">
      <c r="A736" s="2" t="s">
        <v>10</v>
      </c>
      <c r="B736" s="3">
        <v>42733</v>
      </c>
      <c r="C736" s="4">
        <v>0.79469999999999996</v>
      </c>
      <c r="D736" s="4">
        <v>-1.105</v>
      </c>
      <c r="E736" s="22">
        <f t="shared" si="33"/>
        <v>-1.1079999999999999</v>
      </c>
      <c r="F736">
        <f t="shared" si="34"/>
        <v>-0.14651686543205492</v>
      </c>
      <c r="G736">
        <f t="shared" si="35"/>
        <v>0.94121686543205485</v>
      </c>
    </row>
    <row r="737" spans="1:7" ht="17.25" thickBot="1" x14ac:dyDescent="0.3">
      <c r="A737" s="5" t="s">
        <v>10</v>
      </c>
      <c r="B737" s="6">
        <v>42734</v>
      </c>
      <c r="C737" s="7">
        <v>0.78839999999999999</v>
      </c>
      <c r="D737" s="7">
        <v>0.82989999999999997</v>
      </c>
      <c r="E737" s="22">
        <f t="shared" si="33"/>
        <v>0.82689999999999997</v>
      </c>
      <c r="F737">
        <f t="shared" si="34"/>
        <v>0.1199545125497701</v>
      </c>
      <c r="G737">
        <f t="shared" si="35"/>
        <v>0.66844548745022991</v>
      </c>
    </row>
    <row r="738" spans="1:7" x14ac:dyDescent="0.25">
      <c r="A738" s="2"/>
      <c r="B738" s="3"/>
      <c r="C738" s="4"/>
    </row>
    <row r="739" spans="1:7" x14ac:dyDescent="0.25">
      <c r="A739" s="2"/>
      <c r="B739" s="3"/>
      <c r="C739" s="4"/>
    </row>
    <row r="740" spans="1:7" x14ac:dyDescent="0.25">
      <c r="A740" s="2"/>
      <c r="B740" s="3"/>
      <c r="C740" s="4"/>
    </row>
    <row r="741" spans="1:7" x14ac:dyDescent="0.25">
      <c r="A741" s="2"/>
      <c r="B741" s="3"/>
      <c r="C741" s="4"/>
    </row>
    <row r="742" spans="1:7" x14ac:dyDescent="0.25">
      <c r="A742" s="2"/>
      <c r="B742" s="3"/>
      <c r="C742" s="4"/>
    </row>
    <row r="743" spans="1:7" x14ac:dyDescent="0.25">
      <c r="A743" s="2"/>
      <c r="B743" s="3"/>
      <c r="C743" s="4"/>
    </row>
    <row r="744" spans="1:7" x14ac:dyDescent="0.25">
      <c r="A744" s="2"/>
      <c r="B744" s="3"/>
      <c r="C744" s="4"/>
    </row>
    <row r="745" spans="1:7" x14ac:dyDescent="0.25">
      <c r="A745" s="2"/>
      <c r="B745" s="3"/>
      <c r="C745" s="4"/>
    </row>
    <row r="746" spans="1:7" x14ac:dyDescent="0.25">
      <c r="A746" s="2"/>
      <c r="B746" s="3"/>
      <c r="C746" s="4"/>
    </row>
    <row r="747" spans="1:7" x14ac:dyDescent="0.25">
      <c r="A747" s="2"/>
      <c r="B747" s="3"/>
      <c r="C747" s="4"/>
    </row>
    <row r="748" spans="1:7" x14ac:dyDescent="0.25">
      <c r="A748" s="2"/>
      <c r="B748" s="3"/>
      <c r="C748" s="4"/>
    </row>
    <row r="749" spans="1:7" x14ac:dyDescent="0.25">
      <c r="A749" s="2"/>
      <c r="B749" s="3"/>
      <c r="C749" s="4"/>
    </row>
    <row r="750" spans="1:7" x14ac:dyDescent="0.25">
      <c r="A750" s="2"/>
      <c r="B750" s="3"/>
      <c r="C750" s="4"/>
    </row>
    <row r="751" spans="1:7" x14ac:dyDescent="0.25">
      <c r="A751" s="2"/>
      <c r="B751" s="3"/>
      <c r="C751" s="4"/>
    </row>
    <row r="752" spans="1:7" x14ac:dyDescent="0.25">
      <c r="A752" s="2"/>
      <c r="B752" s="3"/>
      <c r="C752" s="4"/>
    </row>
    <row r="753" spans="1:3" x14ac:dyDescent="0.25">
      <c r="A753" s="2"/>
      <c r="B753" s="3"/>
      <c r="C753" s="4"/>
    </row>
    <row r="754" spans="1:3" x14ac:dyDescent="0.25">
      <c r="A754" s="2"/>
      <c r="B754" s="3"/>
      <c r="C754" s="4"/>
    </row>
    <row r="755" spans="1:3" x14ac:dyDescent="0.25">
      <c r="A755" s="2"/>
      <c r="B755" s="3"/>
      <c r="C755" s="4"/>
    </row>
    <row r="756" spans="1:3" x14ac:dyDescent="0.25">
      <c r="A756" s="2"/>
      <c r="B756" s="3"/>
      <c r="C756" s="4"/>
    </row>
    <row r="757" spans="1:3" x14ac:dyDescent="0.25">
      <c r="A757" s="2"/>
      <c r="B757" s="3"/>
      <c r="C757" s="4"/>
    </row>
    <row r="758" spans="1:3" x14ac:dyDescent="0.25">
      <c r="A758" s="2"/>
      <c r="B758" s="3"/>
      <c r="C758" s="4"/>
    </row>
    <row r="759" spans="1:3" x14ac:dyDescent="0.25">
      <c r="A759" s="2"/>
      <c r="B759" s="3"/>
      <c r="C759" s="4"/>
    </row>
    <row r="760" spans="1:3" x14ac:dyDescent="0.25">
      <c r="A760" s="2"/>
      <c r="B760" s="3"/>
      <c r="C760" s="4"/>
    </row>
    <row r="761" spans="1:3" x14ac:dyDescent="0.25">
      <c r="A761" s="2"/>
      <c r="B761" s="3"/>
      <c r="C761" s="4"/>
    </row>
    <row r="762" spans="1:3" x14ac:dyDescent="0.25">
      <c r="A762" s="2"/>
      <c r="B762" s="3"/>
      <c r="C762" s="4"/>
    </row>
    <row r="763" spans="1:3" x14ac:dyDescent="0.25">
      <c r="A763" s="2"/>
      <c r="B763" s="3"/>
      <c r="C763" s="4"/>
    </row>
    <row r="764" spans="1:3" x14ac:dyDescent="0.25">
      <c r="A764" s="2"/>
      <c r="B764" s="3"/>
      <c r="C764" s="4"/>
    </row>
    <row r="765" spans="1:3" x14ac:dyDescent="0.25">
      <c r="A765" s="2"/>
      <c r="B765" s="3"/>
      <c r="C765" s="4"/>
    </row>
    <row r="766" spans="1:3" x14ac:dyDescent="0.25">
      <c r="A766" s="2"/>
      <c r="B766" s="3"/>
      <c r="C766" s="4"/>
    </row>
    <row r="767" spans="1:3" x14ac:dyDescent="0.25">
      <c r="A767" s="2"/>
      <c r="B767" s="3"/>
      <c r="C767" s="4"/>
    </row>
    <row r="768" spans="1:3" x14ac:dyDescent="0.25">
      <c r="A768" s="2"/>
      <c r="B768" s="3"/>
      <c r="C768" s="4"/>
    </row>
    <row r="769" spans="1:3" x14ac:dyDescent="0.25">
      <c r="A769" s="2"/>
      <c r="B769" s="3"/>
      <c r="C769" s="4"/>
    </row>
    <row r="770" spans="1:3" x14ac:dyDescent="0.25">
      <c r="A770" s="2"/>
      <c r="B770" s="3"/>
      <c r="C770" s="4"/>
    </row>
    <row r="771" spans="1:3" x14ac:dyDescent="0.25">
      <c r="A771" s="2"/>
      <c r="B771" s="3"/>
      <c r="C771" s="4"/>
    </row>
    <row r="772" spans="1:3" x14ac:dyDescent="0.25">
      <c r="A772" s="2"/>
      <c r="B772" s="3"/>
      <c r="C772" s="4"/>
    </row>
    <row r="773" spans="1:3" x14ac:dyDescent="0.25">
      <c r="A773" s="2"/>
      <c r="B773" s="3"/>
      <c r="C773" s="4"/>
    </row>
    <row r="774" spans="1:3" x14ac:dyDescent="0.25">
      <c r="A774" s="2"/>
      <c r="B774" s="3"/>
      <c r="C774" s="4"/>
    </row>
    <row r="775" spans="1:3" x14ac:dyDescent="0.25">
      <c r="A775" s="2"/>
      <c r="B775" s="3"/>
      <c r="C775" s="4"/>
    </row>
    <row r="776" spans="1:3" x14ac:dyDescent="0.25">
      <c r="A776" s="2"/>
      <c r="B776" s="3"/>
      <c r="C776" s="4"/>
    </row>
    <row r="777" spans="1:3" x14ac:dyDescent="0.25">
      <c r="A777" s="2"/>
      <c r="B777" s="3"/>
      <c r="C777" s="4"/>
    </row>
    <row r="778" spans="1:3" x14ac:dyDescent="0.25">
      <c r="A778" s="2"/>
      <c r="B778" s="3"/>
      <c r="C778" s="4"/>
    </row>
    <row r="779" spans="1:3" x14ac:dyDescent="0.25">
      <c r="A779" s="2"/>
      <c r="B779" s="3"/>
      <c r="C779" s="4"/>
    </row>
    <row r="780" spans="1:3" x14ac:dyDescent="0.25">
      <c r="A780" s="2"/>
      <c r="B780" s="3"/>
      <c r="C780" s="4"/>
    </row>
    <row r="781" spans="1:3" x14ac:dyDescent="0.25">
      <c r="A781" s="2"/>
      <c r="B781" s="3"/>
      <c r="C781" s="4"/>
    </row>
    <row r="782" spans="1:3" x14ac:dyDescent="0.25">
      <c r="A782" s="2"/>
      <c r="B782" s="3"/>
      <c r="C782" s="4"/>
    </row>
    <row r="783" spans="1:3" x14ac:dyDescent="0.25">
      <c r="A783" s="2"/>
      <c r="B783" s="3"/>
      <c r="C783" s="4"/>
    </row>
    <row r="784" spans="1:3" x14ac:dyDescent="0.25">
      <c r="A784" s="2"/>
      <c r="B784" s="3"/>
      <c r="C784" s="4"/>
    </row>
    <row r="785" spans="1:3" x14ac:dyDescent="0.25">
      <c r="A785" s="2"/>
      <c r="B785" s="3"/>
      <c r="C785" s="4"/>
    </row>
    <row r="786" spans="1:3" x14ac:dyDescent="0.25">
      <c r="A786" s="2"/>
      <c r="B786" s="3"/>
      <c r="C786" s="4"/>
    </row>
    <row r="787" spans="1:3" x14ac:dyDescent="0.25">
      <c r="A787" s="2"/>
      <c r="B787" s="3"/>
      <c r="C787" s="4"/>
    </row>
    <row r="788" spans="1:3" x14ac:dyDescent="0.25">
      <c r="A788" s="2"/>
      <c r="B788" s="3"/>
      <c r="C788" s="4"/>
    </row>
    <row r="789" spans="1:3" x14ac:dyDescent="0.25">
      <c r="A789" s="2"/>
      <c r="B789" s="3"/>
      <c r="C789" s="4"/>
    </row>
    <row r="790" spans="1:3" x14ac:dyDescent="0.25">
      <c r="A790" s="2"/>
      <c r="B790" s="3"/>
      <c r="C790" s="4"/>
    </row>
    <row r="791" spans="1:3" x14ac:dyDescent="0.25">
      <c r="A791" s="2"/>
      <c r="B791" s="3"/>
      <c r="C791" s="4"/>
    </row>
    <row r="792" spans="1:3" x14ac:dyDescent="0.25">
      <c r="A792" s="2"/>
      <c r="B792" s="3"/>
      <c r="C792" s="4"/>
    </row>
    <row r="793" spans="1:3" x14ac:dyDescent="0.25">
      <c r="A793" s="2"/>
      <c r="B793" s="3"/>
      <c r="C793" s="4"/>
    </row>
    <row r="794" spans="1:3" x14ac:dyDescent="0.25">
      <c r="A794" s="2"/>
      <c r="B794" s="3"/>
      <c r="C794" s="4"/>
    </row>
    <row r="795" spans="1:3" x14ac:dyDescent="0.25">
      <c r="A795" s="2"/>
      <c r="B795" s="3"/>
      <c r="C795" s="4"/>
    </row>
    <row r="796" spans="1:3" x14ac:dyDescent="0.25">
      <c r="A796" s="2"/>
      <c r="B796" s="3"/>
      <c r="C796" s="4"/>
    </row>
    <row r="797" spans="1:3" x14ac:dyDescent="0.25">
      <c r="A797" s="2"/>
      <c r="B797" s="3"/>
      <c r="C797" s="4"/>
    </row>
    <row r="798" spans="1:3" x14ac:dyDescent="0.25">
      <c r="A798" s="2"/>
      <c r="B798" s="3"/>
      <c r="C798" s="4"/>
    </row>
    <row r="799" spans="1:3" x14ac:dyDescent="0.25">
      <c r="A799" s="2"/>
      <c r="B799" s="3"/>
      <c r="C799" s="4"/>
    </row>
    <row r="800" spans="1:3" x14ac:dyDescent="0.25">
      <c r="A800" s="2"/>
      <c r="B800" s="3"/>
      <c r="C800" s="4"/>
    </row>
    <row r="801" spans="1:3" x14ac:dyDescent="0.25">
      <c r="A801" s="2"/>
      <c r="B801" s="3"/>
      <c r="C801" s="4"/>
    </row>
    <row r="802" spans="1:3" x14ac:dyDescent="0.25">
      <c r="A802" s="2"/>
      <c r="B802" s="3"/>
      <c r="C802" s="4"/>
    </row>
    <row r="803" spans="1:3" x14ac:dyDescent="0.25">
      <c r="A803" s="2"/>
      <c r="B803" s="3"/>
      <c r="C803" s="4"/>
    </row>
    <row r="804" spans="1:3" x14ac:dyDescent="0.25">
      <c r="A804" s="2"/>
      <c r="B804" s="3"/>
      <c r="C804" s="4"/>
    </row>
    <row r="805" spans="1:3" x14ac:dyDescent="0.25">
      <c r="A805" s="2"/>
      <c r="B805" s="3"/>
      <c r="C805" s="4"/>
    </row>
    <row r="806" spans="1:3" x14ac:dyDescent="0.25">
      <c r="A806" s="2"/>
      <c r="B806" s="3"/>
      <c r="C806" s="4"/>
    </row>
    <row r="807" spans="1:3" x14ac:dyDescent="0.25">
      <c r="A807" s="2"/>
      <c r="B807" s="3"/>
      <c r="C807" s="4"/>
    </row>
    <row r="808" spans="1:3" x14ac:dyDescent="0.25">
      <c r="A808" s="2"/>
      <c r="B808" s="3"/>
      <c r="C808" s="4"/>
    </row>
    <row r="809" spans="1:3" x14ac:dyDescent="0.25">
      <c r="A809" s="2"/>
      <c r="B809" s="3"/>
      <c r="C809" s="4"/>
    </row>
    <row r="810" spans="1:3" x14ac:dyDescent="0.25">
      <c r="A810" s="2"/>
      <c r="B810" s="3"/>
      <c r="C810" s="4"/>
    </row>
    <row r="811" spans="1:3" x14ac:dyDescent="0.25">
      <c r="A811" s="2"/>
      <c r="B811" s="3"/>
      <c r="C811" s="4"/>
    </row>
    <row r="812" spans="1:3" x14ac:dyDescent="0.25">
      <c r="A812" s="2"/>
      <c r="B812" s="3"/>
      <c r="C812" s="4"/>
    </row>
    <row r="813" spans="1:3" x14ac:dyDescent="0.25">
      <c r="A813" s="2"/>
      <c r="B813" s="3"/>
      <c r="C813" s="4"/>
    </row>
    <row r="814" spans="1:3" x14ac:dyDescent="0.25">
      <c r="A814" s="2"/>
      <c r="B814" s="3"/>
      <c r="C814" s="4"/>
    </row>
    <row r="815" spans="1:3" x14ac:dyDescent="0.25">
      <c r="A815" s="2"/>
      <c r="B815" s="3"/>
      <c r="C815" s="4"/>
    </row>
    <row r="816" spans="1:3" x14ac:dyDescent="0.25">
      <c r="A816" s="2"/>
      <c r="B816" s="3"/>
      <c r="C816" s="4"/>
    </row>
    <row r="817" spans="1:3" x14ac:dyDescent="0.25">
      <c r="A817" s="2"/>
      <c r="B817" s="3"/>
      <c r="C817" s="4"/>
    </row>
    <row r="818" spans="1:3" x14ac:dyDescent="0.25">
      <c r="A818" s="2"/>
      <c r="B818" s="3"/>
      <c r="C818" s="4"/>
    </row>
    <row r="819" spans="1:3" x14ac:dyDescent="0.25">
      <c r="A819" s="2"/>
      <c r="B819" s="3"/>
      <c r="C819" s="4"/>
    </row>
    <row r="820" spans="1:3" x14ac:dyDescent="0.25">
      <c r="A820" s="2"/>
      <c r="B820" s="3"/>
      <c r="C820" s="4"/>
    </row>
    <row r="821" spans="1:3" x14ac:dyDescent="0.25">
      <c r="A821" s="2"/>
      <c r="B821" s="3"/>
      <c r="C821" s="4"/>
    </row>
    <row r="822" spans="1:3" x14ac:dyDescent="0.25">
      <c r="A822" s="2"/>
      <c r="B822" s="3"/>
      <c r="C822" s="4"/>
    </row>
    <row r="823" spans="1:3" x14ac:dyDescent="0.25">
      <c r="A823" s="2"/>
      <c r="B823" s="3"/>
      <c r="C823" s="4"/>
    </row>
    <row r="824" spans="1:3" x14ac:dyDescent="0.25">
      <c r="A824" s="2"/>
      <c r="B824" s="3"/>
      <c r="C824" s="4"/>
    </row>
    <row r="825" spans="1:3" x14ac:dyDescent="0.25">
      <c r="A825" s="2"/>
      <c r="B825" s="3"/>
      <c r="C825" s="4"/>
    </row>
    <row r="826" spans="1:3" x14ac:dyDescent="0.25">
      <c r="A826" s="2"/>
      <c r="B826" s="3"/>
      <c r="C826" s="4"/>
    </row>
    <row r="827" spans="1:3" x14ac:dyDescent="0.25">
      <c r="A827" s="2"/>
      <c r="B827" s="3"/>
      <c r="C827" s="4"/>
    </row>
    <row r="828" spans="1:3" x14ac:dyDescent="0.25">
      <c r="A828" s="2"/>
      <c r="B828" s="3"/>
      <c r="C828" s="4"/>
    </row>
    <row r="829" spans="1:3" x14ac:dyDescent="0.25">
      <c r="A829" s="2"/>
      <c r="B829" s="3"/>
      <c r="C829" s="4"/>
    </row>
    <row r="830" spans="1:3" x14ac:dyDescent="0.25">
      <c r="A830" s="2"/>
      <c r="B830" s="3"/>
      <c r="C830" s="4"/>
    </row>
    <row r="831" spans="1:3" x14ac:dyDescent="0.25">
      <c r="A831" s="2"/>
      <c r="B831" s="3"/>
      <c r="C831" s="4"/>
    </row>
    <row r="832" spans="1:3" x14ac:dyDescent="0.25">
      <c r="A832" s="2"/>
      <c r="B832" s="3"/>
      <c r="C832" s="4"/>
    </row>
    <row r="833" spans="1:3" x14ac:dyDescent="0.25">
      <c r="A833" s="2"/>
      <c r="B833" s="3"/>
      <c r="C833" s="4"/>
    </row>
    <row r="834" spans="1:3" x14ac:dyDescent="0.25">
      <c r="A834" s="2"/>
      <c r="B834" s="3"/>
      <c r="C834" s="4"/>
    </row>
    <row r="835" spans="1:3" x14ac:dyDescent="0.25">
      <c r="A835" s="2"/>
      <c r="B835" s="3"/>
      <c r="C835" s="4"/>
    </row>
    <row r="836" spans="1:3" x14ac:dyDescent="0.25">
      <c r="A836" s="2"/>
      <c r="B836" s="3"/>
      <c r="C836" s="4"/>
    </row>
    <row r="837" spans="1:3" x14ac:dyDescent="0.25">
      <c r="A837" s="2"/>
      <c r="B837" s="3"/>
      <c r="C837" s="4"/>
    </row>
    <row r="838" spans="1:3" x14ac:dyDescent="0.25">
      <c r="A838" s="2"/>
      <c r="B838" s="3"/>
      <c r="C838" s="4"/>
    </row>
    <row r="839" spans="1:3" x14ac:dyDescent="0.25">
      <c r="A839" s="2"/>
      <c r="B839" s="3"/>
      <c r="C839" s="4"/>
    </row>
    <row r="840" spans="1:3" x14ac:dyDescent="0.25">
      <c r="A840" s="2"/>
      <c r="B840" s="3"/>
      <c r="C840" s="4"/>
    </row>
    <row r="841" spans="1:3" x14ac:dyDescent="0.25">
      <c r="A841" s="2"/>
      <c r="B841" s="3"/>
      <c r="C841" s="4"/>
    </row>
    <row r="842" spans="1:3" x14ac:dyDescent="0.25">
      <c r="A842" s="2"/>
      <c r="B842" s="3"/>
      <c r="C842" s="4"/>
    </row>
    <row r="843" spans="1:3" x14ac:dyDescent="0.25">
      <c r="A843" s="2"/>
      <c r="B843" s="3"/>
      <c r="C843" s="4"/>
    </row>
    <row r="844" spans="1:3" x14ac:dyDescent="0.25">
      <c r="A844" s="2"/>
      <c r="B844" s="3"/>
      <c r="C844" s="4"/>
    </row>
    <row r="845" spans="1:3" x14ac:dyDescent="0.25">
      <c r="A845" s="2"/>
      <c r="B845" s="3"/>
      <c r="C845" s="4"/>
    </row>
    <row r="846" spans="1:3" x14ac:dyDescent="0.25">
      <c r="A846" s="2"/>
      <c r="B846" s="3"/>
      <c r="C846" s="4"/>
    </row>
    <row r="847" spans="1:3" x14ac:dyDescent="0.25">
      <c r="A847" s="2"/>
      <c r="B847" s="3"/>
      <c r="C847" s="4"/>
    </row>
    <row r="848" spans="1:3" x14ac:dyDescent="0.25">
      <c r="A848" s="2"/>
      <c r="B848" s="3"/>
      <c r="C848" s="4"/>
    </row>
    <row r="849" spans="1:3" x14ac:dyDescent="0.25">
      <c r="A849" s="2"/>
      <c r="B849" s="3"/>
      <c r="C849" s="4"/>
    </row>
    <row r="850" spans="1:3" x14ac:dyDescent="0.25">
      <c r="A850" s="2"/>
      <c r="B850" s="3"/>
      <c r="C850" s="4"/>
    </row>
    <row r="851" spans="1:3" x14ac:dyDescent="0.25">
      <c r="A851" s="2"/>
      <c r="B851" s="3"/>
      <c r="C851" s="4"/>
    </row>
    <row r="852" spans="1:3" x14ac:dyDescent="0.25">
      <c r="A852" s="2"/>
      <c r="B852" s="3"/>
      <c r="C852" s="4"/>
    </row>
    <row r="853" spans="1:3" x14ac:dyDescent="0.25">
      <c r="A853" s="2"/>
      <c r="B853" s="3"/>
      <c r="C853" s="4"/>
    </row>
    <row r="854" spans="1:3" x14ac:dyDescent="0.25">
      <c r="A854" s="2"/>
      <c r="B854" s="3"/>
      <c r="C854" s="4"/>
    </row>
    <row r="855" spans="1:3" x14ac:dyDescent="0.25">
      <c r="A855" s="2"/>
      <c r="B855" s="3"/>
      <c r="C855" s="4"/>
    </row>
    <row r="856" spans="1:3" x14ac:dyDescent="0.25">
      <c r="A856" s="2"/>
      <c r="B856" s="3"/>
      <c r="C856" s="4"/>
    </row>
    <row r="857" spans="1:3" x14ac:dyDescent="0.25">
      <c r="A857" s="2"/>
      <c r="B857" s="3"/>
      <c r="C857" s="4"/>
    </row>
    <row r="858" spans="1:3" x14ac:dyDescent="0.25">
      <c r="A858" s="2"/>
      <c r="B858" s="3"/>
      <c r="C858" s="4"/>
    </row>
    <row r="859" spans="1:3" x14ac:dyDescent="0.25">
      <c r="A859" s="2"/>
      <c r="B859" s="3"/>
      <c r="C859" s="4"/>
    </row>
    <row r="860" spans="1:3" x14ac:dyDescent="0.25">
      <c r="A860" s="2"/>
      <c r="B860" s="3"/>
      <c r="C860" s="4"/>
    </row>
    <row r="861" spans="1:3" x14ac:dyDescent="0.25">
      <c r="A861" s="2"/>
      <c r="B861" s="3"/>
      <c r="C861" s="4"/>
    </row>
    <row r="862" spans="1:3" x14ac:dyDescent="0.25">
      <c r="A862" s="2"/>
      <c r="B862" s="3"/>
      <c r="C862" s="4"/>
    </row>
    <row r="863" spans="1:3" x14ac:dyDescent="0.25">
      <c r="A863" s="2"/>
      <c r="B863" s="3"/>
      <c r="C863" s="4"/>
    </row>
    <row r="864" spans="1:3" x14ac:dyDescent="0.25">
      <c r="A864" s="2"/>
      <c r="B864" s="3"/>
      <c r="C864" s="4"/>
    </row>
    <row r="865" spans="1:3" x14ac:dyDescent="0.25">
      <c r="A865" s="2"/>
      <c r="B865" s="3"/>
      <c r="C865" s="4"/>
    </row>
    <row r="866" spans="1:3" x14ac:dyDescent="0.25">
      <c r="A866" s="2"/>
      <c r="B866" s="3"/>
      <c r="C866" s="4"/>
    </row>
    <row r="867" spans="1:3" x14ac:dyDescent="0.25">
      <c r="A867" s="2"/>
      <c r="B867" s="3"/>
      <c r="C867" s="4"/>
    </row>
    <row r="868" spans="1:3" x14ac:dyDescent="0.25">
      <c r="A868" s="2"/>
      <c r="B868" s="3"/>
      <c r="C868" s="4"/>
    </row>
    <row r="869" spans="1:3" x14ac:dyDescent="0.25">
      <c r="A869" s="2"/>
      <c r="B869" s="3"/>
      <c r="C869" s="4"/>
    </row>
    <row r="870" spans="1:3" x14ac:dyDescent="0.25">
      <c r="A870" s="2"/>
      <c r="B870" s="3"/>
      <c r="C870" s="4"/>
    </row>
    <row r="871" spans="1:3" x14ac:dyDescent="0.25">
      <c r="A871" s="2"/>
      <c r="B871" s="3"/>
      <c r="C871" s="4"/>
    </row>
    <row r="872" spans="1:3" x14ac:dyDescent="0.25">
      <c r="A872" s="2"/>
      <c r="B872" s="3"/>
      <c r="C872" s="4"/>
    </row>
    <row r="873" spans="1:3" x14ac:dyDescent="0.25">
      <c r="A873" s="2"/>
      <c r="B873" s="3"/>
      <c r="C873" s="4"/>
    </row>
    <row r="874" spans="1:3" x14ac:dyDescent="0.25">
      <c r="A874" s="2"/>
      <c r="B874" s="3"/>
      <c r="C874" s="4"/>
    </row>
    <row r="875" spans="1:3" x14ac:dyDescent="0.25">
      <c r="A875" s="2"/>
      <c r="B875" s="3"/>
      <c r="C875" s="4"/>
    </row>
    <row r="876" spans="1:3" x14ac:dyDescent="0.25">
      <c r="A876" s="2"/>
      <c r="B876" s="3"/>
      <c r="C876" s="4"/>
    </row>
    <row r="877" spans="1:3" x14ac:dyDescent="0.25">
      <c r="A877" s="2"/>
      <c r="B877" s="3"/>
      <c r="C877" s="4"/>
    </row>
    <row r="878" spans="1:3" x14ac:dyDescent="0.25">
      <c r="A878" s="2"/>
      <c r="B878" s="3"/>
      <c r="C878" s="4"/>
    </row>
    <row r="879" spans="1:3" x14ac:dyDescent="0.25">
      <c r="A879" s="2"/>
      <c r="B879" s="3"/>
      <c r="C879" s="4"/>
    </row>
    <row r="880" spans="1:3" x14ac:dyDescent="0.25">
      <c r="A880" s="2"/>
      <c r="B880" s="3"/>
      <c r="C880" s="4"/>
    </row>
    <row r="881" spans="1:3" x14ac:dyDescent="0.25">
      <c r="A881" s="2"/>
      <c r="B881" s="3"/>
      <c r="C881" s="4"/>
    </row>
    <row r="882" spans="1:3" x14ac:dyDescent="0.25">
      <c r="A882" s="2"/>
      <c r="B882" s="3"/>
      <c r="C882" s="4"/>
    </row>
    <row r="883" spans="1:3" x14ac:dyDescent="0.25">
      <c r="A883" s="2"/>
      <c r="B883" s="3"/>
      <c r="C883" s="4"/>
    </row>
    <row r="884" spans="1:3" x14ac:dyDescent="0.25">
      <c r="A884" s="2"/>
      <c r="B884" s="3"/>
      <c r="C884" s="4"/>
    </row>
    <row r="885" spans="1:3" x14ac:dyDescent="0.25">
      <c r="A885" s="2"/>
      <c r="B885" s="3"/>
      <c r="C885" s="4"/>
    </row>
    <row r="886" spans="1:3" x14ac:dyDescent="0.25">
      <c r="A886" s="2"/>
      <c r="B886" s="3"/>
      <c r="C886" s="4"/>
    </row>
    <row r="887" spans="1:3" x14ac:dyDescent="0.25">
      <c r="A887" s="2"/>
      <c r="B887" s="3"/>
      <c r="C887" s="4"/>
    </row>
    <row r="888" spans="1:3" x14ac:dyDescent="0.25">
      <c r="A888" s="2"/>
      <c r="B888" s="3"/>
      <c r="C888" s="4"/>
    </row>
    <row r="889" spans="1:3" x14ac:dyDescent="0.25">
      <c r="A889" s="2"/>
      <c r="B889" s="3"/>
      <c r="C889" s="4"/>
    </row>
    <row r="890" spans="1:3" x14ac:dyDescent="0.25">
      <c r="A890" s="2"/>
      <c r="B890" s="3"/>
      <c r="C890" s="4"/>
    </row>
    <row r="891" spans="1:3" x14ac:dyDescent="0.25">
      <c r="A891" s="2"/>
      <c r="B891" s="3"/>
      <c r="C891" s="4"/>
    </row>
    <row r="892" spans="1:3" x14ac:dyDescent="0.25">
      <c r="A892" s="2"/>
      <c r="B892" s="3"/>
      <c r="C892" s="4"/>
    </row>
    <row r="893" spans="1:3" x14ac:dyDescent="0.25">
      <c r="A893" s="2"/>
      <c r="B893" s="3"/>
      <c r="C893" s="4"/>
    </row>
    <row r="894" spans="1:3" x14ac:dyDescent="0.25">
      <c r="A894" s="2"/>
      <c r="B894" s="3"/>
      <c r="C894" s="4"/>
    </row>
    <row r="895" spans="1:3" x14ac:dyDescent="0.25">
      <c r="A895" s="2"/>
      <c r="B895" s="3"/>
      <c r="C895" s="4"/>
    </row>
    <row r="896" spans="1:3" x14ac:dyDescent="0.25">
      <c r="A896" s="2"/>
      <c r="B896" s="3"/>
      <c r="C896" s="4"/>
    </row>
    <row r="897" spans="1:3" x14ac:dyDescent="0.25">
      <c r="A897" s="2"/>
      <c r="B897" s="3"/>
      <c r="C897" s="4"/>
    </row>
    <row r="898" spans="1:3" x14ac:dyDescent="0.25">
      <c r="A898" s="2"/>
      <c r="B898" s="3"/>
      <c r="C898" s="4"/>
    </row>
    <row r="899" spans="1:3" x14ac:dyDescent="0.25">
      <c r="A899" s="2"/>
      <c r="B899" s="3"/>
      <c r="C899" s="4"/>
    </row>
    <row r="900" spans="1:3" x14ac:dyDescent="0.25">
      <c r="A900" s="2"/>
      <c r="B900" s="3"/>
      <c r="C900" s="4"/>
    </row>
    <row r="901" spans="1:3" x14ac:dyDescent="0.25">
      <c r="A901" s="2"/>
      <c r="B901" s="3"/>
      <c r="C901" s="4"/>
    </row>
    <row r="902" spans="1:3" x14ac:dyDescent="0.25">
      <c r="A902" s="2"/>
      <c r="B902" s="3"/>
      <c r="C902" s="4"/>
    </row>
    <row r="903" spans="1:3" x14ac:dyDescent="0.25">
      <c r="A903" s="2"/>
      <c r="B903" s="3"/>
      <c r="C903" s="4"/>
    </row>
    <row r="904" spans="1:3" x14ac:dyDescent="0.25">
      <c r="A904" s="2"/>
      <c r="B904" s="3"/>
      <c r="C904" s="4"/>
    </row>
    <row r="905" spans="1:3" x14ac:dyDescent="0.25">
      <c r="A905" s="2"/>
      <c r="B905" s="3"/>
      <c r="C905" s="4"/>
    </row>
    <row r="906" spans="1:3" x14ac:dyDescent="0.25">
      <c r="A906" s="2"/>
      <c r="B906" s="3"/>
      <c r="C906" s="4"/>
    </row>
    <row r="907" spans="1:3" x14ac:dyDescent="0.25">
      <c r="A907" s="2"/>
      <c r="B907" s="3"/>
      <c r="C907" s="4"/>
    </row>
    <row r="908" spans="1:3" x14ac:dyDescent="0.25">
      <c r="A908" s="2"/>
      <c r="B908" s="3"/>
      <c r="C908" s="4"/>
    </row>
    <row r="909" spans="1:3" x14ac:dyDescent="0.25">
      <c r="A909" s="2"/>
      <c r="B909" s="3"/>
      <c r="C909" s="4"/>
    </row>
    <row r="910" spans="1:3" x14ac:dyDescent="0.25">
      <c r="A910" s="2"/>
      <c r="B910" s="3"/>
      <c r="C910" s="4"/>
    </row>
    <row r="911" spans="1:3" x14ac:dyDescent="0.25">
      <c r="A911" s="2"/>
      <c r="B911" s="3"/>
      <c r="C911" s="4"/>
    </row>
    <row r="912" spans="1:3" x14ac:dyDescent="0.25">
      <c r="A912" s="2"/>
      <c r="B912" s="3"/>
      <c r="C912" s="4"/>
    </row>
    <row r="913" spans="1:3" x14ac:dyDescent="0.25">
      <c r="A913" s="2"/>
      <c r="B913" s="3"/>
      <c r="C913" s="4"/>
    </row>
    <row r="914" spans="1:3" x14ac:dyDescent="0.25">
      <c r="A914" s="2"/>
      <c r="B914" s="3"/>
      <c r="C914" s="4"/>
    </row>
    <row r="915" spans="1:3" x14ac:dyDescent="0.25">
      <c r="A915" s="2"/>
      <c r="B915" s="3"/>
      <c r="C915" s="4"/>
    </row>
    <row r="916" spans="1:3" x14ac:dyDescent="0.25">
      <c r="A916" s="2"/>
      <c r="B916" s="3"/>
      <c r="C916" s="4"/>
    </row>
    <row r="917" spans="1:3" x14ac:dyDescent="0.25">
      <c r="A917" s="2"/>
      <c r="B917" s="3"/>
      <c r="C917" s="4"/>
    </row>
    <row r="918" spans="1:3" x14ac:dyDescent="0.25">
      <c r="A918" s="2"/>
      <c r="B918" s="3"/>
      <c r="C918" s="4"/>
    </row>
    <row r="919" spans="1:3" x14ac:dyDescent="0.25">
      <c r="A919" s="2"/>
      <c r="B919" s="3"/>
      <c r="C919" s="4"/>
    </row>
    <row r="920" spans="1:3" x14ac:dyDescent="0.25">
      <c r="A920" s="2"/>
      <c r="B920" s="3"/>
      <c r="C920" s="4"/>
    </row>
    <row r="921" spans="1:3" x14ac:dyDescent="0.25">
      <c r="A921" s="2"/>
      <c r="B921" s="3"/>
      <c r="C921" s="4"/>
    </row>
    <row r="922" spans="1:3" x14ac:dyDescent="0.25">
      <c r="A922" s="2"/>
      <c r="B922" s="3"/>
      <c r="C922" s="4"/>
    </row>
    <row r="923" spans="1:3" x14ac:dyDescent="0.25">
      <c r="A923" s="2"/>
      <c r="B923" s="3"/>
      <c r="C923" s="4"/>
    </row>
    <row r="924" spans="1:3" x14ac:dyDescent="0.25">
      <c r="A924" s="2"/>
      <c r="B924" s="3"/>
      <c r="C924" s="4"/>
    </row>
    <row r="925" spans="1:3" x14ac:dyDescent="0.25">
      <c r="A925" s="2"/>
      <c r="B925" s="3"/>
      <c r="C925" s="4"/>
    </row>
    <row r="926" spans="1:3" x14ac:dyDescent="0.25">
      <c r="A926" s="2"/>
      <c r="B926" s="3"/>
      <c r="C926" s="4"/>
    </row>
    <row r="927" spans="1:3" x14ac:dyDescent="0.25">
      <c r="A927" s="2"/>
      <c r="B927" s="3"/>
      <c r="C927" s="4"/>
    </row>
    <row r="928" spans="1:3" x14ac:dyDescent="0.25">
      <c r="A928" s="2"/>
      <c r="B928" s="3"/>
      <c r="C928" s="4"/>
    </row>
    <row r="929" spans="1:3" x14ac:dyDescent="0.25">
      <c r="A929" s="2"/>
      <c r="B929" s="3"/>
      <c r="C929" s="4"/>
    </row>
    <row r="930" spans="1:3" x14ac:dyDescent="0.25">
      <c r="A930" s="2"/>
      <c r="B930" s="3"/>
      <c r="C930" s="4"/>
    </row>
    <row r="931" spans="1:3" x14ac:dyDescent="0.25">
      <c r="A931" s="2"/>
      <c r="B931" s="3"/>
      <c r="C931" s="4"/>
    </row>
    <row r="932" spans="1:3" x14ac:dyDescent="0.25">
      <c r="A932" s="2"/>
      <c r="B932" s="3"/>
      <c r="C932" s="4"/>
    </row>
    <row r="933" spans="1:3" x14ac:dyDescent="0.25">
      <c r="A933" s="2"/>
      <c r="B933" s="3"/>
      <c r="C933" s="4"/>
    </row>
    <row r="934" spans="1:3" x14ac:dyDescent="0.25">
      <c r="A934" s="2"/>
      <c r="B934" s="3"/>
      <c r="C934" s="4"/>
    </row>
    <row r="935" spans="1:3" x14ac:dyDescent="0.25">
      <c r="A935" s="2"/>
      <c r="B935" s="3"/>
      <c r="C935" s="4"/>
    </row>
    <row r="936" spans="1:3" x14ac:dyDescent="0.25">
      <c r="A936" s="2"/>
      <c r="B936" s="3"/>
      <c r="C936" s="4"/>
    </row>
    <row r="937" spans="1:3" x14ac:dyDescent="0.25">
      <c r="A937" s="2"/>
      <c r="B937" s="3"/>
      <c r="C937" s="4"/>
    </row>
    <row r="938" spans="1:3" x14ac:dyDescent="0.25">
      <c r="A938" s="2"/>
      <c r="B938" s="3"/>
      <c r="C938" s="4"/>
    </row>
    <row r="939" spans="1:3" x14ac:dyDescent="0.25">
      <c r="A939" s="2"/>
      <c r="B939" s="3"/>
      <c r="C939" s="4"/>
    </row>
    <row r="940" spans="1:3" x14ac:dyDescent="0.25">
      <c r="A940" s="2"/>
      <c r="B940" s="3"/>
      <c r="C940" s="4"/>
    </row>
    <row r="941" spans="1:3" x14ac:dyDescent="0.25">
      <c r="A941" s="2"/>
      <c r="B941" s="3"/>
      <c r="C941" s="4"/>
    </row>
    <row r="942" spans="1:3" x14ac:dyDescent="0.25">
      <c r="A942" s="2"/>
      <c r="B942" s="3"/>
      <c r="C942" s="4"/>
    </row>
    <row r="943" spans="1:3" x14ac:dyDescent="0.25">
      <c r="A943" s="2"/>
      <c r="B943" s="3"/>
      <c r="C943" s="4"/>
    </row>
    <row r="944" spans="1:3" x14ac:dyDescent="0.25">
      <c r="A944" s="2"/>
      <c r="B944" s="3"/>
      <c r="C944" s="4"/>
    </row>
    <row r="945" spans="1:3" x14ac:dyDescent="0.25">
      <c r="A945" s="2"/>
      <c r="B945" s="3"/>
      <c r="C945" s="4"/>
    </row>
    <row r="946" spans="1:3" x14ac:dyDescent="0.25">
      <c r="A946" s="2"/>
      <c r="B946" s="3"/>
      <c r="C946" s="4"/>
    </row>
    <row r="947" spans="1:3" x14ac:dyDescent="0.25">
      <c r="A947" s="2"/>
      <c r="B947" s="3"/>
      <c r="C947" s="4"/>
    </row>
    <row r="948" spans="1:3" x14ac:dyDescent="0.25">
      <c r="A948" s="2"/>
      <c r="B948" s="3"/>
      <c r="C948" s="4"/>
    </row>
    <row r="949" spans="1:3" x14ac:dyDescent="0.25">
      <c r="A949" s="2"/>
      <c r="B949" s="3"/>
      <c r="C949" s="4"/>
    </row>
    <row r="950" spans="1:3" x14ac:dyDescent="0.25">
      <c r="A950" s="2"/>
      <c r="B950" s="3"/>
      <c r="C950" s="4"/>
    </row>
    <row r="951" spans="1:3" x14ac:dyDescent="0.25">
      <c r="A951" s="2"/>
      <c r="B951" s="3"/>
      <c r="C951" s="4"/>
    </row>
    <row r="952" spans="1:3" x14ac:dyDescent="0.25">
      <c r="A952" s="2"/>
      <c r="B952" s="3"/>
      <c r="C952" s="4"/>
    </row>
    <row r="953" spans="1:3" x14ac:dyDescent="0.25">
      <c r="A953" s="2"/>
      <c r="B953" s="3"/>
      <c r="C953" s="4"/>
    </row>
    <row r="954" spans="1:3" x14ac:dyDescent="0.25">
      <c r="A954" s="2"/>
      <c r="B954" s="3"/>
      <c r="C954" s="4"/>
    </row>
    <row r="955" spans="1:3" x14ac:dyDescent="0.25">
      <c r="A955" s="2"/>
      <c r="B955" s="3"/>
      <c r="C955" s="4"/>
    </row>
    <row r="956" spans="1:3" x14ac:dyDescent="0.25">
      <c r="A956" s="2"/>
      <c r="B956" s="3"/>
      <c r="C956" s="4"/>
    </row>
    <row r="957" spans="1:3" x14ac:dyDescent="0.25">
      <c r="A957" s="2"/>
      <c r="B957" s="3"/>
      <c r="C957" s="4"/>
    </row>
    <row r="958" spans="1:3" x14ac:dyDescent="0.25">
      <c r="A958" s="2"/>
      <c r="B958" s="3"/>
      <c r="C958" s="4"/>
    </row>
    <row r="959" spans="1:3" x14ac:dyDescent="0.25">
      <c r="A959" s="2"/>
      <c r="B959" s="3"/>
      <c r="C959" s="4"/>
    </row>
    <row r="960" spans="1:3" x14ac:dyDescent="0.25">
      <c r="A960" s="2"/>
      <c r="B960" s="3"/>
      <c r="C960" s="4"/>
    </row>
    <row r="961" spans="1:3" x14ac:dyDescent="0.25">
      <c r="A961" s="2"/>
      <c r="B961" s="3"/>
      <c r="C961" s="4"/>
    </row>
    <row r="962" spans="1:3" x14ac:dyDescent="0.25">
      <c r="A962" s="2"/>
      <c r="B962" s="3"/>
      <c r="C962" s="4"/>
    </row>
    <row r="963" spans="1:3" x14ac:dyDescent="0.25">
      <c r="A963" s="2"/>
      <c r="B963" s="3"/>
      <c r="C963" s="4"/>
    </row>
    <row r="964" spans="1:3" x14ac:dyDescent="0.25">
      <c r="A964" s="2"/>
      <c r="B964" s="3"/>
      <c r="C964" s="4"/>
    </row>
    <row r="965" spans="1:3" x14ac:dyDescent="0.25">
      <c r="A965" s="2"/>
      <c r="B965" s="3"/>
      <c r="C965" s="4"/>
    </row>
    <row r="966" spans="1:3" x14ac:dyDescent="0.25">
      <c r="A966" s="2"/>
      <c r="B966" s="3"/>
      <c r="C966" s="4"/>
    </row>
    <row r="967" spans="1:3" x14ac:dyDescent="0.25">
      <c r="A967" s="2"/>
      <c r="B967" s="3"/>
      <c r="C967" s="4"/>
    </row>
    <row r="968" spans="1:3" x14ac:dyDescent="0.25">
      <c r="A968" s="2"/>
      <c r="B968" s="3"/>
      <c r="C968" s="4"/>
    </row>
    <row r="969" spans="1:3" x14ac:dyDescent="0.25">
      <c r="A969" s="2"/>
      <c r="B969" s="3"/>
      <c r="C969" s="4"/>
    </row>
    <row r="970" spans="1:3" x14ac:dyDescent="0.25">
      <c r="A970" s="2"/>
      <c r="B970" s="3"/>
      <c r="C970" s="4"/>
    </row>
    <row r="971" spans="1:3" x14ac:dyDescent="0.25">
      <c r="A971" s="2"/>
      <c r="B971" s="3"/>
      <c r="C971" s="4"/>
    </row>
    <row r="972" spans="1:3" x14ac:dyDescent="0.25">
      <c r="A972" s="2"/>
      <c r="B972" s="3"/>
      <c r="C972" s="4"/>
    </row>
    <row r="973" spans="1:3" x14ac:dyDescent="0.25">
      <c r="A973" s="2"/>
      <c r="B973" s="3"/>
      <c r="C973" s="4"/>
    </row>
    <row r="974" spans="1:3" x14ac:dyDescent="0.25">
      <c r="A974" s="2"/>
      <c r="B974" s="3"/>
      <c r="C974" s="4"/>
    </row>
    <row r="975" spans="1:3" x14ac:dyDescent="0.25">
      <c r="A975" s="2"/>
      <c r="B975" s="3"/>
      <c r="C975" s="4"/>
    </row>
    <row r="976" spans="1:3" x14ac:dyDescent="0.25">
      <c r="A976" s="2"/>
      <c r="B976" s="3"/>
      <c r="C976" s="4"/>
    </row>
    <row r="977" spans="1:3" x14ac:dyDescent="0.25">
      <c r="A977" s="2"/>
      <c r="B977" s="3"/>
      <c r="C977" s="4"/>
    </row>
    <row r="978" spans="1:3" x14ac:dyDescent="0.25">
      <c r="A978" s="2"/>
      <c r="B978" s="3"/>
      <c r="C978" s="4"/>
    </row>
    <row r="979" spans="1:3" x14ac:dyDescent="0.25">
      <c r="A979" s="2"/>
      <c r="B979" s="3"/>
      <c r="C979" s="4"/>
    </row>
    <row r="980" spans="1:3" x14ac:dyDescent="0.25">
      <c r="A980" s="2"/>
      <c r="B980" s="3"/>
      <c r="C980" s="4"/>
    </row>
    <row r="981" spans="1:3" x14ac:dyDescent="0.25">
      <c r="A981" s="2"/>
      <c r="B981" s="3"/>
      <c r="C981" s="4"/>
    </row>
    <row r="982" spans="1:3" x14ac:dyDescent="0.25">
      <c r="A982" s="2"/>
      <c r="B982" s="3"/>
      <c r="C982" s="4"/>
    </row>
    <row r="983" spans="1:3" x14ac:dyDescent="0.25">
      <c r="A983" s="2"/>
      <c r="B983" s="3"/>
      <c r="C983" s="4"/>
    </row>
    <row r="984" spans="1:3" x14ac:dyDescent="0.25">
      <c r="A984" s="2"/>
      <c r="B984" s="3"/>
      <c r="C984" s="4"/>
    </row>
    <row r="985" spans="1:3" x14ac:dyDescent="0.25">
      <c r="A985" s="2"/>
      <c r="B985" s="3"/>
      <c r="C985" s="4"/>
    </row>
    <row r="986" spans="1:3" x14ac:dyDescent="0.25">
      <c r="A986" s="2"/>
      <c r="B986" s="3"/>
      <c r="C986" s="4"/>
    </row>
    <row r="987" spans="1:3" x14ac:dyDescent="0.25">
      <c r="A987" s="2"/>
      <c r="B987" s="3"/>
      <c r="C987" s="4"/>
    </row>
    <row r="988" spans="1:3" x14ac:dyDescent="0.25">
      <c r="A988" s="2"/>
      <c r="B988" s="3"/>
      <c r="C988" s="4"/>
    </row>
    <row r="989" spans="1:3" x14ac:dyDescent="0.25">
      <c r="A989" s="2"/>
      <c r="B989" s="3"/>
      <c r="C989" s="4"/>
    </row>
    <row r="990" spans="1:3" x14ac:dyDescent="0.25">
      <c r="A990" s="2"/>
      <c r="B990" s="3"/>
      <c r="C990" s="4"/>
    </row>
    <row r="991" spans="1:3" x14ac:dyDescent="0.25">
      <c r="A991" s="2"/>
      <c r="B991" s="3"/>
      <c r="C991" s="4"/>
    </row>
    <row r="992" spans="1:3" x14ac:dyDescent="0.25">
      <c r="A992" s="2"/>
      <c r="B992" s="3"/>
      <c r="C992" s="4"/>
    </row>
    <row r="993" spans="1:3" x14ac:dyDescent="0.25">
      <c r="A993" s="2"/>
      <c r="B993" s="3"/>
      <c r="C993" s="4"/>
    </row>
    <row r="994" spans="1:3" x14ac:dyDescent="0.25">
      <c r="A994" s="2"/>
      <c r="B994" s="3"/>
      <c r="C994" s="4"/>
    </row>
    <row r="995" spans="1:3" x14ac:dyDescent="0.25">
      <c r="A995" s="2"/>
      <c r="B995" s="3"/>
      <c r="C995" s="4"/>
    </row>
    <row r="996" spans="1:3" x14ac:dyDescent="0.25">
      <c r="A996" s="2"/>
      <c r="B996" s="3"/>
      <c r="C996" s="4"/>
    </row>
    <row r="997" spans="1:3" x14ac:dyDescent="0.25">
      <c r="A997" s="2"/>
      <c r="B997" s="3"/>
      <c r="C997" s="4"/>
    </row>
    <row r="998" spans="1:3" x14ac:dyDescent="0.25">
      <c r="A998" s="2"/>
      <c r="B998" s="3"/>
      <c r="C998" s="4"/>
    </row>
    <row r="999" spans="1:3" x14ac:dyDescent="0.25">
      <c r="A999" s="2"/>
      <c r="B999" s="3"/>
      <c r="C999" s="4"/>
    </row>
    <row r="1000" spans="1:3" x14ac:dyDescent="0.25">
      <c r="A1000" s="2"/>
      <c r="B1000" s="3"/>
      <c r="C1000" s="4"/>
    </row>
    <row r="1001" spans="1:3" x14ac:dyDescent="0.25">
      <c r="A1001" s="2"/>
      <c r="B1001" s="3"/>
      <c r="C1001" s="4"/>
    </row>
    <row r="1002" spans="1:3" x14ac:dyDescent="0.25">
      <c r="A1002" s="2"/>
      <c r="B1002" s="3"/>
      <c r="C1002" s="4"/>
    </row>
    <row r="1003" spans="1:3" x14ac:dyDescent="0.25">
      <c r="A1003" s="2"/>
      <c r="B1003" s="3"/>
      <c r="C1003" s="4"/>
    </row>
    <row r="1004" spans="1:3" x14ac:dyDescent="0.25">
      <c r="A1004" s="2"/>
      <c r="B1004" s="3"/>
      <c r="C1004" s="4"/>
    </row>
    <row r="1005" spans="1:3" x14ac:dyDescent="0.25">
      <c r="A1005" s="2"/>
      <c r="B1005" s="3"/>
      <c r="C1005" s="4"/>
    </row>
    <row r="1006" spans="1:3" x14ac:dyDescent="0.25">
      <c r="A1006" s="2"/>
      <c r="B1006" s="3"/>
      <c r="C1006" s="4"/>
    </row>
    <row r="1007" spans="1:3" x14ac:dyDescent="0.25">
      <c r="A1007" s="2"/>
      <c r="B1007" s="3"/>
      <c r="C1007" s="4"/>
    </row>
    <row r="1008" spans="1:3" x14ac:dyDescent="0.25">
      <c r="A1008" s="2"/>
      <c r="B1008" s="3"/>
      <c r="C1008" s="4"/>
    </row>
    <row r="1009" spans="1:3" x14ac:dyDescent="0.25">
      <c r="A1009" s="2"/>
      <c r="B1009" s="3"/>
      <c r="C1009" s="4"/>
    </row>
    <row r="1010" spans="1:3" x14ac:dyDescent="0.25">
      <c r="A1010" s="2"/>
      <c r="B1010" s="3"/>
      <c r="C1010" s="4"/>
    </row>
    <row r="1011" spans="1:3" x14ac:dyDescent="0.25">
      <c r="A1011" s="2"/>
      <c r="B1011" s="3"/>
      <c r="C1011" s="4"/>
    </row>
    <row r="1012" spans="1:3" x14ac:dyDescent="0.25">
      <c r="A1012" s="2"/>
      <c r="B1012" s="3"/>
      <c r="C1012" s="4"/>
    </row>
    <row r="1013" spans="1:3" x14ac:dyDescent="0.25">
      <c r="A1013" s="2"/>
      <c r="B1013" s="3"/>
      <c r="C1013" s="4"/>
    </row>
    <row r="1014" spans="1:3" x14ac:dyDescent="0.25">
      <c r="A1014" s="2"/>
      <c r="B1014" s="3"/>
      <c r="C1014" s="4"/>
    </row>
    <row r="1015" spans="1:3" x14ac:dyDescent="0.25">
      <c r="A1015" s="2"/>
      <c r="B1015" s="3"/>
      <c r="C1015" s="4"/>
    </row>
    <row r="1016" spans="1:3" x14ac:dyDescent="0.25">
      <c r="A1016" s="2"/>
      <c r="B1016" s="3"/>
      <c r="C1016" s="4"/>
    </row>
    <row r="1017" spans="1:3" x14ac:dyDescent="0.25">
      <c r="A1017" s="2"/>
      <c r="B1017" s="3"/>
      <c r="C1017" s="4"/>
    </row>
    <row r="1018" spans="1:3" x14ac:dyDescent="0.25">
      <c r="A1018" s="2"/>
      <c r="B1018" s="3"/>
      <c r="C1018" s="4"/>
    </row>
    <row r="1019" spans="1:3" x14ac:dyDescent="0.25">
      <c r="A1019" s="2"/>
      <c r="B1019" s="3"/>
      <c r="C1019" s="4"/>
    </row>
    <row r="1020" spans="1:3" x14ac:dyDescent="0.25">
      <c r="A1020" s="2"/>
      <c r="B1020" s="3"/>
      <c r="C1020" s="4"/>
    </row>
    <row r="1021" spans="1:3" x14ac:dyDescent="0.25">
      <c r="A1021" s="2"/>
      <c r="B1021" s="3"/>
      <c r="C1021" s="4"/>
    </row>
    <row r="1022" spans="1:3" x14ac:dyDescent="0.25">
      <c r="A1022" s="2"/>
      <c r="B1022" s="3"/>
      <c r="C1022" s="4"/>
    </row>
    <row r="1023" spans="1:3" x14ac:dyDescent="0.25">
      <c r="A1023" s="2"/>
      <c r="B1023" s="3"/>
      <c r="C1023" s="4"/>
    </row>
    <row r="1024" spans="1:3" x14ac:dyDescent="0.25">
      <c r="A1024" s="2"/>
      <c r="B1024" s="3"/>
      <c r="C1024" s="4"/>
    </row>
    <row r="1025" spans="1:3" x14ac:dyDescent="0.25">
      <c r="A1025" s="2"/>
      <c r="B1025" s="3"/>
      <c r="C1025" s="4"/>
    </row>
    <row r="1026" spans="1:3" x14ac:dyDescent="0.25">
      <c r="A1026" s="2"/>
      <c r="B1026" s="3"/>
      <c r="C1026" s="4"/>
    </row>
    <row r="1027" spans="1:3" x14ac:dyDescent="0.25">
      <c r="A1027" s="2"/>
      <c r="B1027" s="3"/>
      <c r="C1027" s="4"/>
    </row>
    <row r="1028" spans="1:3" x14ac:dyDescent="0.25">
      <c r="A1028" s="2"/>
      <c r="B1028" s="3"/>
      <c r="C1028" s="4"/>
    </row>
    <row r="1029" spans="1:3" x14ac:dyDescent="0.25">
      <c r="A1029" s="2"/>
      <c r="B1029" s="3"/>
      <c r="C1029" s="4"/>
    </row>
    <row r="1030" spans="1:3" x14ac:dyDescent="0.25">
      <c r="A1030" s="2"/>
      <c r="B1030" s="3"/>
      <c r="C1030" s="4"/>
    </row>
    <row r="1031" spans="1:3" x14ac:dyDescent="0.25">
      <c r="A1031" s="2"/>
      <c r="B1031" s="3"/>
      <c r="C1031" s="4"/>
    </row>
    <row r="1032" spans="1:3" x14ac:dyDescent="0.25">
      <c r="A1032" s="2"/>
      <c r="B1032" s="3"/>
      <c r="C1032" s="4"/>
    </row>
    <row r="1033" spans="1:3" x14ac:dyDescent="0.25">
      <c r="A1033" s="2"/>
      <c r="B1033" s="3"/>
      <c r="C1033" s="4"/>
    </row>
    <row r="1034" spans="1:3" x14ac:dyDescent="0.25">
      <c r="A1034" s="2"/>
      <c r="B1034" s="3"/>
      <c r="C1034" s="4"/>
    </row>
    <row r="1035" spans="1:3" x14ac:dyDescent="0.25">
      <c r="A1035" s="2"/>
      <c r="B1035" s="3"/>
      <c r="C1035" s="4"/>
    </row>
    <row r="1036" spans="1:3" x14ac:dyDescent="0.25">
      <c r="A1036" s="2"/>
      <c r="B1036" s="3"/>
      <c r="C1036" s="4"/>
    </row>
    <row r="1037" spans="1:3" x14ac:dyDescent="0.25">
      <c r="A1037" s="2"/>
      <c r="B1037" s="3"/>
      <c r="C1037" s="4"/>
    </row>
    <row r="1038" spans="1:3" x14ac:dyDescent="0.25">
      <c r="A1038" s="2"/>
      <c r="B1038" s="3"/>
      <c r="C1038" s="4"/>
    </row>
    <row r="1039" spans="1:3" x14ac:dyDescent="0.25">
      <c r="A1039" s="2"/>
      <c r="B1039" s="3"/>
      <c r="C1039" s="4"/>
    </row>
    <row r="1040" spans="1:3" x14ac:dyDescent="0.25">
      <c r="A1040" s="2"/>
      <c r="B1040" s="3"/>
      <c r="C1040" s="4"/>
    </row>
    <row r="1041" spans="1:3" x14ac:dyDescent="0.25">
      <c r="A1041" s="2"/>
      <c r="B1041" s="3"/>
      <c r="C1041" s="4"/>
    </row>
    <row r="1042" spans="1:3" x14ac:dyDescent="0.25">
      <c r="A1042" s="2"/>
      <c r="B1042" s="3"/>
      <c r="C1042" s="4"/>
    </row>
    <row r="1043" spans="1:3" x14ac:dyDescent="0.25">
      <c r="A1043" s="2"/>
      <c r="B1043" s="3"/>
      <c r="C1043" s="4"/>
    </row>
    <row r="1044" spans="1:3" x14ac:dyDescent="0.25">
      <c r="A1044" s="2"/>
      <c r="B1044" s="3"/>
      <c r="C1044" s="4"/>
    </row>
    <row r="1045" spans="1:3" x14ac:dyDescent="0.25">
      <c r="A1045" s="2"/>
      <c r="B1045" s="3"/>
      <c r="C1045" s="4"/>
    </row>
    <row r="1046" spans="1:3" x14ac:dyDescent="0.25">
      <c r="A1046" s="2"/>
      <c r="B1046" s="3"/>
      <c r="C1046" s="4"/>
    </row>
    <row r="1047" spans="1:3" x14ac:dyDescent="0.25">
      <c r="A1047" s="2"/>
      <c r="B1047" s="3"/>
      <c r="C1047" s="4"/>
    </row>
    <row r="1048" spans="1:3" x14ac:dyDescent="0.25">
      <c r="A1048" s="2"/>
      <c r="B1048" s="3"/>
      <c r="C1048" s="4"/>
    </row>
    <row r="1049" spans="1:3" x14ac:dyDescent="0.25">
      <c r="A1049" s="2"/>
      <c r="B1049" s="3"/>
      <c r="C1049" s="4"/>
    </row>
    <row r="1050" spans="1:3" x14ac:dyDescent="0.25">
      <c r="A1050" s="2"/>
      <c r="B1050" s="3"/>
      <c r="C1050" s="4"/>
    </row>
    <row r="1051" spans="1:3" x14ac:dyDescent="0.25">
      <c r="A1051" s="2"/>
      <c r="B1051" s="3"/>
      <c r="C1051" s="4"/>
    </row>
    <row r="1052" spans="1:3" x14ac:dyDescent="0.25">
      <c r="A1052" s="2"/>
      <c r="B1052" s="3"/>
      <c r="C1052" s="4"/>
    </row>
    <row r="1053" spans="1:3" x14ac:dyDescent="0.25">
      <c r="A1053" s="2"/>
      <c r="B1053" s="3"/>
      <c r="C1053" s="4"/>
    </row>
    <row r="1054" spans="1:3" x14ac:dyDescent="0.25">
      <c r="A1054" s="2"/>
      <c r="B1054" s="3"/>
      <c r="C1054" s="4"/>
    </row>
    <row r="1055" spans="1:3" x14ac:dyDescent="0.25">
      <c r="A1055" s="2"/>
      <c r="B1055" s="3"/>
      <c r="C1055" s="4"/>
    </row>
    <row r="1056" spans="1:3" x14ac:dyDescent="0.25">
      <c r="A1056" s="2"/>
      <c r="B1056" s="3"/>
      <c r="C1056" s="4"/>
    </row>
    <row r="1057" spans="1:3" x14ac:dyDescent="0.25">
      <c r="A1057" s="2"/>
      <c r="B1057" s="3"/>
      <c r="C1057" s="4"/>
    </row>
    <row r="1058" spans="1:3" x14ac:dyDescent="0.25">
      <c r="A1058" s="2"/>
      <c r="B1058" s="3"/>
      <c r="C1058" s="4"/>
    </row>
    <row r="1059" spans="1:3" x14ac:dyDescent="0.25">
      <c r="A1059" s="2"/>
      <c r="B1059" s="3"/>
      <c r="C1059" s="4"/>
    </row>
    <row r="1060" spans="1:3" x14ac:dyDescent="0.25">
      <c r="A1060" s="2"/>
      <c r="B1060" s="3"/>
      <c r="C1060" s="4"/>
    </row>
    <row r="1061" spans="1:3" x14ac:dyDescent="0.25">
      <c r="A1061" s="2"/>
      <c r="B1061" s="3"/>
      <c r="C1061" s="4"/>
    </row>
    <row r="1062" spans="1:3" x14ac:dyDescent="0.25">
      <c r="A1062" s="2"/>
      <c r="B1062" s="3"/>
      <c r="C1062" s="4"/>
    </row>
    <row r="1063" spans="1:3" x14ac:dyDescent="0.25">
      <c r="A1063" s="2"/>
      <c r="B1063" s="3"/>
      <c r="C1063" s="4"/>
    </row>
    <row r="1064" spans="1:3" x14ac:dyDescent="0.25">
      <c r="A1064" s="2"/>
      <c r="B1064" s="3"/>
      <c r="C1064" s="4"/>
    </row>
    <row r="1065" spans="1:3" x14ac:dyDescent="0.25">
      <c r="A1065" s="2"/>
      <c r="B1065" s="3"/>
      <c r="C1065" s="4"/>
    </row>
    <row r="1066" spans="1:3" x14ac:dyDescent="0.25">
      <c r="A1066" s="2"/>
      <c r="B1066" s="3"/>
      <c r="C1066" s="4"/>
    </row>
    <row r="1067" spans="1:3" x14ac:dyDescent="0.25">
      <c r="A1067" s="2"/>
      <c r="B1067" s="3"/>
      <c r="C1067" s="4"/>
    </row>
    <row r="1068" spans="1:3" x14ac:dyDescent="0.25">
      <c r="A1068" s="2"/>
      <c r="B1068" s="3"/>
      <c r="C1068" s="4"/>
    </row>
    <row r="1069" spans="1:3" x14ac:dyDescent="0.25">
      <c r="A1069" s="2"/>
      <c r="B1069" s="3"/>
      <c r="C1069" s="4"/>
    </row>
    <row r="1070" spans="1:3" x14ac:dyDescent="0.25">
      <c r="A1070" s="2"/>
      <c r="B1070" s="3"/>
      <c r="C1070" s="4"/>
    </row>
    <row r="1071" spans="1:3" x14ac:dyDescent="0.25">
      <c r="A1071" s="2"/>
      <c r="B1071" s="3"/>
      <c r="C1071" s="4"/>
    </row>
    <row r="1072" spans="1:3" x14ac:dyDescent="0.25">
      <c r="A1072" s="2"/>
      <c r="B1072" s="3"/>
      <c r="C1072" s="4"/>
    </row>
    <row r="1073" spans="1:3" x14ac:dyDescent="0.25">
      <c r="A1073" s="2"/>
      <c r="B1073" s="3"/>
      <c r="C1073" s="4"/>
    </row>
    <row r="1074" spans="1:3" x14ac:dyDescent="0.25">
      <c r="A1074" s="2"/>
      <c r="B1074" s="3"/>
      <c r="C1074" s="4"/>
    </row>
    <row r="1075" spans="1:3" x14ac:dyDescent="0.25">
      <c r="A1075" s="2"/>
      <c r="B1075" s="3"/>
      <c r="C1075" s="4"/>
    </row>
    <row r="1076" spans="1:3" x14ac:dyDescent="0.25">
      <c r="A1076" s="2"/>
      <c r="B1076" s="3"/>
      <c r="C1076" s="4"/>
    </row>
    <row r="1077" spans="1:3" x14ac:dyDescent="0.25">
      <c r="A1077" s="2"/>
      <c r="B1077" s="3"/>
      <c r="C1077" s="4"/>
    </row>
    <row r="1078" spans="1:3" x14ac:dyDescent="0.25">
      <c r="A1078" s="2"/>
      <c r="B1078" s="3"/>
      <c r="C1078" s="4"/>
    </row>
    <row r="1079" spans="1:3" x14ac:dyDescent="0.25">
      <c r="A1079" s="2"/>
      <c r="B1079" s="3"/>
      <c r="C1079" s="4"/>
    </row>
    <row r="1080" spans="1:3" x14ac:dyDescent="0.25">
      <c r="A1080" s="2"/>
      <c r="B1080" s="3"/>
      <c r="C1080" s="4"/>
    </row>
    <row r="1081" spans="1:3" x14ac:dyDescent="0.25">
      <c r="A1081" s="2"/>
      <c r="B1081" s="3"/>
      <c r="C1081" s="4"/>
    </row>
    <row r="1082" spans="1:3" x14ac:dyDescent="0.25">
      <c r="A1082" s="2"/>
      <c r="B1082" s="3"/>
      <c r="C1082" s="4"/>
    </row>
    <row r="1083" spans="1:3" x14ac:dyDescent="0.25">
      <c r="A1083" s="2"/>
      <c r="B1083" s="3"/>
      <c r="C1083" s="4"/>
    </row>
    <row r="1084" spans="1:3" x14ac:dyDescent="0.25">
      <c r="A1084" s="2"/>
      <c r="B1084" s="3"/>
      <c r="C1084" s="4"/>
    </row>
    <row r="1085" spans="1:3" x14ac:dyDescent="0.25">
      <c r="A1085" s="2"/>
      <c r="B1085" s="3"/>
      <c r="C1085" s="4"/>
    </row>
    <row r="1086" spans="1:3" x14ac:dyDescent="0.25">
      <c r="A1086" s="2"/>
      <c r="B1086" s="3"/>
      <c r="C1086" s="4"/>
    </row>
    <row r="1087" spans="1:3" x14ac:dyDescent="0.25">
      <c r="A1087" s="2"/>
      <c r="B1087" s="3"/>
      <c r="C1087" s="4"/>
    </row>
    <row r="1088" spans="1:3" x14ac:dyDescent="0.25">
      <c r="A1088" s="2"/>
      <c r="B1088" s="3"/>
      <c r="C1088" s="4"/>
    </row>
    <row r="1089" spans="1:3" x14ac:dyDescent="0.25">
      <c r="A1089" s="2"/>
      <c r="B1089" s="3"/>
      <c r="C1089" s="4"/>
    </row>
    <row r="1090" spans="1:3" x14ac:dyDescent="0.25">
      <c r="A1090" s="2"/>
      <c r="B1090" s="3"/>
      <c r="C1090" s="4"/>
    </row>
    <row r="1091" spans="1:3" x14ac:dyDescent="0.25">
      <c r="A1091" s="2"/>
      <c r="B1091" s="3"/>
      <c r="C1091" s="4"/>
    </row>
    <row r="1092" spans="1:3" x14ac:dyDescent="0.25">
      <c r="A1092" s="2"/>
      <c r="B1092" s="3"/>
      <c r="C1092" s="4"/>
    </row>
    <row r="1093" spans="1:3" x14ac:dyDescent="0.25">
      <c r="A1093" s="2"/>
      <c r="B1093" s="3"/>
      <c r="C1093" s="4"/>
    </row>
    <row r="1094" spans="1:3" x14ac:dyDescent="0.25">
      <c r="A1094" s="2"/>
      <c r="B1094" s="3"/>
      <c r="C1094" s="4"/>
    </row>
    <row r="1095" spans="1:3" x14ac:dyDescent="0.25">
      <c r="A1095" s="2"/>
      <c r="B1095" s="3"/>
      <c r="C1095" s="4"/>
    </row>
    <row r="1096" spans="1:3" x14ac:dyDescent="0.25">
      <c r="A1096" s="2"/>
      <c r="B1096" s="3"/>
      <c r="C1096" s="4"/>
    </row>
    <row r="1097" spans="1:3" x14ac:dyDescent="0.25">
      <c r="A1097" s="2"/>
      <c r="B1097" s="3"/>
      <c r="C1097" s="4"/>
    </row>
    <row r="1098" spans="1:3" x14ac:dyDescent="0.25">
      <c r="A1098" s="2"/>
      <c r="B1098" s="3"/>
      <c r="C1098" s="4"/>
    </row>
    <row r="1099" spans="1:3" x14ac:dyDescent="0.25">
      <c r="A1099" s="2"/>
      <c r="B1099" s="3"/>
      <c r="C1099" s="4"/>
    </row>
    <row r="1100" spans="1:3" x14ac:dyDescent="0.25">
      <c r="A1100" s="2"/>
      <c r="B1100" s="3"/>
      <c r="C1100" s="4"/>
    </row>
    <row r="1101" spans="1:3" x14ac:dyDescent="0.25">
      <c r="A1101" s="2"/>
      <c r="B1101" s="3"/>
      <c r="C1101" s="4"/>
    </row>
    <row r="1102" spans="1:3" x14ac:dyDescent="0.25">
      <c r="A1102" s="2"/>
      <c r="B1102" s="3"/>
      <c r="C1102" s="4"/>
    </row>
    <row r="1103" spans="1:3" x14ac:dyDescent="0.25">
      <c r="A1103" s="2"/>
      <c r="B1103" s="3"/>
      <c r="C1103" s="4"/>
    </row>
    <row r="1104" spans="1:3" x14ac:dyDescent="0.25">
      <c r="A1104" s="2"/>
      <c r="B1104" s="3"/>
      <c r="C1104" s="4"/>
    </row>
    <row r="1105" spans="1:3" x14ac:dyDescent="0.25">
      <c r="A1105" s="2"/>
      <c r="B1105" s="3"/>
      <c r="C1105" s="4"/>
    </row>
    <row r="1106" spans="1:3" x14ac:dyDescent="0.25">
      <c r="A1106" s="2"/>
      <c r="B1106" s="3"/>
      <c r="C1106" s="4"/>
    </row>
    <row r="1107" spans="1:3" x14ac:dyDescent="0.25">
      <c r="A1107" s="2"/>
      <c r="B1107" s="3"/>
      <c r="C1107" s="4"/>
    </row>
    <row r="1108" spans="1:3" x14ac:dyDescent="0.25">
      <c r="A1108" s="2"/>
      <c r="B1108" s="3"/>
      <c r="C1108" s="4"/>
    </row>
    <row r="1109" spans="1:3" x14ac:dyDescent="0.25">
      <c r="A1109" s="2"/>
      <c r="B1109" s="3"/>
      <c r="C1109" s="4"/>
    </row>
    <row r="1110" spans="1:3" x14ac:dyDescent="0.25">
      <c r="A1110" s="2"/>
      <c r="B1110" s="3"/>
      <c r="C1110" s="4"/>
    </row>
    <row r="1111" spans="1:3" x14ac:dyDescent="0.25">
      <c r="A1111" s="2"/>
      <c r="B1111" s="3"/>
      <c r="C1111" s="4"/>
    </row>
    <row r="1112" spans="1:3" x14ac:dyDescent="0.25">
      <c r="A1112" s="2"/>
      <c r="B1112" s="3"/>
      <c r="C1112" s="4"/>
    </row>
    <row r="1113" spans="1:3" x14ac:dyDescent="0.25">
      <c r="A1113" s="2"/>
      <c r="B1113" s="3"/>
      <c r="C1113" s="4"/>
    </row>
    <row r="1114" spans="1:3" x14ac:dyDescent="0.25">
      <c r="A1114" s="2"/>
      <c r="B1114" s="3"/>
      <c r="C1114" s="4"/>
    </row>
    <row r="1115" spans="1:3" x14ac:dyDescent="0.25">
      <c r="A1115" s="2"/>
      <c r="B1115" s="3"/>
      <c r="C1115" s="4"/>
    </row>
    <row r="1116" spans="1:3" x14ac:dyDescent="0.25">
      <c r="A1116" s="2"/>
      <c r="B1116" s="3"/>
      <c r="C1116" s="4"/>
    </row>
    <row r="1117" spans="1:3" x14ac:dyDescent="0.25">
      <c r="A1117" s="2"/>
      <c r="B1117" s="3"/>
      <c r="C1117" s="4"/>
    </row>
    <row r="1118" spans="1:3" x14ac:dyDescent="0.25">
      <c r="A1118" s="2"/>
      <c r="B1118" s="3"/>
      <c r="C1118" s="4"/>
    </row>
    <row r="1119" spans="1:3" x14ac:dyDescent="0.25">
      <c r="A1119" s="2"/>
      <c r="B1119" s="3"/>
      <c r="C1119" s="4"/>
    </row>
    <row r="1120" spans="1:3" x14ac:dyDescent="0.25">
      <c r="A1120" s="2"/>
      <c r="B1120" s="3"/>
      <c r="C1120" s="4"/>
    </row>
    <row r="1121" spans="1:3" x14ac:dyDescent="0.25">
      <c r="A1121" s="2"/>
      <c r="B1121" s="3"/>
      <c r="C1121" s="4"/>
    </row>
    <row r="1122" spans="1:3" x14ac:dyDescent="0.25">
      <c r="A1122" s="2"/>
      <c r="B1122" s="3"/>
      <c r="C1122" s="4"/>
    </row>
    <row r="1123" spans="1:3" x14ac:dyDescent="0.25">
      <c r="A1123" s="2"/>
      <c r="B1123" s="3"/>
      <c r="C1123" s="4"/>
    </row>
    <row r="1124" spans="1:3" x14ac:dyDescent="0.25">
      <c r="A1124" s="2"/>
      <c r="B1124" s="3"/>
      <c r="C1124" s="4"/>
    </row>
    <row r="1125" spans="1:3" x14ac:dyDescent="0.25">
      <c r="A1125" s="2"/>
      <c r="B1125" s="3"/>
      <c r="C1125" s="4"/>
    </row>
    <row r="1126" spans="1:3" x14ac:dyDescent="0.25">
      <c r="A1126" s="2"/>
      <c r="B1126" s="3"/>
      <c r="C1126" s="4"/>
    </row>
    <row r="1127" spans="1:3" x14ac:dyDescent="0.25">
      <c r="A1127" s="2"/>
      <c r="B1127" s="3"/>
      <c r="C1127" s="4"/>
    </row>
    <row r="1128" spans="1:3" x14ac:dyDescent="0.25">
      <c r="A1128" s="2"/>
      <c r="B1128" s="3"/>
      <c r="C1128" s="4"/>
    </row>
    <row r="1129" spans="1:3" x14ac:dyDescent="0.25">
      <c r="A1129" s="2"/>
      <c r="B1129" s="3"/>
      <c r="C1129" s="4"/>
    </row>
    <row r="1130" spans="1:3" x14ac:dyDescent="0.25">
      <c r="A1130" s="2"/>
      <c r="B1130" s="3"/>
      <c r="C1130" s="4"/>
    </row>
    <row r="1131" spans="1:3" x14ac:dyDescent="0.25">
      <c r="A1131" s="2"/>
      <c r="B1131" s="3"/>
      <c r="C1131" s="4"/>
    </row>
    <row r="1132" spans="1:3" x14ac:dyDescent="0.25">
      <c r="A1132" s="2"/>
      <c r="B1132" s="3"/>
      <c r="C1132" s="4"/>
    </row>
    <row r="1133" spans="1:3" x14ac:dyDescent="0.25">
      <c r="A1133" s="2"/>
      <c r="B1133" s="3"/>
      <c r="C1133" s="4"/>
    </row>
    <row r="1134" spans="1:3" x14ac:dyDescent="0.25">
      <c r="A1134" s="2"/>
      <c r="B1134" s="3"/>
      <c r="C1134" s="4"/>
    </row>
    <row r="1135" spans="1:3" x14ac:dyDescent="0.25">
      <c r="A1135" s="2"/>
      <c r="B1135" s="3"/>
      <c r="C1135" s="4"/>
    </row>
    <row r="1136" spans="1:3" x14ac:dyDescent="0.25">
      <c r="A1136" s="2"/>
      <c r="B1136" s="3"/>
      <c r="C1136" s="4"/>
    </row>
    <row r="1137" spans="1:3" x14ac:dyDescent="0.25">
      <c r="A1137" s="2"/>
      <c r="B1137" s="3"/>
      <c r="C1137" s="4"/>
    </row>
    <row r="1138" spans="1:3" x14ac:dyDescent="0.25">
      <c r="A1138" s="2"/>
      <c r="B1138" s="3"/>
      <c r="C1138" s="4"/>
    </row>
    <row r="1139" spans="1:3" x14ac:dyDescent="0.25">
      <c r="A1139" s="2"/>
      <c r="B1139" s="3"/>
      <c r="C1139" s="4"/>
    </row>
    <row r="1140" spans="1:3" x14ac:dyDescent="0.25">
      <c r="A1140" s="2"/>
      <c r="B1140" s="3"/>
      <c r="C1140" s="4"/>
    </row>
    <row r="1141" spans="1:3" x14ac:dyDescent="0.25">
      <c r="A1141" s="2"/>
      <c r="B1141" s="3"/>
      <c r="C1141" s="4"/>
    </row>
    <row r="1142" spans="1:3" x14ac:dyDescent="0.25">
      <c r="A1142" s="2"/>
      <c r="B1142" s="3"/>
      <c r="C1142" s="4"/>
    </row>
    <row r="1143" spans="1:3" x14ac:dyDescent="0.25">
      <c r="A1143" s="2"/>
      <c r="B1143" s="3"/>
      <c r="C1143" s="4"/>
    </row>
    <row r="1144" spans="1:3" x14ac:dyDescent="0.25">
      <c r="A1144" s="2"/>
      <c r="B1144" s="3"/>
      <c r="C1144" s="4"/>
    </row>
    <row r="1145" spans="1:3" x14ac:dyDescent="0.25">
      <c r="A1145" s="2"/>
      <c r="B1145" s="3"/>
      <c r="C1145" s="4"/>
    </row>
    <row r="1146" spans="1:3" x14ac:dyDescent="0.25">
      <c r="A1146" s="2"/>
      <c r="B1146" s="3"/>
      <c r="C1146" s="4"/>
    </row>
    <row r="1147" spans="1:3" x14ac:dyDescent="0.25">
      <c r="A1147" s="2"/>
      <c r="B1147" s="3"/>
      <c r="C1147" s="4"/>
    </row>
    <row r="1148" spans="1:3" x14ac:dyDescent="0.25">
      <c r="A1148" s="2"/>
      <c r="B1148" s="3"/>
      <c r="C1148" s="4"/>
    </row>
    <row r="1149" spans="1:3" x14ac:dyDescent="0.25">
      <c r="A1149" s="2"/>
      <c r="B1149" s="3"/>
      <c r="C1149" s="4"/>
    </row>
    <row r="1150" spans="1:3" x14ac:dyDescent="0.25">
      <c r="A1150" s="2"/>
      <c r="B1150" s="3"/>
      <c r="C1150" s="4"/>
    </row>
    <row r="1151" spans="1:3" x14ac:dyDescent="0.25">
      <c r="A1151" s="2"/>
      <c r="B1151" s="3"/>
      <c r="C1151" s="4"/>
    </row>
    <row r="1152" spans="1:3" x14ac:dyDescent="0.25">
      <c r="A1152" s="2"/>
      <c r="B1152" s="3"/>
      <c r="C1152" s="4"/>
    </row>
    <row r="1153" spans="1:3" x14ac:dyDescent="0.25">
      <c r="A1153" s="2"/>
      <c r="B1153" s="3"/>
      <c r="C1153" s="4"/>
    </row>
    <row r="1154" spans="1:3" x14ac:dyDescent="0.25">
      <c r="A1154" s="2"/>
      <c r="B1154" s="3"/>
      <c r="C1154" s="4"/>
    </row>
    <row r="1155" spans="1:3" x14ac:dyDescent="0.25">
      <c r="A1155" s="2"/>
      <c r="B1155" s="3"/>
      <c r="C1155" s="4"/>
    </row>
    <row r="1156" spans="1:3" x14ac:dyDescent="0.25">
      <c r="A1156" s="2"/>
      <c r="B1156" s="3"/>
      <c r="C1156" s="4"/>
    </row>
    <row r="1157" spans="1:3" x14ac:dyDescent="0.25">
      <c r="A1157" s="2"/>
      <c r="B1157" s="3"/>
      <c r="C1157" s="4"/>
    </row>
    <row r="1158" spans="1:3" x14ac:dyDescent="0.25">
      <c r="A1158" s="2"/>
      <c r="B1158" s="3"/>
      <c r="C1158" s="4"/>
    </row>
    <row r="1159" spans="1:3" x14ac:dyDescent="0.25">
      <c r="A1159" s="2"/>
      <c r="B1159" s="3"/>
      <c r="C1159" s="4"/>
    </row>
    <row r="1160" spans="1:3" x14ac:dyDescent="0.25">
      <c r="A1160" s="2"/>
      <c r="B1160" s="3"/>
      <c r="C1160" s="4"/>
    </row>
    <row r="1161" spans="1:3" x14ac:dyDescent="0.25">
      <c r="A1161" s="2"/>
      <c r="B1161" s="3"/>
      <c r="C1161" s="4"/>
    </row>
    <row r="1162" spans="1:3" x14ac:dyDescent="0.25">
      <c r="A1162" s="2"/>
      <c r="B1162" s="3"/>
      <c r="C1162" s="4"/>
    </row>
    <row r="1163" spans="1:3" x14ac:dyDescent="0.25">
      <c r="A1163" s="2"/>
      <c r="B1163" s="3"/>
      <c r="C1163" s="4"/>
    </row>
    <row r="1164" spans="1:3" x14ac:dyDescent="0.25">
      <c r="A1164" s="2"/>
      <c r="B1164" s="3"/>
      <c r="C1164" s="4"/>
    </row>
    <row r="1165" spans="1:3" x14ac:dyDescent="0.25">
      <c r="A1165" s="2"/>
      <c r="B1165" s="3"/>
      <c r="C1165" s="4"/>
    </row>
    <row r="1166" spans="1:3" x14ac:dyDescent="0.25">
      <c r="A1166" s="2"/>
      <c r="B1166" s="3"/>
      <c r="C1166" s="4"/>
    </row>
    <row r="1167" spans="1:3" x14ac:dyDescent="0.25">
      <c r="A1167" s="2"/>
      <c r="B1167" s="3"/>
      <c r="C1167" s="4"/>
    </row>
    <row r="1168" spans="1:3" x14ac:dyDescent="0.25">
      <c r="A1168" s="2"/>
      <c r="B1168" s="3"/>
      <c r="C1168" s="4"/>
    </row>
    <row r="1169" spans="1:3" x14ac:dyDescent="0.25">
      <c r="A1169" s="2"/>
      <c r="B1169" s="3"/>
      <c r="C1169" s="4"/>
    </row>
    <row r="1170" spans="1:3" x14ac:dyDescent="0.25">
      <c r="A1170" s="2"/>
      <c r="B1170" s="3"/>
      <c r="C1170" s="4"/>
    </row>
    <row r="1171" spans="1:3" x14ac:dyDescent="0.25">
      <c r="A1171" s="2"/>
      <c r="B1171" s="3"/>
      <c r="C1171" s="4"/>
    </row>
    <row r="1172" spans="1:3" x14ac:dyDescent="0.25">
      <c r="A1172" s="2"/>
      <c r="B1172" s="3"/>
      <c r="C1172" s="4"/>
    </row>
    <row r="1173" spans="1:3" x14ac:dyDescent="0.25">
      <c r="A1173" s="2"/>
      <c r="B1173" s="3"/>
      <c r="C1173" s="4"/>
    </row>
    <row r="1174" spans="1:3" x14ac:dyDescent="0.25">
      <c r="A1174" s="2"/>
      <c r="B1174" s="3"/>
      <c r="C1174" s="4"/>
    </row>
    <row r="1175" spans="1:3" x14ac:dyDescent="0.25">
      <c r="A1175" s="2"/>
      <c r="B1175" s="3"/>
      <c r="C1175" s="4"/>
    </row>
    <row r="1176" spans="1:3" x14ac:dyDescent="0.25">
      <c r="A1176" s="2"/>
      <c r="B1176" s="3"/>
      <c r="C1176" s="4"/>
    </row>
    <row r="1177" spans="1:3" x14ac:dyDescent="0.25">
      <c r="A1177" s="2"/>
      <c r="B1177" s="3"/>
      <c r="C1177" s="4"/>
    </row>
    <row r="1178" spans="1:3" x14ac:dyDescent="0.25">
      <c r="A1178" s="2"/>
      <c r="B1178" s="3"/>
      <c r="C1178" s="4"/>
    </row>
    <row r="1179" spans="1:3" x14ac:dyDescent="0.25">
      <c r="A1179" s="2"/>
      <c r="B1179" s="3"/>
      <c r="C1179" s="4"/>
    </row>
    <row r="1180" spans="1:3" x14ac:dyDescent="0.25">
      <c r="A1180" s="2"/>
      <c r="B1180" s="3"/>
      <c r="C1180" s="4"/>
    </row>
    <row r="1181" spans="1:3" x14ac:dyDescent="0.25">
      <c r="A1181" s="2"/>
      <c r="B1181" s="3"/>
      <c r="C1181" s="4"/>
    </row>
    <row r="1182" spans="1:3" x14ac:dyDescent="0.25">
      <c r="A1182" s="2"/>
      <c r="B1182" s="3"/>
      <c r="C1182" s="4"/>
    </row>
    <row r="1183" spans="1:3" x14ac:dyDescent="0.25">
      <c r="A1183" s="2"/>
      <c r="B1183" s="3"/>
      <c r="C1183" s="4"/>
    </row>
    <row r="1184" spans="1:3" x14ac:dyDescent="0.25">
      <c r="A1184" s="2"/>
      <c r="B1184" s="3"/>
      <c r="C1184" s="4"/>
    </row>
    <row r="1185" spans="1:3" x14ac:dyDescent="0.25">
      <c r="A1185" s="2"/>
      <c r="B1185" s="3"/>
      <c r="C1185" s="4"/>
    </row>
    <row r="1186" spans="1:3" x14ac:dyDescent="0.25">
      <c r="A1186" s="2"/>
      <c r="B1186" s="3"/>
      <c r="C1186" s="4"/>
    </row>
    <row r="1187" spans="1:3" x14ac:dyDescent="0.25">
      <c r="A1187" s="2"/>
      <c r="B1187" s="3"/>
      <c r="C1187" s="4"/>
    </row>
    <row r="1188" spans="1:3" x14ac:dyDescent="0.25">
      <c r="A1188" s="2"/>
      <c r="B1188" s="3"/>
      <c r="C1188" s="4"/>
    </row>
    <row r="1189" spans="1:3" x14ac:dyDescent="0.25">
      <c r="A1189" s="2"/>
      <c r="B1189" s="3"/>
      <c r="C1189" s="4"/>
    </row>
    <row r="1190" spans="1:3" x14ac:dyDescent="0.25">
      <c r="A1190" s="2"/>
      <c r="B1190" s="3"/>
      <c r="C1190" s="4"/>
    </row>
    <row r="1191" spans="1:3" x14ac:dyDescent="0.25">
      <c r="A1191" s="2"/>
      <c r="B1191" s="3"/>
      <c r="C1191" s="4"/>
    </row>
    <row r="1192" spans="1:3" x14ac:dyDescent="0.25">
      <c r="A1192" s="2"/>
      <c r="B1192" s="3"/>
      <c r="C1192" s="4"/>
    </row>
    <row r="1193" spans="1:3" x14ac:dyDescent="0.25">
      <c r="A1193" s="2"/>
      <c r="B1193" s="3"/>
      <c r="C1193" s="4"/>
    </row>
    <row r="1194" spans="1:3" x14ac:dyDescent="0.25">
      <c r="A1194" s="2"/>
      <c r="B1194" s="3"/>
      <c r="C1194" s="4"/>
    </row>
    <row r="1195" spans="1:3" x14ac:dyDescent="0.25">
      <c r="A1195" s="2"/>
      <c r="B1195" s="3"/>
      <c r="C1195" s="4"/>
    </row>
    <row r="1196" spans="1:3" x14ac:dyDescent="0.25">
      <c r="A1196" s="2"/>
      <c r="B1196" s="3"/>
      <c r="C1196" s="4"/>
    </row>
    <row r="1197" spans="1:3" x14ac:dyDescent="0.25">
      <c r="A1197" s="2"/>
      <c r="B1197" s="3"/>
      <c r="C1197" s="4"/>
    </row>
    <row r="1198" spans="1:3" x14ac:dyDescent="0.25">
      <c r="A1198" s="2"/>
      <c r="B1198" s="3"/>
      <c r="C1198" s="4"/>
    </row>
    <row r="1199" spans="1:3" x14ac:dyDescent="0.25">
      <c r="A1199" s="2"/>
      <c r="B1199" s="3"/>
      <c r="C1199" s="4"/>
    </row>
    <row r="1200" spans="1:3" x14ac:dyDescent="0.25">
      <c r="A1200" s="2"/>
      <c r="B1200" s="3"/>
      <c r="C1200" s="4"/>
    </row>
    <row r="1201" spans="1:3" x14ac:dyDescent="0.25">
      <c r="A1201" s="2"/>
      <c r="B1201" s="3"/>
      <c r="C1201" s="4"/>
    </row>
    <row r="1202" spans="1:3" x14ac:dyDescent="0.25">
      <c r="A1202" s="2"/>
      <c r="B1202" s="3"/>
      <c r="C1202" s="4"/>
    </row>
    <row r="1203" spans="1:3" x14ac:dyDescent="0.25">
      <c r="A1203" s="2"/>
      <c r="B1203" s="3"/>
      <c r="C1203" s="4"/>
    </row>
    <row r="1204" spans="1:3" x14ac:dyDescent="0.25">
      <c r="A1204" s="2"/>
      <c r="B1204" s="3"/>
      <c r="C1204" s="4"/>
    </row>
    <row r="1205" spans="1:3" x14ac:dyDescent="0.25">
      <c r="A1205" s="2"/>
      <c r="B1205" s="3"/>
      <c r="C1205" s="4"/>
    </row>
    <row r="1206" spans="1:3" x14ac:dyDescent="0.25">
      <c r="A1206" s="2"/>
      <c r="B1206" s="3"/>
      <c r="C1206" s="4"/>
    </row>
    <row r="1207" spans="1:3" x14ac:dyDescent="0.25">
      <c r="A1207" s="2"/>
      <c r="B1207" s="3"/>
      <c r="C1207" s="4"/>
    </row>
    <row r="1208" spans="1:3" x14ac:dyDescent="0.25">
      <c r="A1208" s="2"/>
      <c r="B1208" s="3"/>
      <c r="C1208" s="4"/>
    </row>
    <row r="1209" spans="1:3" x14ac:dyDescent="0.25">
      <c r="A1209" s="2"/>
      <c r="B1209" s="3"/>
      <c r="C1209" s="4"/>
    </row>
    <row r="1210" spans="1:3" x14ac:dyDescent="0.25">
      <c r="A1210" s="2"/>
      <c r="B1210" s="3"/>
      <c r="C1210" s="4"/>
    </row>
    <row r="1211" spans="1:3" x14ac:dyDescent="0.25">
      <c r="A1211" s="2"/>
      <c r="B1211" s="3"/>
      <c r="C1211" s="4"/>
    </row>
    <row r="1212" spans="1:3" x14ac:dyDescent="0.25">
      <c r="A1212" s="2"/>
      <c r="B1212" s="3"/>
      <c r="C1212" s="4"/>
    </row>
    <row r="1213" spans="1:3" x14ac:dyDescent="0.25">
      <c r="A1213" s="2"/>
      <c r="B1213" s="3"/>
      <c r="C1213" s="4"/>
    </row>
    <row r="1214" spans="1:3" x14ac:dyDescent="0.25">
      <c r="A1214" s="2"/>
      <c r="B1214" s="3"/>
      <c r="C1214" s="4"/>
    </row>
    <row r="1215" spans="1:3" x14ac:dyDescent="0.25">
      <c r="A1215" s="2"/>
      <c r="B1215" s="3"/>
      <c r="C1215" s="4"/>
    </row>
    <row r="1216" spans="1:3" x14ac:dyDescent="0.25">
      <c r="A1216" s="2"/>
      <c r="B1216" s="3"/>
      <c r="C1216" s="4"/>
    </row>
    <row r="1217" spans="1:3" x14ac:dyDescent="0.25">
      <c r="A1217" s="2"/>
      <c r="B1217" s="3"/>
      <c r="C1217" s="4"/>
    </row>
    <row r="1218" spans="1:3" x14ac:dyDescent="0.25">
      <c r="A1218" s="2"/>
      <c r="B1218" s="3"/>
      <c r="C1218" s="4"/>
    </row>
    <row r="1219" spans="1:3" x14ac:dyDescent="0.25">
      <c r="A1219" s="2"/>
      <c r="B1219" s="3"/>
      <c r="C1219" s="4"/>
    </row>
    <row r="1220" spans="1:3" x14ac:dyDescent="0.25">
      <c r="A1220" s="2"/>
      <c r="B1220" s="3"/>
      <c r="C1220" s="4"/>
    </row>
    <row r="1221" spans="1:3" x14ac:dyDescent="0.25">
      <c r="A1221" s="2"/>
      <c r="B1221" s="3"/>
      <c r="C1221" s="4"/>
    </row>
    <row r="1222" spans="1:3" x14ac:dyDescent="0.25">
      <c r="A1222" s="2"/>
      <c r="B1222" s="3"/>
      <c r="C1222" s="4"/>
    </row>
    <row r="1223" spans="1:3" x14ac:dyDescent="0.25">
      <c r="A1223" s="2"/>
      <c r="B1223" s="3"/>
      <c r="C1223" s="4"/>
    </row>
    <row r="1224" spans="1:3" x14ac:dyDescent="0.25">
      <c r="A1224" s="2"/>
      <c r="B1224" s="3"/>
      <c r="C1224" s="4"/>
    </row>
    <row r="1225" spans="1:3" x14ac:dyDescent="0.25">
      <c r="A1225" s="2"/>
      <c r="B1225" s="3"/>
      <c r="C1225" s="4"/>
    </row>
    <row r="1226" spans="1:3" x14ac:dyDescent="0.25">
      <c r="A1226" s="2"/>
      <c r="B1226" s="3"/>
      <c r="C1226" s="4"/>
    </row>
    <row r="1227" spans="1:3" x14ac:dyDescent="0.25">
      <c r="A1227" s="2"/>
      <c r="B1227" s="3"/>
      <c r="C1227" s="4"/>
    </row>
    <row r="1228" spans="1:3" x14ac:dyDescent="0.25">
      <c r="A1228" s="2"/>
      <c r="B1228" s="3"/>
      <c r="C1228" s="4"/>
    </row>
    <row r="1229" spans="1:3" x14ac:dyDescent="0.25">
      <c r="A1229" s="2"/>
      <c r="B1229" s="3"/>
      <c r="C1229" s="4"/>
    </row>
    <row r="1230" spans="1:3" x14ac:dyDescent="0.25">
      <c r="A1230" s="2"/>
      <c r="B1230" s="3"/>
      <c r="C1230" s="4"/>
    </row>
    <row r="1231" spans="1:3" x14ac:dyDescent="0.25">
      <c r="A1231" s="2"/>
      <c r="B1231" s="3"/>
      <c r="C1231" s="4"/>
    </row>
    <row r="1232" spans="1:3" x14ac:dyDescent="0.25">
      <c r="A1232" s="2"/>
      <c r="B1232" s="3"/>
      <c r="C1232" s="4"/>
    </row>
    <row r="1233" spans="1:3" x14ac:dyDescent="0.25">
      <c r="A1233" s="2"/>
      <c r="B1233" s="3"/>
      <c r="C1233" s="4"/>
    </row>
    <row r="1234" spans="1:3" x14ac:dyDescent="0.25">
      <c r="A1234" s="2"/>
      <c r="B1234" s="3"/>
      <c r="C1234" s="4"/>
    </row>
    <row r="1235" spans="1:3" x14ac:dyDescent="0.25">
      <c r="A1235" s="2"/>
      <c r="B1235" s="3"/>
      <c r="C1235" s="4"/>
    </row>
    <row r="1236" spans="1:3" x14ac:dyDescent="0.25">
      <c r="A1236" s="2"/>
      <c r="B1236" s="3"/>
      <c r="C1236" s="4"/>
    </row>
    <row r="1237" spans="1:3" x14ac:dyDescent="0.25">
      <c r="A1237" s="2"/>
      <c r="B1237" s="3"/>
      <c r="C1237" s="4"/>
    </row>
    <row r="1238" spans="1:3" x14ac:dyDescent="0.25">
      <c r="A1238" s="2"/>
      <c r="B1238" s="3"/>
      <c r="C1238" s="4"/>
    </row>
    <row r="1239" spans="1:3" x14ac:dyDescent="0.25">
      <c r="A1239" s="2"/>
      <c r="B1239" s="3"/>
      <c r="C1239" s="4"/>
    </row>
    <row r="1240" spans="1:3" x14ac:dyDescent="0.25">
      <c r="A1240" s="2"/>
      <c r="B1240" s="3"/>
      <c r="C1240" s="4"/>
    </row>
    <row r="1241" spans="1:3" x14ac:dyDescent="0.25">
      <c r="A1241" s="2"/>
      <c r="B1241" s="3"/>
      <c r="C1241" s="4"/>
    </row>
    <row r="1242" spans="1:3" x14ac:dyDescent="0.25">
      <c r="A1242" s="2"/>
      <c r="B1242" s="3"/>
      <c r="C1242" s="4"/>
    </row>
    <row r="1243" spans="1:3" x14ac:dyDescent="0.25">
      <c r="A1243" s="2"/>
      <c r="B1243" s="3"/>
      <c r="C1243" s="4"/>
    </row>
    <row r="1244" spans="1:3" x14ac:dyDescent="0.25">
      <c r="A1244" s="2"/>
      <c r="B1244" s="3"/>
      <c r="C1244" s="4"/>
    </row>
    <row r="1245" spans="1:3" x14ac:dyDescent="0.25">
      <c r="A1245" s="2"/>
      <c r="B1245" s="3"/>
      <c r="C1245" s="4"/>
    </row>
    <row r="1246" spans="1:3" x14ac:dyDescent="0.25">
      <c r="A1246" s="2"/>
      <c r="B1246" s="3"/>
      <c r="C1246" s="4"/>
    </row>
    <row r="1247" spans="1:3" x14ac:dyDescent="0.25">
      <c r="A1247" s="2"/>
      <c r="B1247" s="3"/>
      <c r="C1247" s="4"/>
    </row>
    <row r="1248" spans="1:3" x14ac:dyDescent="0.25">
      <c r="A1248" s="2"/>
      <c r="B1248" s="3"/>
      <c r="C1248" s="4"/>
    </row>
    <row r="1249" spans="1:3" x14ac:dyDescent="0.25">
      <c r="A1249" s="2"/>
      <c r="B1249" s="3"/>
      <c r="C1249" s="4"/>
    </row>
    <row r="1250" spans="1:3" x14ac:dyDescent="0.25">
      <c r="A1250" s="2"/>
      <c r="B1250" s="3"/>
      <c r="C1250" s="4"/>
    </row>
    <row r="1251" spans="1:3" x14ac:dyDescent="0.25">
      <c r="A1251" s="2"/>
      <c r="B1251" s="3"/>
      <c r="C1251" s="4"/>
    </row>
    <row r="1252" spans="1:3" x14ac:dyDescent="0.25">
      <c r="A1252" s="2"/>
      <c r="B1252" s="3"/>
      <c r="C1252" s="4"/>
    </row>
    <row r="1253" spans="1:3" x14ac:dyDescent="0.25">
      <c r="A1253" s="2"/>
      <c r="B1253" s="3"/>
      <c r="C1253" s="4"/>
    </row>
    <row r="1254" spans="1:3" x14ac:dyDescent="0.25">
      <c r="A1254" s="2"/>
      <c r="B1254" s="3"/>
      <c r="C1254" s="4"/>
    </row>
    <row r="1255" spans="1:3" x14ac:dyDescent="0.25">
      <c r="A1255" s="2"/>
      <c r="B1255" s="3"/>
      <c r="C1255" s="4"/>
    </row>
    <row r="1256" spans="1:3" x14ac:dyDescent="0.25">
      <c r="A1256" s="2"/>
      <c r="B1256" s="3"/>
      <c r="C1256" s="4"/>
    </row>
    <row r="1257" spans="1:3" x14ac:dyDescent="0.25">
      <c r="A1257" s="2"/>
      <c r="B1257" s="3"/>
      <c r="C1257" s="4"/>
    </row>
    <row r="1258" spans="1:3" x14ac:dyDescent="0.25">
      <c r="A1258" s="2"/>
      <c r="B1258" s="3"/>
      <c r="C1258" s="4"/>
    </row>
    <row r="1259" spans="1:3" x14ac:dyDescent="0.25">
      <c r="A1259" s="2"/>
      <c r="B1259" s="3"/>
      <c r="C1259" s="4"/>
    </row>
    <row r="1260" spans="1:3" x14ac:dyDescent="0.25">
      <c r="A1260" s="2"/>
      <c r="B1260" s="3"/>
      <c r="C1260" s="4"/>
    </row>
    <row r="1261" spans="1:3" x14ac:dyDescent="0.25">
      <c r="A1261" s="2"/>
      <c r="B1261" s="3"/>
      <c r="C1261" s="4"/>
    </row>
    <row r="1262" spans="1:3" x14ac:dyDescent="0.25">
      <c r="A1262" s="2"/>
      <c r="B1262" s="3"/>
      <c r="C1262" s="4"/>
    </row>
    <row r="1263" spans="1:3" x14ac:dyDescent="0.25">
      <c r="A1263" s="2"/>
      <c r="B1263" s="3"/>
      <c r="C1263" s="4"/>
    </row>
    <row r="1264" spans="1:3" x14ac:dyDescent="0.25">
      <c r="A1264" s="2"/>
      <c r="B1264" s="3"/>
      <c r="C1264" s="4"/>
    </row>
    <row r="1265" spans="1:3" x14ac:dyDescent="0.25">
      <c r="A1265" s="2"/>
      <c r="B1265" s="3"/>
      <c r="C1265" s="4"/>
    </row>
    <row r="1266" spans="1:3" x14ac:dyDescent="0.25">
      <c r="A1266" s="2"/>
      <c r="B1266" s="3"/>
      <c r="C1266" s="4"/>
    </row>
    <row r="1267" spans="1:3" x14ac:dyDescent="0.25">
      <c r="A1267" s="2"/>
      <c r="B1267" s="3"/>
      <c r="C1267" s="4"/>
    </row>
    <row r="1268" spans="1:3" x14ac:dyDescent="0.25">
      <c r="A1268" s="2"/>
      <c r="B1268" s="3"/>
      <c r="C1268" s="4"/>
    </row>
    <row r="1269" spans="1:3" x14ac:dyDescent="0.25">
      <c r="A1269" s="2"/>
      <c r="B1269" s="3"/>
      <c r="C1269" s="4"/>
    </row>
    <row r="1270" spans="1:3" x14ac:dyDescent="0.25">
      <c r="A1270" s="2"/>
      <c r="B1270" s="3"/>
      <c r="C1270" s="4"/>
    </row>
    <row r="1271" spans="1:3" x14ac:dyDescent="0.25">
      <c r="A1271" s="2"/>
      <c r="B1271" s="3"/>
      <c r="C1271" s="4"/>
    </row>
    <row r="1272" spans="1:3" x14ac:dyDescent="0.25">
      <c r="A1272" s="2"/>
      <c r="B1272" s="3"/>
      <c r="C1272" s="4"/>
    </row>
    <row r="1273" spans="1:3" x14ac:dyDescent="0.25">
      <c r="A1273" s="2"/>
      <c r="B1273" s="3"/>
      <c r="C1273" s="4"/>
    </row>
    <row r="1274" spans="1:3" x14ac:dyDescent="0.25">
      <c r="A1274" s="2"/>
      <c r="B1274" s="3"/>
      <c r="C1274" s="4"/>
    </row>
    <row r="1275" spans="1:3" x14ac:dyDescent="0.25">
      <c r="A1275" s="2"/>
      <c r="B1275" s="3"/>
      <c r="C1275" s="4"/>
    </row>
    <row r="1276" spans="1:3" x14ac:dyDescent="0.25">
      <c r="A1276" s="2"/>
      <c r="B1276" s="3"/>
      <c r="C1276" s="4"/>
    </row>
    <row r="1277" spans="1:3" x14ac:dyDescent="0.25">
      <c r="A1277" s="2"/>
      <c r="B1277" s="3"/>
      <c r="C1277" s="4"/>
    </row>
    <row r="1278" spans="1:3" x14ac:dyDescent="0.25">
      <c r="A1278" s="2"/>
      <c r="B1278" s="3"/>
      <c r="C1278" s="4"/>
    </row>
    <row r="1279" spans="1:3" x14ac:dyDescent="0.25">
      <c r="A1279" s="2"/>
      <c r="B1279" s="3"/>
      <c r="C1279" s="4"/>
    </row>
    <row r="1280" spans="1:3" x14ac:dyDescent="0.25">
      <c r="A1280" s="2"/>
      <c r="B1280" s="3"/>
      <c r="C1280" s="4"/>
    </row>
    <row r="1281" spans="1:3" x14ac:dyDescent="0.25">
      <c r="A1281" s="2"/>
      <c r="B1281" s="3"/>
      <c r="C1281" s="4"/>
    </row>
    <row r="1282" spans="1:3" x14ac:dyDescent="0.25">
      <c r="A1282" s="2"/>
      <c r="B1282" s="3"/>
      <c r="C1282" s="4"/>
    </row>
    <row r="1283" spans="1:3" x14ac:dyDescent="0.25">
      <c r="A1283" s="2"/>
      <c r="B1283" s="3"/>
      <c r="C1283" s="4"/>
    </row>
    <row r="1284" spans="1:3" x14ac:dyDescent="0.25">
      <c r="A1284" s="2"/>
      <c r="B1284" s="3"/>
      <c r="C1284" s="4"/>
    </row>
    <row r="1285" spans="1:3" x14ac:dyDescent="0.25">
      <c r="A1285" s="2"/>
      <c r="B1285" s="3"/>
      <c r="C1285" s="4"/>
    </row>
    <row r="1286" spans="1:3" x14ac:dyDescent="0.25">
      <c r="A1286" s="2"/>
      <c r="B1286" s="3"/>
      <c r="C1286" s="4"/>
    </row>
    <row r="1287" spans="1:3" x14ac:dyDescent="0.25">
      <c r="A1287" s="2"/>
      <c r="B1287" s="3"/>
      <c r="C1287" s="4"/>
    </row>
    <row r="1288" spans="1:3" x14ac:dyDescent="0.25">
      <c r="A1288" s="2"/>
      <c r="B1288" s="3"/>
      <c r="C1288" s="4"/>
    </row>
    <row r="1289" spans="1:3" x14ac:dyDescent="0.25">
      <c r="A1289" s="2"/>
      <c r="B1289" s="3"/>
      <c r="C1289" s="4"/>
    </row>
    <row r="1290" spans="1:3" x14ac:dyDescent="0.25">
      <c r="A1290" s="2"/>
      <c r="B1290" s="3"/>
      <c r="C1290" s="4"/>
    </row>
    <row r="1291" spans="1:3" x14ac:dyDescent="0.25">
      <c r="A1291" s="2"/>
      <c r="B1291" s="3"/>
      <c r="C1291" s="4"/>
    </row>
    <row r="1292" spans="1:3" x14ac:dyDescent="0.25">
      <c r="A1292" s="2"/>
      <c r="B1292" s="3"/>
      <c r="C1292" s="4"/>
    </row>
    <row r="1293" spans="1:3" x14ac:dyDescent="0.25">
      <c r="A1293" s="2"/>
      <c r="B1293" s="3"/>
      <c r="C1293" s="4"/>
    </row>
    <row r="1294" spans="1:3" x14ac:dyDescent="0.25">
      <c r="A1294" s="2"/>
      <c r="B1294" s="3"/>
      <c r="C1294" s="4"/>
    </row>
    <row r="1295" spans="1:3" x14ac:dyDescent="0.25">
      <c r="A1295" s="2"/>
      <c r="B1295" s="3"/>
      <c r="C1295" s="4"/>
    </row>
    <row r="1296" spans="1:3" x14ac:dyDescent="0.25">
      <c r="A1296" s="2"/>
      <c r="B1296" s="3"/>
      <c r="C1296" s="4"/>
    </row>
    <row r="1297" spans="1:3" x14ac:dyDescent="0.25">
      <c r="A1297" s="2"/>
      <c r="B1297" s="3"/>
      <c r="C1297" s="4"/>
    </row>
    <row r="1298" spans="1:3" x14ac:dyDescent="0.25">
      <c r="A1298" s="2"/>
      <c r="B1298" s="3"/>
      <c r="C1298" s="4"/>
    </row>
    <row r="1299" spans="1:3" x14ac:dyDescent="0.25">
      <c r="A1299" s="2"/>
      <c r="B1299" s="3"/>
      <c r="C1299" s="4"/>
    </row>
    <row r="1300" spans="1:3" x14ac:dyDescent="0.25">
      <c r="A1300" s="2"/>
      <c r="B1300" s="3"/>
      <c r="C1300" s="4"/>
    </row>
    <row r="1301" spans="1:3" x14ac:dyDescent="0.25">
      <c r="A1301" s="2"/>
      <c r="B1301" s="3"/>
      <c r="C1301" s="4"/>
    </row>
    <row r="1302" spans="1:3" x14ac:dyDescent="0.25">
      <c r="A1302" s="2"/>
      <c r="B1302" s="3"/>
      <c r="C1302" s="4"/>
    </row>
    <row r="1303" spans="1:3" x14ac:dyDescent="0.25">
      <c r="A1303" s="2"/>
      <c r="B1303" s="3"/>
      <c r="C1303" s="4"/>
    </row>
    <row r="1304" spans="1:3" x14ac:dyDescent="0.25">
      <c r="A1304" s="2"/>
      <c r="B1304" s="3"/>
      <c r="C1304" s="4"/>
    </row>
    <row r="1305" spans="1:3" x14ac:dyDescent="0.25">
      <c r="A1305" s="2"/>
      <c r="B1305" s="3"/>
      <c r="C1305" s="4"/>
    </row>
    <row r="1306" spans="1:3" x14ac:dyDescent="0.25">
      <c r="A1306" s="2"/>
      <c r="B1306" s="3"/>
      <c r="C1306" s="4"/>
    </row>
    <row r="1307" spans="1:3" x14ac:dyDescent="0.25">
      <c r="A1307" s="2"/>
      <c r="B1307" s="3"/>
      <c r="C1307" s="4"/>
    </row>
    <row r="1308" spans="1:3" x14ac:dyDescent="0.25">
      <c r="A1308" s="2"/>
      <c r="B1308" s="3"/>
      <c r="C1308" s="4"/>
    </row>
    <row r="1309" spans="1:3" x14ac:dyDescent="0.25">
      <c r="A1309" s="2"/>
      <c r="B1309" s="3"/>
      <c r="C1309" s="4"/>
    </row>
    <row r="1310" spans="1:3" x14ac:dyDescent="0.25">
      <c r="A1310" s="2"/>
      <c r="B1310" s="3"/>
      <c r="C1310" s="4"/>
    </row>
    <row r="1311" spans="1:3" x14ac:dyDescent="0.25">
      <c r="A1311" s="2"/>
      <c r="B1311" s="3"/>
      <c r="C1311" s="4"/>
    </row>
    <row r="1312" spans="1:3" x14ac:dyDescent="0.25">
      <c r="A1312" s="2"/>
      <c r="B1312" s="3"/>
      <c r="C1312" s="4"/>
    </row>
    <row r="1313" spans="1:3" x14ac:dyDescent="0.25">
      <c r="A1313" s="2"/>
      <c r="B1313" s="3"/>
      <c r="C1313" s="4"/>
    </row>
    <row r="1314" spans="1:3" x14ac:dyDescent="0.25">
      <c r="A1314" s="2"/>
      <c r="B1314" s="3"/>
      <c r="C1314" s="4"/>
    </row>
    <row r="1315" spans="1:3" x14ac:dyDescent="0.25">
      <c r="A1315" s="2"/>
      <c r="B1315" s="3"/>
      <c r="C1315" s="4"/>
    </row>
    <row r="1316" spans="1:3" x14ac:dyDescent="0.25">
      <c r="A1316" s="2"/>
      <c r="B1316" s="3"/>
      <c r="C1316" s="4"/>
    </row>
    <row r="1317" spans="1:3" x14ac:dyDescent="0.25">
      <c r="A1317" s="2"/>
      <c r="B1317" s="3"/>
      <c r="C1317" s="4"/>
    </row>
    <row r="1318" spans="1:3" x14ac:dyDescent="0.25">
      <c r="A1318" s="2"/>
      <c r="B1318" s="3"/>
      <c r="C1318" s="4"/>
    </row>
    <row r="1319" spans="1:3" x14ac:dyDescent="0.25">
      <c r="A1319" s="2"/>
      <c r="B1319" s="3"/>
      <c r="C1319" s="4"/>
    </row>
    <row r="1320" spans="1:3" x14ac:dyDescent="0.25">
      <c r="A1320" s="2"/>
      <c r="B1320" s="3"/>
      <c r="C1320" s="4"/>
    </row>
    <row r="1321" spans="1:3" x14ac:dyDescent="0.25">
      <c r="A1321" s="2"/>
      <c r="B1321" s="3"/>
      <c r="C1321" s="4"/>
    </row>
    <row r="1322" spans="1:3" x14ac:dyDescent="0.25">
      <c r="A1322" s="2"/>
      <c r="B1322" s="3"/>
      <c r="C1322" s="4"/>
    </row>
    <row r="1323" spans="1:3" x14ac:dyDescent="0.25">
      <c r="A1323" s="2"/>
      <c r="B1323" s="3"/>
      <c r="C1323" s="4"/>
    </row>
    <row r="1324" spans="1:3" x14ac:dyDescent="0.25">
      <c r="A1324" s="2"/>
      <c r="B1324" s="3"/>
      <c r="C1324" s="4"/>
    </row>
    <row r="1325" spans="1:3" x14ac:dyDescent="0.25">
      <c r="A1325" s="2"/>
      <c r="B1325" s="3"/>
      <c r="C1325" s="4"/>
    </row>
    <row r="1326" spans="1:3" x14ac:dyDescent="0.25">
      <c r="A1326" s="2"/>
      <c r="B1326" s="3"/>
      <c r="C1326" s="4"/>
    </row>
    <row r="1327" spans="1:3" x14ac:dyDescent="0.25">
      <c r="A1327" s="2"/>
      <c r="B1327" s="3"/>
      <c r="C1327" s="4"/>
    </row>
    <row r="1328" spans="1:3" x14ac:dyDescent="0.25">
      <c r="A1328" s="2"/>
      <c r="B1328" s="3"/>
      <c r="C1328" s="4"/>
    </row>
    <row r="1329" spans="1:3" x14ac:dyDescent="0.25">
      <c r="A1329" s="2"/>
      <c r="B1329" s="3"/>
      <c r="C1329" s="4"/>
    </row>
    <row r="1330" spans="1:3" x14ac:dyDescent="0.25">
      <c r="A1330" s="2"/>
      <c r="B1330" s="3"/>
      <c r="C1330" s="4"/>
    </row>
    <row r="1331" spans="1:3" x14ac:dyDescent="0.25">
      <c r="A1331" s="2"/>
      <c r="B1331" s="3"/>
      <c r="C1331" s="4"/>
    </row>
    <row r="1332" spans="1:3" x14ac:dyDescent="0.25">
      <c r="A1332" s="2"/>
      <c r="B1332" s="3"/>
      <c r="C1332" s="4"/>
    </row>
    <row r="1333" spans="1:3" x14ac:dyDescent="0.25">
      <c r="A1333" s="2"/>
      <c r="B1333" s="3"/>
      <c r="C1333" s="4"/>
    </row>
    <row r="1334" spans="1:3" x14ac:dyDescent="0.25">
      <c r="A1334" s="2"/>
      <c r="B1334" s="3"/>
      <c r="C1334" s="4"/>
    </row>
    <row r="1335" spans="1:3" x14ac:dyDescent="0.25">
      <c r="A1335" s="2"/>
      <c r="B1335" s="3"/>
      <c r="C1335" s="4"/>
    </row>
    <row r="1336" spans="1:3" x14ac:dyDescent="0.25">
      <c r="A1336" s="2"/>
      <c r="B1336" s="3"/>
      <c r="C1336" s="4"/>
    </row>
    <row r="1337" spans="1:3" x14ac:dyDescent="0.25">
      <c r="A1337" s="2"/>
      <c r="B1337" s="3"/>
      <c r="C1337" s="4"/>
    </row>
    <row r="1338" spans="1:3" x14ac:dyDescent="0.25">
      <c r="A1338" s="2"/>
      <c r="B1338" s="3"/>
      <c r="C1338" s="4"/>
    </row>
    <row r="1339" spans="1:3" x14ac:dyDescent="0.25">
      <c r="A1339" s="2"/>
      <c r="B1339" s="3"/>
      <c r="C1339" s="4"/>
    </row>
    <row r="1340" spans="1:3" x14ac:dyDescent="0.25">
      <c r="A1340" s="2"/>
      <c r="B1340" s="3"/>
      <c r="C1340" s="4"/>
    </row>
    <row r="1341" spans="1:3" x14ac:dyDescent="0.25">
      <c r="A1341" s="2"/>
      <c r="B1341" s="3"/>
      <c r="C1341" s="4"/>
    </row>
    <row r="1342" spans="1:3" x14ac:dyDescent="0.25">
      <c r="A1342" s="2"/>
      <c r="B1342" s="3"/>
      <c r="C1342" s="4"/>
    </row>
    <row r="1343" spans="1:3" x14ac:dyDescent="0.25">
      <c r="A1343" s="2"/>
      <c r="B1343" s="3"/>
      <c r="C1343" s="4"/>
    </row>
    <row r="1344" spans="1:3" x14ac:dyDescent="0.25">
      <c r="A1344" s="2"/>
      <c r="B1344" s="3"/>
      <c r="C1344" s="4"/>
    </row>
    <row r="1345" spans="1:3" x14ac:dyDescent="0.25">
      <c r="A1345" s="2"/>
      <c r="B1345" s="3"/>
      <c r="C1345" s="4"/>
    </row>
    <row r="1346" spans="1:3" x14ac:dyDescent="0.25">
      <c r="A1346" s="2"/>
      <c r="B1346" s="3"/>
      <c r="C1346" s="4"/>
    </row>
    <row r="1347" spans="1:3" x14ac:dyDescent="0.25">
      <c r="A1347" s="2"/>
      <c r="B1347" s="3"/>
      <c r="C1347" s="4"/>
    </row>
    <row r="1348" spans="1:3" x14ac:dyDescent="0.25">
      <c r="A1348" s="2"/>
      <c r="B1348" s="3"/>
      <c r="C1348" s="4"/>
    </row>
    <row r="1349" spans="1:3" x14ac:dyDescent="0.25">
      <c r="A1349" s="2"/>
      <c r="B1349" s="3"/>
      <c r="C1349" s="4"/>
    </row>
    <row r="1350" spans="1:3" x14ac:dyDescent="0.25">
      <c r="A1350" s="2"/>
      <c r="B1350" s="3"/>
      <c r="C1350" s="4"/>
    </row>
    <row r="1351" spans="1:3" x14ac:dyDescent="0.25">
      <c r="A1351" s="2"/>
      <c r="B1351" s="3"/>
      <c r="C1351" s="4"/>
    </row>
    <row r="1352" spans="1:3" x14ac:dyDescent="0.25">
      <c r="A1352" s="2"/>
      <c r="B1352" s="3"/>
      <c r="C1352" s="4"/>
    </row>
    <row r="1353" spans="1:3" x14ac:dyDescent="0.25">
      <c r="A1353" s="2"/>
      <c r="B1353" s="3"/>
      <c r="C1353" s="4"/>
    </row>
    <row r="1354" spans="1:3" x14ac:dyDescent="0.25">
      <c r="A1354" s="2"/>
      <c r="B1354" s="3"/>
      <c r="C1354" s="4"/>
    </row>
    <row r="1355" spans="1:3" x14ac:dyDescent="0.25">
      <c r="A1355" s="2"/>
      <c r="B1355" s="3"/>
      <c r="C1355" s="4"/>
    </row>
    <row r="1356" spans="1:3" x14ac:dyDescent="0.25">
      <c r="A1356" s="2"/>
      <c r="B1356" s="3"/>
      <c r="C1356" s="4"/>
    </row>
    <row r="1357" spans="1:3" x14ac:dyDescent="0.25">
      <c r="A1357" s="2"/>
      <c r="B1357" s="3"/>
      <c r="C1357" s="4"/>
    </row>
    <row r="1358" spans="1:3" x14ac:dyDescent="0.25">
      <c r="A1358" s="2"/>
      <c r="B1358" s="3"/>
      <c r="C1358" s="4"/>
    </row>
    <row r="1359" spans="1:3" x14ac:dyDescent="0.25">
      <c r="A1359" s="2"/>
      <c r="B1359" s="3"/>
      <c r="C1359" s="4"/>
    </row>
    <row r="1360" spans="1:3" x14ac:dyDescent="0.25">
      <c r="A1360" s="2"/>
      <c r="B1360" s="3"/>
      <c r="C1360" s="4"/>
    </row>
    <row r="1361" spans="1:3" x14ac:dyDescent="0.25">
      <c r="A1361" s="2"/>
      <c r="B1361" s="3"/>
      <c r="C1361" s="4"/>
    </row>
    <row r="1362" spans="1:3" x14ac:dyDescent="0.25">
      <c r="A1362" s="2"/>
      <c r="B1362" s="3"/>
      <c r="C1362" s="4"/>
    </row>
    <row r="1363" spans="1:3" x14ac:dyDescent="0.25">
      <c r="A1363" s="2"/>
      <c r="B1363" s="3"/>
      <c r="C1363" s="4"/>
    </row>
    <row r="1364" spans="1:3" x14ac:dyDescent="0.25">
      <c r="A1364" s="2"/>
      <c r="B1364" s="3"/>
      <c r="C1364" s="4"/>
    </row>
    <row r="1365" spans="1:3" x14ac:dyDescent="0.25">
      <c r="A1365" s="2"/>
      <c r="B1365" s="3"/>
      <c r="C1365" s="4"/>
    </row>
    <row r="1366" spans="1:3" x14ac:dyDescent="0.25">
      <c r="A1366" s="2"/>
      <c r="B1366" s="3"/>
      <c r="C1366" s="4"/>
    </row>
    <row r="1367" spans="1:3" x14ac:dyDescent="0.25">
      <c r="A1367" s="2"/>
      <c r="B1367" s="3"/>
      <c r="C1367" s="4"/>
    </row>
    <row r="1368" spans="1:3" x14ac:dyDescent="0.25">
      <c r="A1368" s="2"/>
      <c r="B1368" s="3"/>
      <c r="C1368" s="4"/>
    </row>
    <row r="1369" spans="1:3" x14ac:dyDescent="0.25">
      <c r="A1369" s="2"/>
      <c r="B1369" s="3"/>
      <c r="C1369" s="4"/>
    </row>
    <row r="1370" spans="1:3" x14ac:dyDescent="0.25">
      <c r="A1370" s="2"/>
      <c r="B1370" s="3"/>
      <c r="C1370" s="4"/>
    </row>
    <row r="1371" spans="1:3" x14ac:dyDescent="0.25">
      <c r="A1371" s="2"/>
      <c r="B1371" s="3"/>
      <c r="C1371" s="4"/>
    </row>
    <row r="1372" spans="1:3" x14ac:dyDescent="0.25">
      <c r="A1372" s="2"/>
      <c r="B1372" s="3"/>
      <c r="C1372" s="4"/>
    </row>
    <row r="1373" spans="1:3" x14ac:dyDescent="0.25">
      <c r="A1373" s="2"/>
      <c r="B1373" s="3"/>
      <c r="C1373" s="4"/>
    </row>
    <row r="1374" spans="1:3" x14ac:dyDescent="0.25">
      <c r="A1374" s="2"/>
      <c r="B1374" s="3"/>
      <c r="C1374" s="4"/>
    </row>
    <row r="1375" spans="1:3" x14ac:dyDescent="0.25">
      <c r="A1375" s="2"/>
      <c r="B1375" s="3"/>
      <c r="C1375" s="4"/>
    </row>
    <row r="1376" spans="1:3" x14ac:dyDescent="0.25">
      <c r="A1376" s="2"/>
      <c r="B1376" s="3"/>
      <c r="C1376" s="4"/>
    </row>
    <row r="1377" spans="1:3" x14ac:dyDescent="0.25">
      <c r="A1377" s="2"/>
      <c r="B1377" s="3"/>
      <c r="C1377" s="4"/>
    </row>
    <row r="1378" spans="1:3" x14ac:dyDescent="0.25">
      <c r="A1378" s="2"/>
      <c r="B1378" s="3"/>
      <c r="C1378" s="4"/>
    </row>
    <row r="1379" spans="1:3" x14ac:dyDescent="0.25">
      <c r="A1379" s="2"/>
      <c r="B1379" s="3"/>
      <c r="C1379" s="4"/>
    </row>
    <row r="1380" spans="1:3" x14ac:dyDescent="0.25">
      <c r="A1380" s="2"/>
      <c r="B1380" s="3"/>
      <c r="C1380" s="4"/>
    </row>
    <row r="1381" spans="1:3" x14ac:dyDescent="0.25">
      <c r="A1381" s="2"/>
      <c r="B1381" s="3"/>
      <c r="C1381" s="4"/>
    </row>
    <row r="1382" spans="1:3" x14ac:dyDescent="0.25">
      <c r="A1382" s="2"/>
      <c r="B1382" s="3"/>
      <c r="C1382" s="4"/>
    </row>
    <row r="1383" spans="1:3" x14ac:dyDescent="0.25">
      <c r="A1383" s="2"/>
      <c r="B1383" s="3"/>
      <c r="C1383" s="4"/>
    </row>
    <row r="1384" spans="1:3" x14ac:dyDescent="0.25">
      <c r="A1384" s="2"/>
      <c r="B1384" s="3"/>
      <c r="C1384" s="4"/>
    </row>
    <row r="1385" spans="1:3" x14ac:dyDescent="0.25">
      <c r="A1385" s="2"/>
      <c r="B1385" s="3"/>
      <c r="C1385" s="4"/>
    </row>
    <row r="1386" spans="1:3" x14ac:dyDescent="0.25">
      <c r="A1386" s="2"/>
      <c r="B1386" s="3"/>
      <c r="C1386" s="4"/>
    </row>
    <row r="1387" spans="1:3" x14ac:dyDescent="0.25">
      <c r="A1387" s="2"/>
      <c r="B1387" s="3"/>
      <c r="C1387" s="4"/>
    </row>
    <row r="1388" spans="1:3" x14ac:dyDescent="0.25">
      <c r="A1388" s="2"/>
      <c r="B1388" s="3"/>
      <c r="C1388" s="4"/>
    </row>
    <row r="1389" spans="1:3" x14ac:dyDescent="0.25">
      <c r="A1389" s="2"/>
      <c r="B1389" s="3"/>
      <c r="C1389" s="4"/>
    </row>
    <row r="1390" spans="1:3" x14ac:dyDescent="0.25">
      <c r="A1390" s="2"/>
      <c r="B1390" s="3"/>
      <c r="C1390" s="4"/>
    </row>
    <row r="1391" spans="1:3" x14ac:dyDescent="0.25">
      <c r="A1391" s="2"/>
      <c r="B1391" s="3"/>
      <c r="C1391" s="4"/>
    </row>
    <row r="1392" spans="1:3" x14ac:dyDescent="0.25">
      <c r="A1392" s="2"/>
      <c r="B1392" s="3"/>
      <c r="C1392" s="4"/>
    </row>
    <row r="1393" spans="1:3" x14ac:dyDescent="0.25">
      <c r="A1393" s="2"/>
      <c r="B1393" s="3"/>
      <c r="C1393" s="4"/>
    </row>
    <row r="1394" spans="1:3" x14ac:dyDescent="0.25">
      <c r="A1394" s="2"/>
      <c r="B1394" s="3"/>
      <c r="C1394" s="4"/>
    </row>
    <row r="1395" spans="1:3" x14ac:dyDescent="0.25">
      <c r="A1395" s="2"/>
      <c r="B1395" s="3"/>
      <c r="C1395" s="4"/>
    </row>
    <row r="1396" spans="1:3" x14ac:dyDescent="0.25">
      <c r="A1396" s="2"/>
      <c r="B1396" s="3"/>
      <c r="C1396" s="4"/>
    </row>
    <row r="1397" spans="1:3" x14ac:dyDescent="0.25">
      <c r="A1397" s="2"/>
      <c r="B1397" s="3"/>
      <c r="C1397" s="4"/>
    </row>
    <row r="1398" spans="1:3" x14ac:dyDescent="0.25">
      <c r="A1398" s="2"/>
      <c r="B1398" s="3"/>
      <c r="C1398" s="4"/>
    </row>
    <row r="1399" spans="1:3" x14ac:dyDescent="0.25">
      <c r="A1399" s="2"/>
      <c r="B1399" s="3"/>
      <c r="C1399" s="4"/>
    </row>
    <row r="1400" spans="1:3" x14ac:dyDescent="0.25">
      <c r="A1400" s="2"/>
      <c r="B1400" s="3"/>
      <c r="C1400" s="4"/>
    </row>
    <row r="1401" spans="1:3" x14ac:dyDescent="0.25">
      <c r="A1401" s="2"/>
      <c r="B1401" s="3"/>
      <c r="C1401" s="4"/>
    </row>
    <row r="1402" spans="1:3" x14ac:dyDescent="0.25">
      <c r="A1402" s="2"/>
      <c r="B1402" s="3"/>
      <c r="C1402" s="4"/>
    </row>
    <row r="1403" spans="1:3" x14ac:dyDescent="0.25">
      <c r="A1403" s="2"/>
      <c r="B1403" s="3"/>
      <c r="C1403" s="4"/>
    </row>
    <row r="1404" spans="1:3" x14ac:dyDescent="0.25">
      <c r="A1404" s="2"/>
      <c r="B1404" s="3"/>
      <c r="C1404" s="4"/>
    </row>
    <row r="1405" spans="1:3" x14ac:dyDescent="0.25">
      <c r="A1405" s="2"/>
      <c r="B1405" s="3"/>
      <c r="C1405" s="4"/>
    </row>
    <row r="1406" spans="1:3" x14ac:dyDescent="0.25">
      <c r="A1406" s="2"/>
      <c r="B1406" s="3"/>
      <c r="C1406" s="4"/>
    </row>
    <row r="1407" spans="1:3" x14ac:dyDescent="0.25">
      <c r="A1407" s="2"/>
      <c r="B1407" s="3"/>
      <c r="C1407" s="4"/>
    </row>
    <row r="1408" spans="1:3" x14ac:dyDescent="0.25">
      <c r="A1408" s="2"/>
      <c r="B1408" s="3"/>
      <c r="C1408" s="4"/>
    </row>
    <row r="1409" spans="1:3" x14ac:dyDescent="0.25">
      <c r="A1409" s="2"/>
      <c r="B1409" s="3"/>
      <c r="C1409" s="4"/>
    </row>
    <row r="1410" spans="1:3" x14ac:dyDescent="0.25">
      <c r="A1410" s="2"/>
      <c r="B1410" s="3"/>
      <c r="C1410" s="4"/>
    </row>
    <row r="1411" spans="1:3" x14ac:dyDescent="0.25">
      <c r="A1411" s="2"/>
      <c r="B1411" s="3"/>
      <c r="C1411" s="4"/>
    </row>
    <row r="1412" spans="1:3" x14ac:dyDescent="0.25">
      <c r="A1412" s="2"/>
      <c r="B1412" s="3"/>
      <c r="C1412" s="4"/>
    </row>
    <row r="1413" spans="1:3" x14ac:dyDescent="0.25">
      <c r="A1413" s="2"/>
      <c r="B1413" s="3"/>
      <c r="C1413" s="4"/>
    </row>
    <row r="1414" spans="1:3" x14ac:dyDescent="0.25">
      <c r="A1414" s="2"/>
      <c r="B1414" s="3"/>
      <c r="C1414" s="4"/>
    </row>
    <row r="1415" spans="1:3" x14ac:dyDescent="0.25">
      <c r="A1415" s="2"/>
      <c r="B1415" s="3"/>
      <c r="C1415" s="4"/>
    </row>
    <row r="1416" spans="1:3" x14ac:dyDescent="0.25">
      <c r="A1416" s="2"/>
      <c r="B1416" s="3"/>
      <c r="C1416" s="4"/>
    </row>
    <row r="1417" spans="1:3" x14ac:dyDescent="0.25">
      <c r="A1417" s="2"/>
      <c r="B1417" s="3"/>
      <c r="C1417" s="4"/>
    </row>
    <row r="1418" spans="1:3" x14ac:dyDescent="0.25">
      <c r="A1418" s="2"/>
      <c r="B1418" s="3"/>
      <c r="C1418" s="4"/>
    </row>
    <row r="1419" spans="1:3" x14ac:dyDescent="0.25">
      <c r="A1419" s="2"/>
      <c r="B1419" s="3"/>
      <c r="C1419" s="4"/>
    </row>
    <row r="1420" spans="1:3" x14ac:dyDescent="0.25">
      <c r="A1420" s="2"/>
      <c r="B1420" s="3"/>
      <c r="C1420" s="4"/>
    </row>
    <row r="1421" spans="1:3" x14ac:dyDescent="0.25">
      <c r="A1421" s="2"/>
      <c r="B1421" s="3"/>
      <c r="C1421" s="4"/>
    </row>
    <row r="1422" spans="1:3" x14ac:dyDescent="0.25">
      <c r="A1422" s="2"/>
      <c r="B1422" s="3"/>
      <c r="C1422" s="4"/>
    </row>
    <row r="1423" spans="1:3" x14ac:dyDescent="0.25">
      <c r="A1423" s="2"/>
      <c r="B1423" s="3"/>
      <c r="C1423" s="4"/>
    </row>
    <row r="1424" spans="1:3" x14ac:dyDescent="0.25">
      <c r="A1424" s="2"/>
      <c r="B1424" s="3"/>
      <c r="C1424" s="4"/>
    </row>
    <row r="1425" spans="1:3" x14ac:dyDescent="0.25">
      <c r="A1425" s="2"/>
      <c r="B1425" s="3"/>
      <c r="C1425" s="4"/>
    </row>
    <row r="1426" spans="1:3" x14ac:dyDescent="0.25">
      <c r="A1426" s="2"/>
      <c r="B1426" s="3"/>
      <c r="C1426" s="4"/>
    </row>
    <row r="1427" spans="1:3" x14ac:dyDescent="0.25">
      <c r="A1427" s="2"/>
      <c r="B1427" s="3"/>
      <c r="C1427" s="4"/>
    </row>
    <row r="1428" spans="1:3" x14ac:dyDescent="0.25">
      <c r="A1428" s="2"/>
      <c r="B1428" s="3"/>
      <c r="C1428" s="4"/>
    </row>
    <row r="1429" spans="1:3" x14ac:dyDescent="0.25">
      <c r="A1429" s="2"/>
      <c r="B1429" s="3"/>
      <c r="C1429" s="4"/>
    </row>
    <row r="1430" spans="1:3" x14ac:dyDescent="0.25">
      <c r="A1430" s="2"/>
      <c r="B1430" s="3"/>
      <c r="C1430" s="4"/>
    </row>
    <row r="1431" spans="1:3" x14ac:dyDescent="0.25">
      <c r="A1431" s="2"/>
      <c r="B1431" s="3"/>
      <c r="C1431" s="4"/>
    </row>
    <row r="1432" spans="1:3" x14ac:dyDescent="0.25">
      <c r="A1432" s="2"/>
      <c r="B1432" s="3"/>
      <c r="C1432" s="4"/>
    </row>
    <row r="1433" spans="1:3" x14ac:dyDescent="0.25">
      <c r="A1433" s="2"/>
      <c r="B1433" s="3"/>
      <c r="C1433" s="4"/>
    </row>
    <row r="1434" spans="1:3" x14ac:dyDescent="0.25">
      <c r="A1434" s="2"/>
      <c r="B1434" s="3"/>
      <c r="C1434" s="4"/>
    </row>
    <row r="1435" spans="1:3" x14ac:dyDescent="0.25">
      <c r="A1435" s="2"/>
      <c r="B1435" s="3"/>
      <c r="C1435" s="4"/>
    </row>
    <row r="1436" spans="1:3" x14ac:dyDescent="0.25">
      <c r="A1436" s="2"/>
      <c r="B1436" s="3"/>
      <c r="C1436" s="4"/>
    </row>
    <row r="1437" spans="1:3" x14ac:dyDescent="0.25">
      <c r="A1437" s="2"/>
      <c r="B1437" s="3"/>
      <c r="C1437" s="4"/>
    </row>
    <row r="1438" spans="1:3" x14ac:dyDescent="0.25">
      <c r="A1438" s="2"/>
      <c r="B1438" s="3"/>
      <c r="C1438" s="4"/>
    </row>
    <row r="1439" spans="1:3" x14ac:dyDescent="0.25">
      <c r="A1439" s="2"/>
      <c r="B1439" s="3"/>
      <c r="C1439" s="4"/>
    </row>
    <row r="1440" spans="1:3" x14ac:dyDescent="0.25">
      <c r="A1440" s="2"/>
      <c r="B1440" s="3"/>
      <c r="C1440" s="4"/>
    </row>
    <row r="1441" spans="1:3" x14ac:dyDescent="0.25">
      <c r="A1441" s="2"/>
      <c r="B1441" s="3"/>
      <c r="C1441" s="4"/>
    </row>
    <row r="1442" spans="1:3" x14ac:dyDescent="0.25">
      <c r="A1442" s="2"/>
      <c r="B1442" s="3"/>
      <c r="C1442" s="4"/>
    </row>
    <row r="1443" spans="1:3" x14ac:dyDescent="0.25">
      <c r="A1443" s="2"/>
      <c r="B1443" s="3"/>
      <c r="C1443" s="4"/>
    </row>
    <row r="1444" spans="1:3" x14ac:dyDescent="0.25">
      <c r="A1444" s="2"/>
      <c r="B1444" s="3"/>
      <c r="C1444" s="4"/>
    </row>
    <row r="1445" spans="1:3" x14ac:dyDescent="0.25">
      <c r="A1445" s="2"/>
      <c r="B1445" s="3"/>
      <c r="C1445" s="4"/>
    </row>
    <row r="1446" spans="1:3" x14ac:dyDescent="0.25">
      <c r="A1446" s="2"/>
      <c r="B1446" s="3"/>
      <c r="C1446" s="4"/>
    </row>
    <row r="1447" spans="1:3" x14ac:dyDescent="0.25">
      <c r="A1447" s="2"/>
      <c r="B1447" s="3"/>
      <c r="C1447" s="4"/>
    </row>
    <row r="1448" spans="1:3" x14ac:dyDescent="0.25">
      <c r="A1448" s="2"/>
      <c r="B1448" s="3"/>
      <c r="C1448" s="4"/>
    </row>
    <row r="1449" spans="1:3" x14ac:dyDescent="0.25">
      <c r="A1449" s="2"/>
      <c r="B1449" s="3"/>
      <c r="C1449" s="4"/>
    </row>
    <row r="1450" spans="1:3" x14ac:dyDescent="0.25">
      <c r="A1450" s="2"/>
      <c r="B1450" s="3"/>
      <c r="C1450" s="4"/>
    </row>
    <row r="1451" spans="1:3" x14ac:dyDescent="0.25">
      <c r="A1451" s="2"/>
      <c r="B1451" s="3"/>
      <c r="C1451" s="4"/>
    </row>
    <row r="1452" spans="1:3" x14ac:dyDescent="0.25">
      <c r="A1452" s="2"/>
      <c r="B1452" s="3"/>
      <c r="C1452" s="4"/>
    </row>
    <row r="1453" spans="1:3" x14ac:dyDescent="0.25">
      <c r="A1453" s="2"/>
      <c r="B1453" s="3"/>
      <c r="C1453" s="4"/>
    </row>
    <row r="1454" spans="1:3" x14ac:dyDescent="0.25">
      <c r="A1454" s="2"/>
      <c r="B1454" s="3"/>
      <c r="C1454" s="4"/>
    </row>
    <row r="1455" spans="1:3" x14ac:dyDescent="0.25">
      <c r="A1455" s="2"/>
      <c r="B1455" s="3"/>
      <c r="C1455" s="4"/>
    </row>
    <row r="1456" spans="1:3" x14ac:dyDescent="0.25">
      <c r="A1456" s="2"/>
      <c r="B1456" s="3"/>
      <c r="C1456" s="4"/>
    </row>
    <row r="1457" spans="1:3" x14ac:dyDescent="0.25">
      <c r="A1457" s="2"/>
      <c r="B1457" s="3"/>
      <c r="C1457" s="4"/>
    </row>
    <row r="1458" spans="1:3" x14ac:dyDescent="0.25">
      <c r="A1458" s="2"/>
      <c r="B1458" s="3"/>
      <c r="C1458" s="4"/>
    </row>
    <row r="1459" spans="1:3" x14ac:dyDescent="0.25">
      <c r="A1459" s="2"/>
      <c r="B1459" s="3"/>
      <c r="C1459" s="4"/>
    </row>
    <row r="1460" spans="1:3" x14ac:dyDescent="0.25">
      <c r="A1460" s="2"/>
      <c r="B1460" s="3"/>
      <c r="C1460" s="4"/>
    </row>
    <row r="1461" spans="1:3" x14ac:dyDescent="0.25">
      <c r="A1461" s="2"/>
      <c r="B1461" s="3"/>
      <c r="C1461" s="4"/>
    </row>
    <row r="1462" spans="1:3" x14ac:dyDescent="0.25">
      <c r="A1462" s="2"/>
      <c r="B1462" s="3"/>
      <c r="C1462" s="4"/>
    </row>
    <row r="1463" spans="1:3" x14ac:dyDescent="0.25">
      <c r="A1463" s="2"/>
      <c r="B1463" s="3"/>
      <c r="C1463" s="4"/>
    </row>
    <row r="1464" spans="1:3" x14ac:dyDescent="0.25">
      <c r="A1464" s="2"/>
      <c r="B1464" s="3"/>
      <c r="C1464" s="4"/>
    </row>
    <row r="1465" spans="1:3" x14ac:dyDescent="0.25">
      <c r="A1465" s="2"/>
      <c r="B1465" s="3"/>
      <c r="C1465" s="4"/>
    </row>
    <row r="1466" spans="1:3" x14ac:dyDescent="0.25">
      <c r="A1466" s="2"/>
      <c r="B1466" s="3"/>
      <c r="C1466" s="4"/>
    </row>
    <row r="1467" spans="1:3" x14ac:dyDescent="0.25">
      <c r="A1467" s="2"/>
      <c r="B1467" s="3"/>
      <c r="C1467" s="4"/>
    </row>
    <row r="1468" spans="1:3" x14ac:dyDescent="0.25">
      <c r="A1468" s="2"/>
      <c r="B1468" s="3"/>
      <c r="C1468" s="4"/>
    </row>
    <row r="1469" spans="1:3" x14ac:dyDescent="0.25">
      <c r="A1469" s="2"/>
      <c r="B1469" s="3"/>
      <c r="C1469" s="4"/>
    </row>
    <row r="1470" spans="1:3" x14ac:dyDescent="0.25">
      <c r="A1470" s="2"/>
      <c r="B1470" s="3"/>
      <c r="C1470" s="4"/>
    </row>
    <row r="1471" spans="1:3" x14ac:dyDescent="0.25">
      <c r="A1471" s="2"/>
      <c r="B1471" s="3"/>
      <c r="C1471" s="4"/>
    </row>
    <row r="1472" spans="1:3" x14ac:dyDescent="0.25">
      <c r="A1472" s="2"/>
      <c r="B1472" s="3"/>
      <c r="C1472" s="4"/>
    </row>
    <row r="1473" spans="1:3" ht="17.25" thickBot="1" x14ac:dyDescent="0.3">
      <c r="A1473" s="5"/>
      <c r="B1473" s="6"/>
      <c r="C1473" s="7"/>
    </row>
  </sheetData>
  <phoneticPr fontId="1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N737"/>
  <sheetViews>
    <sheetView workbookViewId="0">
      <selection activeCell="O632" sqref="O632"/>
    </sheetView>
  </sheetViews>
  <sheetFormatPr defaultRowHeight="16.5" x14ac:dyDescent="0.25"/>
  <cols>
    <col min="1" max="1" width="10.25" bestFit="1" customWidth="1"/>
    <col min="2" max="2" width="10.5" bestFit="1" customWidth="1"/>
    <col min="3" max="3" width="10" bestFit="1" customWidth="1"/>
    <col min="4" max="4" width="14.75" customWidth="1"/>
    <col min="5" max="5" width="8.875" customWidth="1"/>
    <col min="7" max="7" width="6.875" customWidth="1"/>
    <col min="10" max="10" width="5.125" customWidth="1"/>
    <col min="11" max="11" width="12.5" customWidth="1"/>
  </cols>
  <sheetData>
    <row r="1" spans="1:14" s="1" customFormat="1" x14ac:dyDescent="0.25">
      <c r="A1" s="8" t="s">
        <v>21</v>
      </c>
      <c r="B1" s="9" t="s">
        <v>1</v>
      </c>
      <c r="C1" s="8" t="s">
        <v>3</v>
      </c>
      <c r="D1" s="8" t="s">
        <v>29</v>
      </c>
      <c r="E1" s="1" t="s">
        <v>22</v>
      </c>
      <c r="F1" s="1" t="s">
        <v>27</v>
      </c>
      <c r="G1" s="1" t="s">
        <v>28</v>
      </c>
      <c r="H1" s="1" t="s">
        <v>30</v>
      </c>
    </row>
    <row r="2" spans="1:14" ht="18.75" x14ac:dyDescent="0.25">
      <c r="A2" s="2" t="s">
        <v>10</v>
      </c>
      <c r="B2" s="3">
        <v>41641</v>
      </c>
      <c r="C2" s="4">
        <v>0.71860000000000002</v>
      </c>
      <c r="D2" s="24">
        <v>1.2E-2</v>
      </c>
      <c r="E2" s="22">
        <f>D2-K$2</f>
        <v>9.0000000000000011E-3</v>
      </c>
      <c r="F2">
        <f>K$3+K$4*E2</f>
        <v>1.9030365361774843E-2</v>
      </c>
      <c r="G2">
        <f>C2-F2</f>
        <v>0.69956963463822519</v>
      </c>
      <c r="H2">
        <f>G2</f>
        <v>0.69956963463822519</v>
      </c>
      <c r="J2" s="1" t="s">
        <v>24</v>
      </c>
      <c r="K2" s="21">
        <v>3.0000000000000001E-3</v>
      </c>
      <c r="L2" s="19"/>
    </row>
    <row r="3" spans="1:14" ht="18.75" x14ac:dyDescent="0.25">
      <c r="A3" s="2" t="s">
        <v>10</v>
      </c>
      <c r="B3" s="3">
        <v>41642</v>
      </c>
      <c r="C3" s="4">
        <v>1.1862999999999999</v>
      </c>
      <c r="D3" s="4">
        <v>-0.76929999999999998</v>
      </c>
      <c r="E3" s="22">
        <f t="shared" ref="E3:E66" si="0">D3-K$2</f>
        <v>-0.77229999999999999</v>
      </c>
      <c r="F3">
        <f t="shared" ref="F3:F66" si="1">K$3+K$4*E3</f>
        <v>-0.50311257036650603</v>
      </c>
      <c r="G3">
        <f t="shared" ref="G3:G66" si="2">C3-F3</f>
        <v>1.6894125703665059</v>
      </c>
      <c r="H3">
        <f>H2+G3</f>
        <v>2.3889822050047309</v>
      </c>
      <c r="J3" s="20" t="s">
        <v>12</v>
      </c>
      <c r="K3" s="25">
        <f>INTERCEPT(C2:C737,E2:E737)</f>
        <v>1.3015663683092482E-2</v>
      </c>
      <c r="L3" s="19"/>
      <c r="N3" s="1" t="s">
        <v>11</v>
      </c>
    </row>
    <row r="4" spans="1:14" ht="18" x14ac:dyDescent="0.25">
      <c r="A4" s="2" t="s">
        <v>10</v>
      </c>
      <c r="B4" s="3">
        <v>41645</v>
      </c>
      <c r="C4" s="4">
        <v>-1.4252</v>
      </c>
      <c r="D4" s="4">
        <v>-0.54590000000000005</v>
      </c>
      <c r="E4" s="22">
        <f t="shared" si="0"/>
        <v>-0.54890000000000005</v>
      </c>
      <c r="F4">
        <f t="shared" si="1"/>
        <v>-0.3538143086978795</v>
      </c>
      <c r="G4">
        <f t="shared" si="2"/>
        <v>-1.0713856913021205</v>
      </c>
      <c r="H4">
        <f t="shared" ref="H4:H67" si="3">H3+G4</f>
        <v>1.3175965137026104</v>
      </c>
      <c r="J4" s="20" t="s">
        <v>23</v>
      </c>
      <c r="K4" s="25">
        <f>SLOPE(C2:C737,E2:E737)</f>
        <v>0.66830018652026224</v>
      </c>
      <c r="L4" s="11"/>
      <c r="N4" s="11">
        <v>42564</v>
      </c>
    </row>
    <row r="5" spans="1:14" x14ac:dyDescent="0.25">
      <c r="A5" s="2" t="s">
        <v>10</v>
      </c>
      <c r="B5" s="3">
        <v>41646</v>
      </c>
      <c r="C5" s="4">
        <v>0.95240000000000002</v>
      </c>
      <c r="D5" s="4">
        <v>0.14449999999999999</v>
      </c>
      <c r="E5" s="22">
        <f t="shared" si="0"/>
        <v>0.14149999999999999</v>
      </c>
      <c r="F5">
        <f t="shared" si="1"/>
        <v>0.10758014007570958</v>
      </c>
      <c r="G5">
        <f t="shared" si="2"/>
        <v>0.84481985992429043</v>
      </c>
      <c r="H5">
        <f t="shared" si="3"/>
        <v>2.1624163736269009</v>
      </c>
    </row>
    <row r="6" spans="1:14" x14ac:dyDescent="0.25">
      <c r="A6" s="2" t="s">
        <v>10</v>
      </c>
      <c r="B6" s="3">
        <v>41647</v>
      </c>
      <c r="C6" s="4">
        <v>0.70840000000000003</v>
      </c>
      <c r="D6" s="4">
        <v>0.51219999999999999</v>
      </c>
      <c r="E6" s="22">
        <f t="shared" si="0"/>
        <v>0.50919999999999999</v>
      </c>
      <c r="F6">
        <f t="shared" si="1"/>
        <v>0.35331411865921003</v>
      </c>
      <c r="G6">
        <f t="shared" si="2"/>
        <v>0.35508588134079</v>
      </c>
      <c r="H6">
        <f t="shared" si="3"/>
        <v>2.5175022549676909</v>
      </c>
    </row>
    <row r="7" spans="1:14" hidden="1" x14ac:dyDescent="0.25">
      <c r="A7" s="2" t="s">
        <v>10</v>
      </c>
      <c r="B7" s="3">
        <v>41648</v>
      </c>
      <c r="C7" s="4">
        <v>0.58650000000000002</v>
      </c>
      <c r="D7" s="4">
        <v>-0.48420000000000002</v>
      </c>
      <c r="E7" s="22">
        <f t="shared" si="0"/>
        <v>-0.48720000000000002</v>
      </c>
      <c r="F7">
        <f t="shared" si="1"/>
        <v>-0.31258018718957931</v>
      </c>
      <c r="G7">
        <f t="shared" si="2"/>
        <v>0.89908018718957927</v>
      </c>
      <c r="H7">
        <f t="shared" si="3"/>
        <v>3.4165824421572699</v>
      </c>
      <c r="J7" t="s">
        <v>13</v>
      </c>
    </row>
    <row r="8" spans="1:14" hidden="1" x14ac:dyDescent="0.25">
      <c r="A8" s="2" t="s">
        <v>10</v>
      </c>
      <c r="B8" s="3">
        <v>41649</v>
      </c>
      <c r="C8" s="4">
        <v>5.1292999999999997</v>
      </c>
      <c r="D8" s="4">
        <v>0.1721</v>
      </c>
      <c r="E8" s="22">
        <f t="shared" si="0"/>
        <v>0.1691</v>
      </c>
      <c r="F8">
        <f t="shared" si="1"/>
        <v>0.12602522522366882</v>
      </c>
      <c r="G8">
        <f t="shared" si="2"/>
        <v>5.0032747747763313</v>
      </c>
      <c r="H8">
        <f t="shared" si="3"/>
        <v>8.4198572169336003</v>
      </c>
      <c r="J8" s="10" t="s">
        <v>14</v>
      </c>
    </row>
    <row r="9" spans="1:14" hidden="1" x14ac:dyDescent="0.25">
      <c r="A9" s="2" t="s">
        <v>10</v>
      </c>
      <c r="B9" s="3">
        <v>41652</v>
      </c>
      <c r="C9" s="4">
        <v>3.8151999999999999</v>
      </c>
      <c r="D9" s="4">
        <v>0.43109999999999998</v>
      </c>
      <c r="E9" s="22">
        <f t="shared" si="0"/>
        <v>0.42809999999999998</v>
      </c>
      <c r="F9">
        <f t="shared" si="1"/>
        <v>0.29911497353241673</v>
      </c>
      <c r="G9">
        <f t="shared" si="2"/>
        <v>3.5160850264675831</v>
      </c>
      <c r="H9">
        <f t="shared" si="3"/>
        <v>11.935942243401183</v>
      </c>
      <c r="J9" t="s">
        <v>15</v>
      </c>
    </row>
    <row r="10" spans="1:14" hidden="1" x14ac:dyDescent="0.25">
      <c r="A10" s="2" t="s">
        <v>10</v>
      </c>
      <c r="B10" s="3">
        <v>41653</v>
      </c>
      <c r="C10" s="4">
        <v>0.4269</v>
      </c>
      <c r="D10" s="4">
        <v>-0.21110000000000001</v>
      </c>
      <c r="E10" s="22">
        <f t="shared" si="0"/>
        <v>-0.21410000000000001</v>
      </c>
      <c r="F10">
        <f t="shared" si="1"/>
        <v>-0.13006740625089566</v>
      </c>
      <c r="G10">
        <f t="shared" si="2"/>
        <v>0.55696740625089569</v>
      </c>
      <c r="H10">
        <f t="shared" si="3"/>
        <v>12.492909649652079</v>
      </c>
    </row>
    <row r="11" spans="1:14" hidden="1" x14ac:dyDescent="0.25">
      <c r="A11" s="2" t="s">
        <v>10</v>
      </c>
      <c r="B11" s="3">
        <v>41654</v>
      </c>
      <c r="C11" s="4">
        <v>-0.85560000000000003</v>
      </c>
      <c r="D11" s="4">
        <v>0.63449999999999995</v>
      </c>
      <c r="E11" s="22">
        <f t="shared" si="0"/>
        <v>0.63149999999999995</v>
      </c>
      <c r="F11">
        <f t="shared" si="1"/>
        <v>0.43504723147063806</v>
      </c>
      <c r="G11">
        <f t="shared" si="2"/>
        <v>-1.2906472314706381</v>
      </c>
      <c r="H11">
        <f t="shared" si="3"/>
        <v>11.202262418181441</v>
      </c>
    </row>
    <row r="12" spans="1:14" hidden="1" x14ac:dyDescent="0.25">
      <c r="A12" s="2" t="s">
        <v>10</v>
      </c>
      <c r="B12" s="3">
        <v>41655</v>
      </c>
      <c r="C12" s="4">
        <v>-2.0619000000000001</v>
      </c>
      <c r="D12" s="4">
        <v>0.1111</v>
      </c>
      <c r="E12" s="22">
        <f t="shared" si="0"/>
        <v>0.1081</v>
      </c>
      <c r="F12">
        <f t="shared" si="1"/>
        <v>8.5258913845932829E-2</v>
      </c>
      <c r="G12">
        <f t="shared" si="2"/>
        <v>-2.1471589138459328</v>
      </c>
      <c r="H12">
        <f t="shared" si="3"/>
        <v>9.0551035043355075</v>
      </c>
    </row>
    <row r="13" spans="1:14" hidden="1" x14ac:dyDescent="0.25">
      <c r="A13" s="2" t="s">
        <v>10</v>
      </c>
      <c r="B13" s="3">
        <v>41656</v>
      </c>
      <c r="C13" s="4">
        <v>0.87339999999999995</v>
      </c>
      <c r="D13" s="4">
        <v>-0.18720000000000001</v>
      </c>
      <c r="E13" s="22">
        <f t="shared" si="0"/>
        <v>-0.19020000000000001</v>
      </c>
      <c r="F13">
        <f t="shared" si="1"/>
        <v>-0.11409503179306141</v>
      </c>
      <c r="G13">
        <f t="shared" si="2"/>
        <v>0.98749503179306131</v>
      </c>
      <c r="H13">
        <f t="shared" si="3"/>
        <v>10.042598536128569</v>
      </c>
    </row>
    <row r="14" spans="1:14" hidden="1" x14ac:dyDescent="0.25">
      <c r="A14" s="2" t="s">
        <v>10</v>
      </c>
      <c r="B14" s="3">
        <v>41659</v>
      </c>
      <c r="C14" s="4">
        <v>1.2959000000000001</v>
      </c>
      <c r="D14" s="4">
        <v>0.2969</v>
      </c>
      <c r="E14" s="22">
        <f t="shared" si="0"/>
        <v>0.29389999999999999</v>
      </c>
      <c r="F14">
        <f t="shared" si="1"/>
        <v>0.20942908850139755</v>
      </c>
      <c r="G14">
        <f t="shared" si="2"/>
        <v>1.0864709114986024</v>
      </c>
      <c r="H14">
        <f t="shared" si="3"/>
        <v>11.129069447627172</v>
      </c>
    </row>
    <row r="15" spans="1:14" hidden="1" x14ac:dyDescent="0.25">
      <c r="A15" s="2" t="s">
        <v>10</v>
      </c>
      <c r="B15" s="3">
        <v>41660</v>
      </c>
      <c r="C15" s="4">
        <v>-1.9501999999999999</v>
      </c>
      <c r="D15" s="4">
        <v>-0.2515</v>
      </c>
      <c r="E15" s="22">
        <f t="shared" si="0"/>
        <v>-0.2545</v>
      </c>
      <c r="F15">
        <f t="shared" si="1"/>
        <v>-0.15706673378631425</v>
      </c>
      <c r="G15">
        <f t="shared" si="2"/>
        <v>-1.7931332662136856</v>
      </c>
      <c r="H15">
        <f t="shared" si="3"/>
        <v>9.3359361814134871</v>
      </c>
    </row>
    <row r="16" spans="1:14" hidden="1" x14ac:dyDescent="0.25">
      <c r="A16" s="2" t="s">
        <v>10</v>
      </c>
      <c r="B16" s="3">
        <v>41661</v>
      </c>
      <c r="C16" s="4">
        <v>0.76290000000000002</v>
      </c>
      <c r="D16" s="4">
        <v>0.2949</v>
      </c>
      <c r="E16" s="22">
        <f t="shared" si="0"/>
        <v>0.29189999999999999</v>
      </c>
      <c r="F16">
        <f t="shared" si="1"/>
        <v>0.20809248812835701</v>
      </c>
      <c r="G16">
        <f t="shared" si="2"/>
        <v>0.55480751187164301</v>
      </c>
      <c r="H16">
        <f t="shared" si="3"/>
        <v>9.8907436932851294</v>
      </c>
      <c r="J16" t="s">
        <v>16</v>
      </c>
    </row>
    <row r="17" spans="1:10" hidden="1" x14ac:dyDescent="0.25">
      <c r="A17" s="2" t="s">
        <v>10</v>
      </c>
      <c r="B17" s="3">
        <v>41662</v>
      </c>
      <c r="C17" s="4">
        <v>0.75719999999999998</v>
      </c>
      <c r="D17" s="4">
        <v>-0.35070000000000001</v>
      </c>
      <c r="E17" s="22">
        <f t="shared" si="0"/>
        <v>-0.35370000000000001</v>
      </c>
      <c r="F17">
        <f t="shared" si="1"/>
        <v>-0.22336211228912428</v>
      </c>
      <c r="G17">
        <f t="shared" si="2"/>
        <v>0.98056211228912427</v>
      </c>
      <c r="H17">
        <f t="shared" si="3"/>
        <v>10.871305805574254</v>
      </c>
      <c r="J17" t="s">
        <v>17</v>
      </c>
    </row>
    <row r="18" spans="1:10" hidden="1" x14ac:dyDescent="0.25">
      <c r="A18" s="2" t="s">
        <v>10</v>
      </c>
      <c r="B18" s="3">
        <v>41663</v>
      </c>
      <c r="C18" s="4">
        <v>-1.0833999999999999</v>
      </c>
      <c r="D18" s="4">
        <v>3.73E-2</v>
      </c>
      <c r="E18" s="22">
        <f t="shared" si="0"/>
        <v>3.4299999999999997E-2</v>
      </c>
      <c r="F18">
        <f t="shared" si="1"/>
        <v>3.5938360080737475E-2</v>
      </c>
      <c r="G18">
        <f t="shared" si="2"/>
        <v>-1.1193383600807374</v>
      </c>
      <c r="H18">
        <f t="shared" si="3"/>
        <v>9.7519674454935164</v>
      </c>
      <c r="J18" t="s">
        <v>18</v>
      </c>
    </row>
    <row r="19" spans="1:10" hidden="1" x14ac:dyDescent="0.25">
      <c r="A19" s="2" t="s">
        <v>10</v>
      </c>
      <c r="B19" s="3">
        <v>41666</v>
      </c>
      <c r="C19" s="4">
        <v>-1.8692</v>
      </c>
      <c r="D19" s="4">
        <v>-1.5912999999999999</v>
      </c>
      <c r="E19" s="22">
        <f t="shared" si="0"/>
        <v>-1.5942999999999998</v>
      </c>
      <c r="F19">
        <f t="shared" si="1"/>
        <v>-1.0524553236861616</v>
      </c>
      <c r="G19">
        <f t="shared" si="2"/>
        <v>-0.8167446763138384</v>
      </c>
      <c r="H19">
        <f t="shared" si="3"/>
        <v>8.9352227691796777</v>
      </c>
    </row>
    <row r="20" spans="1:10" hidden="1" x14ac:dyDescent="0.25">
      <c r="A20" s="2" t="s">
        <v>10</v>
      </c>
      <c r="B20" s="3">
        <v>41675</v>
      </c>
      <c r="C20" s="4">
        <v>0.5534</v>
      </c>
      <c r="D20" s="4">
        <v>-2.3685999999999998</v>
      </c>
      <c r="E20" s="22">
        <f t="shared" si="0"/>
        <v>-2.3715999999999999</v>
      </c>
      <c r="F20">
        <f t="shared" si="1"/>
        <v>-1.5719250586683613</v>
      </c>
      <c r="G20">
        <f t="shared" si="2"/>
        <v>2.1253250586683614</v>
      </c>
      <c r="H20">
        <f t="shared" si="3"/>
        <v>11.060547827848039</v>
      </c>
      <c r="J20" t="s">
        <v>19</v>
      </c>
    </row>
    <row r="21" spans="1:10" hidden="1" x14ac:dyDescent="0.25">
      <c r="A21" s="2" t="s">
        <v>10</v>
      </c>
      <c r="B21" s="3">
        <v>41676</v>
      </c>
      <c r="C21" s="4">
        <v>2.5068999999999999</v>
      </c>
      <c r="D21" s="4">
        <v>0.56140000000000001</v>
      </c>
      <c r="E21" s="22">
        <f t="shared" si="0"/>
        <v>0.55840000000000001</v>
      </c>
      <c r="F21">
        <f t="shared" si="1"/>
        <v>0.38619448783600691</v>
      </c>
      <c r="G21">
        <f t="shared" si="2"/>
        <v>2.1207055121639931</v>
      </c>
      <c r="H21">
        <f t="shared" si="3"/>
        <v>13.181253340012031</v>
      </c>
    </row>
    <row r="22" spans="1:10" hidden="1" x14ac:dyDescent="0.25">
      <c r="A22" s="2" t="s">
        <v>10</v>
      </c>
      <c r="B22" s="3">
        <v>41677</v>
      </c>
      <c r="C22" s="4">
        <v>-2.0663999999999998</v>
      </c>
      <c r="D22" s="4">
        <v>0.9143</v>
      </c>
      <c r="E22" s="22">
        <f t="shared" si="0"/>
        <v>0.9113</v>
      </c>
      <c r="F22">
        <f t="shared" si="1"/>
        <v>0.6220376236590075</v>
      </c>
      <c r="G22">
        <f t="shared" si="2"/>
        <v>-2.6884376236590075</v>
      </c>
      <c r="H22">
        <f t="shared" si="3"/>
        <v>10.492815716353023</v>
      </c>
    </row>
    <row r="23" spans="1:10" hidden="1" x14ac:dyDescent="0.25">
      <c r="A23" s="2" t="s">
        <v>10</v>
      </c>
      <c r="B23" s="3">
        <v>41680</v>
      </c>
      <c r="C23" s="4">
        <v>4.0910000000000002</v>
      </c>
      <c r="D23" s="4">
        <v>5.4800000000000001E-2</v>
      </c>
      <c r="E23" s="22">
        <f t="shared" si="0"/>
        <v>5.1799999999999999E-2</v>
      </c>
      <c r="F23">
        <f t="shared" si="1"/>
        <v>4.7633613344842063E-2</v>
      </c>
      <c r="G23">
        <f t="shared" si="2"/>
        <v>4.0433663866551584</v>
      </c>
      <c r="H23">
        <f t="shared" si="3"/>
        <v>14.536182103008182</v>
      </c>
    </row>
    <row r="24" spans="1:10" hidden="1" x14ac:dyDescent="0.25">
      <c r="A24" s="2" t="s">
        <v>10</v>
      </c>
      <c r="B24" s="3">
        <v>41681</v>
      </c>
      <c r="C24" s="4">
        <v>-0.74109999999999998</v>
      </c>
      <c r="D24" s="4">
        <v>0.45900000000000002</v>
      </c>
      <c r="E24" s="22">
        <f t="shared" si="0"/>
        <v>0.45600000000000002</v>
      </c>
      <c r="F24">
        <f t="shared" si="1"/>
        <v>0.31776054873633208</v>
      </c>
      <c r="G24">
        <f t="shared" si="2"/>
        <v>-1.0588605487363321</v>
      </c>
      <c r="H24">
        <f t="shared" si="3"/>
        <v>13.47732155427185</v>
      </c>
    </row>
    <row r="25" spans="1:10" hidden="1" x14ac:dyDescent="0.25">
      <c r="A25" s="2" t="s">
        <v>10</v>
      </c>
      <c r="B25" s="3">
        <v>41682</v>
      </c>
      <c r="C25" s="4">
        <v>3.1383000000000001</v>
      </c>
      <c r="D25" s="4">
        <v>0.94810000000000005</v>
      </c>
      <c r="E25" s="22">
        <f t="shared" si="0"/>
        <v>0.94510000000000005</v>
      </c>
      <c r="F25">
        <f t="shared" si="1"/>
        <v>0.64462616996339239</v>
      </c>
      <c r="G25">
        <f t="shared" si="2"/>
        <v>2.4936738300366077</v>
      </c>
      <c r="H25">
        <f t="shared" si="3"/>
        <v>15.970995384308457</v>
      </c>
    </row>
    <row r="26" spans="1:10" hidden="1" x14ac:dyDescent="0.25">
      <c r="A26" s="2" t="s">
        <v>10</v>
      </c>
      <c r="B26" s="3">
        <v>41683</v>
      </c>
      <c r="C26" s="4">
        <v>-0.93120000000000003</v>
      </c>
      <c r="D26" s="4">
        <v>-0.50849999999999995</v>
      </c>
      <c r="E26" s="22">
        <f t="shared" si="0"/>
        <v>-0.51149999999999995</v>
      </c>
      <c r="F26">
        <f t="shared" si="1"/>
        <v>-0.32881988172202165</v>
      </c>
      <c r="G26">
        <f t="shared" si="2"/>
        <v>-0.60238011827797844</v>
      </c>
      <c r="H26">
        <f t="shared" si="3"/>
        <v>15.36861526603048</v>
      </c>
    </row>
    <row r="27" spans="1:10" hidden="1" x14ac:dyDescent="0.25">
      <c r="A27" s="2" t="s">
        <v>10</v>
      </c>
      <c r="B27" s="3">
        <v>41684</v>
      </c>
      <c r="C27" s="4">
        <v>0.41489999999999999</v>
      </c>
      <c r="D27" s="4">
        <v>0.54149999999999998</v>
      </c>
      <c r="E27" s="22">
        <f t="shared" si="0"/>
        <v>0.53849999999999998</v>
      </c>
      <c r="F27">
        <f t="shared" si="1"/>
        <v>0.3728953141242537</v>
      </c>
      <c r="G27">
        <f t="shared" si="2"/>
        <v>4.2004685875746295E-2</v>
      </c>
      <c r="H27">
        <f t="shared" si="3"/>
        <v>15.410619951906225</v>
      </c>
    </row>
    <row r="28" spans="1:10" hidden="1" x14ac:dyDescent="0.25">
      <c r="A28" s="2" t="s">
        <v>10</v>
      </c>
      <c r="B28" s="3">
        <v>41687</v>
      </c>
      <c r="C28" s="4">
        <v>0.31009999999999999</v>
      </c>
      <c r="D28" s="4">
        <v>6.8900000000000003E-2</v>
      </c>
      <c r="E28" s="22">
        <f t="shared" si="0"/>
        <v>6.59E-2</v>
      </c>
      <c r="F28">
        <f t="shared" si="1"/>
        <v>5.7056645974777762E-2</v>
      </c>
      <c r="G28">
        <f t="shared" si="2"/>
        <v>0.25304335402522221</v>
      </c>
      <c r="H28">
        <f t="shared" si="3"/>
        <v>15.663663305931447</v>
      </c>
    </row>
    <row r="29" spans="1:10" hidden="1" x14ac:dyDescent="0.25">
      <c r="A29" s="2" t="s">
        <v>10</v>
      </c>
      <c r="B29" s="3">
        <v>41688</v>
      </c>
      <c r="C29" s="4">
        <v>0</v>
      </c>
      <c r="D29" s="4">
        <v>0.42959999999999998</v>
      </c>
      <c r="E29" s="22">
        <f t="shared" si="0"/>
        <v>0.42659999999999998</v>
      </c>
      <c r="F29">
        <f t="shared" si="1"/>
        <v>0.29811252325263632</v>
      </c>
      <c r="G29">
        <f t="shared" si="2"/>
        <v>-0.29811252325263632</v>
      </c>
      <c r="H29">
        <f t="shared" si="3"/>
        <v>15.365550782678811</v>
      </c>
    </row>
    <row r="30" spans="1:10" hidden="1" x14ac:dyDescent="0.25">
      <c r="A30" s="2" t="s">
        <v>10</v>
      </c>
      <c r="B30" s="3">
        <v>41689</v>
      </c>
      <c r="C30" s="4">
        <v>2.4466000000000001</v>
      </c>
      <c r="D30" s="4">
        <v>0.24260000000000001</v>
      </c>
      <c r="E30" s="22">
        <f t="shared" si="0"/>
        <v>0.23960000000000001</v>
      </c>
      <c r="F30">
        <f t="shared" si="1"/>
        <v>0.17314038837334733</v>
      </c>
      <c r="G30">
        <f t="shared" si="2"/>
        <v>2.2734596116266528</v>
      </c>
      <c r="H30">
        <f t="shared" si="3"/>
        <v>17.639010394305465</v>
      </c>
    </row>
    <row r="31" spans="1:10" hidden="1" x14ac:dyDescent="0.25">
      <c r="A31" s="2" t="s">
        <v>10</v>
      </c>
      <c r="B31" s="3">
        <v>41690</v>
      </c>
      <c r="C31" s="4">
        <v>0.60240000000000005</v>
      </c>
      <c r="D31" s="4">
        <v>-0.61270000000000002</v>
      </c>
      <c r="E31" s="22">
        <f t="shared" si="0"/>
        <v>-0.61570000000000003</v>
      </c>
      <c r="F31">
        <f t="shared" si="1"/>
        <v>-0.398456761157433</v>
      </c>
      <c r="G31">
        <f t="shared" si="2"/>
        <v>1.0008567611574331</v>
      </c>
      <c r="H31">
        <f t="shared" si="3"/>
        <v>18.639867155462898</v>
      </c>
    </row>
    <row r="32" spans="1:10" hidden="1" x14ac:dyDescent="0.25">
      <c r="A32" s="2" t="s">
        <v>10</v>
      </c>
      <c r="B32" s="3">
        <v>41691</v>
      </c>
      <c r="C32" s="4">
        <v>0.10009999999999999</v>
      </c>
      <c r="D32" s="4">
        <v>0.90200000000000002</v>
      </c>
      <c r="E32" s="22">
        <f t="shared" si="0"/>
        <v>0.89900000000000002</v>
      </c>
      <c r="F32">
        <f t="shared" si="1"/>
        <v>0.61381753136480821</v>
      </c>
      <c r="G32">
        <f t="shared" si="2"/>
        <v>-0.51371753136480824</v>
      </c>
      <c r="H32">
        <f t="shared" si="3"/>
        <v>18.12614962409809</v>
      </c>
    </row>
    <row r="33" spans="1:8" hidden="1" x14ac:dyDescent="0.25">
      <c r="A33" s="2" t="s">
        <v>10</v>
      </c>
      <c r="B33" s="3">
        <v>41694</v>
      </c>
      <c r="C33" s="4">
        <v>0.79679999999999995</v>
      </c>
      <c r="D33" s="4">
        <v>-0.48070000000000002</v>
      </c>
      <c r="E33" s="22">
        <f t="shared" si="0"/>
        <v>-0.48370000000000002</v>
      </c>
      <c r="F33">
        <f t="shared" si="1"/>
        <v>-0.31024113653675839</v>
      </c>
      <c r="G33">
        <f t="shared" si="2"/>
        <v>1.1070411365367583</v>
      </c>
      <c r="H33">
        <f t="shared" si="3"/>
        <v>19.233190760634848</v>
      </c>
    </row>
    <row r="34" spans="1:8" hidden="1" x14ac:dyDescent="0.25">
      <c r="A34" s="2" t="s">
        <v>10</v>
      </c>
      <c r="B34" s="3">
        <v>41695</v>
      </c>
      <c r="C34" s="4">
        <v>-2.7151000000000001</v>
      </c>
      <c r="D34" s="4">
        <v>0.17519999999999999</v>
      </c>
      <c r="E34" s="22">
        <f t="shared" si="0"/>
        <v>0.17219999999999999</v>
      </c>
      <c r="F34">
        <f t="shared" si="1"/>
        <v>0.12809695580188163</v>
      </c>
      <c r="G34">
        <f t="shared" si="2"/>
        <v>-2.8431969558018819</v>
      </c>
      <c r="H34">
        <f t="shared" si="3"/>
        <v>16.389993804832965</v>
      </c>
    </row>
    <row r="35" spans="1:8" hidden="1" x14ac:dyDescent="0.25">
      <c r="A35" s="2" t="s">
        <v>10</v>
      </c>
      <c r="B35" s="3">
        <v>41696</v>
      </c>
      <c r="C35" s="4">
        <v>-1.0246</v>
      </c>
      <c r="D35" s="4">
        <v>0.29389999999999999</v>
      </c>
      <c r="E35" s="22">
        <f t="shared" si="0"/>
        <v>0.29089999999999999</v>
      </c>
      <c r="F35">
        <f t="shared" si="1"/>
        <v>0.20742418794183676</v>
      </c>
      <c r="G35">
        <f t="shared" si="2"/>
        <v>-1.2320241879418368</v>
      </c>
      <c r="H35">
        <f t="shared" si="3"/>
        <v>15.157969616891128</v>
      </c>
    </row>
    <row r="36" spans="1:8" hidden="1" x14ac:dyDescent="0.25">
      <c r="A36" s="2" t="s">
        <v>10</v>
      </c>
      <c r="B36" s="3">
        <v>41697</v>
      </c>
      <c r="C36" s="4">
        <v>0.82050000000000001</v>
      </c>
      <c r="D36" s="4">
        <v>0.44919999999999999</v>
      </c>
      <c r="E36" s="22">
        <f t="shared" si="0"/>
        <v>0.44619999999999999</v>
      </c>
      <c r="F36">
        <f t="shared" si="1"/>
        <v>0.31121120690843346</v>
      </c>
      <c r="G36">
        <f t="shared" si="2"/>
        <v>0.50928879309156661</v>
      </c>
      <c r="H36">
        <f t="shared" si="3"/>
        <v>15.667258409982695</v>
      </c>
    </row>
    <row r="37" spans="1:8" hidden="1" x14ac:dyDescent="0.25">
      <c r="A37" s="2" t="s">
        <v>10</v>
      </c>
      <c r="B37" s="3">
        <v>41701</v>
      </c>
      <c r="C37" s="4">
        <v>-0.61480000000000001</v>
      </c>
      <c r="D37" s="4">
        <v>-0.43619999999999998</v>
      </c>
      <c r="E37" s="22">
        <f t="shared" si="0"/>
        <v>-0.43919999999999998</v>
      </c>
      <c r="F37">
        <f t="shared" si="1"/>
        <v>-0.28050177823660666</v>
      </c>
      <c r="G37">
        <f t="shared" si="2"/>
        <v>-0.33429822176339336</v>
      </c>
      <c r="H37">
        <f t="shared" si="3"/>
        <v>15.332960188219301</v>
      </c>
    </row>
    <row r="38" spans="1:8" hidden="1" x14ac:dyDescent="0.25">
      <c r="A38" s="2" t="s">
        <v>10</v>
      </c>
      <c r="B38" s="3">
        <v>41702</v>
      </c>
      <c r="C38" s="4">
        <v>2.5369000000000002</v>
      </c>
      <c r="D38" s="4">
        <v>-0.55300000000000005</v>
      </c>
      <c r="E38" s="22">
        <f t="shared" si="0"/>
        <v>-0.55600000000000005</v>
      </c>
      <c r="F38">
        <f t="shared" si="1"/>
        <v>-0.35855924002217338</v>
      </c>
      <c r="G38">
        <f t="shared" si="2"/>
        <v>2.8954592400221735</v>
      </c>
      <c r="H38">
        <f t="shared" si="3"/>
        <v>18.228419428241473</v>
      </c>
    </row>
    <row r="39" spans="1:8" hidden="1" x14ac:dyDescent="0.25">
      <c r="A39" s="2" t="s">
        <v>10</v>
      </c>
      <c r="B39" s="3">
        <v>41703</v>
      </c>
      <c r="C39" s="4">
        <v>1.9842</v>
      </c>
      <c r="D39" s="4">
        <v>0.91220000000000001</v>
      </c>
      <c r="E39" s="22">
        <f t="shared" si="0"/>
        <v>0.90920000000000001</v>
      </c>
      <c r="F39">
        <f t="shared" si="1"/>
        <v>0.62063419326731495</v>
      </c>
      <c r="G39">
        <f t="shared" si="2"/>
        <v>1.363565806732685</v>
      </c>
      <c r="H39">
        <f t="shared" si="3"/>
        <v>19.591985234974157</v>
      </c>
    </row>
    <row r="40" spans="1:8" hidden="1" x14ac:dyDescent="0.25">
      <c r="A40" s="2" t="s">
        <v>10</v>
      </c>
      <c r="B40" s="3">
        <v>41704</v>
      </c>
      <c r="C40" s="4">
        <v>0.1963</v>
      </c>
      <c r="D40" s="4">
        <v>0.93230000000000002</v>
      </c>
      <c r="E40" s="22">
        <f t="shared" si="0"/>
        <v>0.92930000000000001</v>
      </c>
      <c r="F40">
        <f t="shared" si="1"/>
        <v>0.63406702701637219</v>
      </c>
      <c r="G40">
        <f t="shared" si="2"/>
        <v>-0.43776702701637216</v>
      </c>
      <c r="H40">
        <f t="shared" si="3"/>
        <v>19.154218207957786</v>
      </c>
    </row>
    <row r="41" spans="1:8" hidden="1" x14ac:dyDescent="0.25">
      <c r="A41" s="2" t="s">
        <v>10</v>
      </c>
      <c r="B41" s="3">
        <v>41705</v>
      </c>
      <c r="C41" s="4">
        <v>-2.3811</v>
      </c>
      <c r="D41" s="4">
        <v>2E-3</v>
      </c>
      <c r="E41" s="22">
        <f t="shared" si="0"/>
        <v>-1E-3</v>
      </c>
      <c r="F41">
        <f t="shared" si="1"/>
        <v>1.2347363496572219E-2</v>
      </c>
      <c r="G41">
        <f t="shared" si="2"/>
        <v>-2.3934473634965721</v>
      </c>
      <c r="H41">
        <f t="shared" si="3"/>
        <v>16.760770844461213</v>
      </c>
    </row>
    <row r="42" spans="1:8" hidden="1" x14ac:dyDescent="0.25">
      <c r="A42" s="2" t="s">
        <v>10</v>
      </c>
      <c r="B42" s="3">
        <v>41708</v>
      </c>
      <c r="C42" s="4">
        <v>0.999</v>
      </c>
      <c r="D42" s="4">
        <v>-0.56069999999999998</v>
      </c>
      <c r="E42" s="22">
        <f t="shared" si="0"/>
        <v>-0.56369999999999998</v>
      </c>
      <c r="F42">
        <f t="shared" si="1"/>
        <v>-0.36370515145837934</v>
      </c>
      <c r="G42">
        <f t="shared" si="2"/>
        <v>1.3627051514583792</v>
      </c>
      <c r="H42">
        <f t="shared" si="3"/>
        <v>18.123475995919591</v>
      </c>
    </row>
    <row r="43" spans="1:8" hidden="1" x14ac:dyDescent="0.25">
      <c r="A43" s="2" t="s">
        <v>10</v>
      </c>
      <c r="B43" s="3">
        <v>41709</v>
      </c>
      <c r="C43" s="4">
        <v>-0.69830000000000003</v>
      </c>
      <c r="D43" s="4">
        <v>0.42709999999999998</v>
      </c>
      <c r="E43" s="22">
        <f t="shared" si="0"/>
        <v>0.42409999999999998</v>
      </c>
      <c r="F43">
        <f t="shared" si="1"/>
        <v>0.29644177278633566</v>
      </c>
      <c r="G43">
        <f t="shared" si="2"/>
        <v>-0.99474177278633569</v>
      </c>
      <c r="H43">
        <f t="shared" si="3"/>
        <v>17.128734223133257</v>
      </c>
    </row>
    <row r="44" spans="1:8" hidden="1" x14ac:dyDescent="0.25">
      <c r="A44" s="2" t="s">
        <v>10</v>
      </c>
      <c r="B44" s="3">
        <v>41710</v>
      </c>
      <c r="C44" s="4">
        <v>-0.1002</v>
      </c>
      <c r="D44" s="4">
        <v>-0.2024</v>
      </c>
      <c r="E44" s="22">
        <f t="shared" si="0"/>
        <v>-0.2054</v>
      </c>
      <c r="F44">
        <f t="shared" si="1"/>
        <v>-0.12425319462816939</v>
      </c>
      <c r="G44">
        <f t="shared" si="2"/>
        <v>2.4053194628169391E-2</v>
      </c>
      <c r="H44">
        <f t="shared" si="3"/>
        <v>17.152787417761427</v>
      </c>
    </row>
    <row r="45" spans="1:8" hidden="1" x14ac:dyDescent="0.25">
      <c r="A45" s="2" t="s">
        <v>10</v>
      </c>
      <c r="B45" s="3">
        <v>41711</v>
      </c>
      <c r="C45" s="4">
        <v>0.1002</v>
      </c>
      <c r="D45" s="4">
        <v>0.72350000000000003</v>
      </c>
      <c r="E45" s="22">
        <f t="shared" si="0"/>
        <v>0.72050000000000003</v>
      </c>
      <c r="F45">
        <f t="shared" si="1"/>
        <v>0.49452594807094147</v>
      </c>
      <c r="G45">
        <f t="shared" si="2"/>
        <v>-0.39432594807094146</v>
      </c>
      <c r="H45">
        <f t="shared" si="3"/>
        <v>16.758461469690484</v>
      </c>
    </row>
    <row r="46" spans="1:8" hidden="1" x14ac:dyDescent="0.25">
      <c r="A46" s="2" t="s">
        <v>10</v>
      </c>
      <c r="B46" s="3">
        <v>41712</v>
      </c>
      <c r="C46" s="4">
        <v>-0.1002</v>
      </c>
      <c r="D46" s="4">
        <v>-0.69010000000000005</v>
      </c>
      <c r="E46" s="22">
        <f t="shared" si="0"/>
        <v>-0.69310000000000005</v>
      </c>
      <c r="F46">
        <f t="shared" si="1"/>
        <v>-0.4501831955941013</v>
      </c>
      <c r="G46">
        <f t="shared" si="2"/>
        <v>0.34998319559410129</v>
      </c>
      <c r="H46">
        <f t="shared" si="3"/>
        <v>17.108444665284587</v>
      </c>
    </row>
    <row r="47" spans="1:8" hidden="1" x14ac:dyDescent="0.25">
      <c r="A47" s="2" t="s">
        <v>10</v>
      </c>
      <c r="B47" s="3">
        <v>41715</v>
      </c>
      <c r="C47" s="4">
        <v>-0.40160000000000001</v>
      </c>
      <c r="D47" s="4">
        <v>0.1434</v>
      </c>
      <c r="E47" s="22">
        <f t="shared" si="0"/>
        <v>0.1404</v>
      </c>
      <c r="F47">
        <f t="shared" si="1"/>
        <v>0.1068450098705373</v>
      </c>
      <c r="G47">
        <f t="shared" si="2"/>
        <v>-0.50844500987053731</v>
      </c>
      <c r="H47">
        <f t="shared" si="3"/>
        <v>16.599999655414049</v>
      </c>
    </row>
    <row r="48" spans="1:8" hidden="1" x14ac:dyDescent="0.25">
      <c r="A48" s="2" t="s">
        <v>10</v>
      </c>
      <c r="B48" s="3">
        <v>41716</v>
      </c>
      <c r="C48" s="4">
        <v>-1.3165</v>
      </c>
      <c r="D48" s="4">
        <v>0.36530000000000001</v>
      </c>
      <c r="E48" s="22">
        <f t="shared" si="0"/>
        <v>0.36230000000000001</v>
      </c>
      <c r="F48">
        <f t="shared" si="1"/>
        <v>0.25514082125938353</v>
      </c>
      <c r="G48">
        <f t="shared" si="2"/>
        <v>-1.5716408212593835</v>
      </c>
      <c r="H48">
        <f t="shared" si="3"/>
        <v>15.028358834154666</v>
      </c>
    </row>
    <row r="49" spans="1:8" hidden="1" x14ac:dyDescent="0.25">
      <c r="A49" s="2" t="s">
        <v>10</v>
      </c>
      <c r="B49" s="3">
        <v>41717</v>
      </c>
      <c r="C49" s="4">
        <v>-1.0246</v>
      </c>
      <c r="D49" s="4">
        <v>-0.48770000000000002</v>
      </c>
      <c r="E49" s="22">
        <f t="shared" si="0"/>
        <v>-0.49070000000000003</v>
      </c>
      <c r="F49">
        <f t="shared" si="1"/>
        <v>-0.31491923784240022</v>
      </c>
      <c r="G49">
        <f t="shared" si="2"/>
        <v>-0.70968076215759979</v>
      </c>
      <c r="H49">
        <f t="shared" si="3"/>
        <v>14.318678071997066</v>
      </c>
    </row>
    <row r="50" spans="1:8" hidden="1" x14ac:dyDescent="0.25">
      <c r="A50" s="2" t="s">
        <v>10</v>
      </c>
      <c r="B50" s="3">
        <v>41718</v>
      </c>
      <c r="C50" s="4">
        <v>-2.0811999999999999</v>
      </c>
      <c r="D50" s="4">
        <v>-1.0659000000000001</v>
      </c>
      <c r="E50" s="22">
        <f t="shared" si="0"/>
        <v>-1.0689</v>
      </c>
      <c r="F50">
        <f t="shared" si="1"/>
        <v>-0.70133040568841576</v>
      </c>
      <c r="G50">
        <f t="shared" si="2"/>
        <v>-1.3798695943115842</v>
      </c>
      <c r="H50">
        <f t="shared" si="3"/>
        <v>12.938808477685482</v>
      </c>
    </row>
    <row r="51" spans="1:8" hidden="1" x14ac:dyDescent="0.25">
      <c r="A51" s="2" t="s">
        <v>10</v>
      </c>
      <c r="B51" s="3">
        <v>41719</v>
      </c>
      <c r="C51" s="4">
        <v>1.3576999999999999</v>
      </c>
      <c r="D51" s="4">
        <v>-0.23480000000000001</v>
      </c>
      <c r="E51" s="22">
        <f t="shared" si="0"/>
        <v>-0.23780000000000001</v>
      </c>
      <c r="F51">
        <f t="shared" si="1"/>
        <v>-0.14590612067142589</v>
      </c>
      <c r="G51">
        <f t="shared" si="2"/>
        <v>1.5036061206714257</v>
      </c>
      <c r="H51">
        <f t="shared" si="3"/>
        <v>14.442414598356908</v>
      </c>
    </row>
    <row r="52" spans="1:8" hidden="1" x14ac:dyDescent="0.25">
      <c r="A52" s="2" t="s">
        <v>10</v>
      </c>
      <c r="B52" s="3">
        <v>41722</v>
      </c>
      <c r="C52" s="4">
        <v>-1.2525999999999999</v>
      </c>
      <c r="D52" s="4">
        <v>0.32840000000000003</v>
      </c>
      <c r="E52" s="22">
        <f t="shared" si="0"/>
        <v>0.32540000000000002</v>
      </c>
      <c r="F52">
        <f t="shared" si="1"/>
        <v>0.23048054437678583</v>
      </c>
      <c r="G52">
        <f t="shared" si="2"/>
        <v>-1.4830805443767858</v>
      </c>
      <c r="H52">
        <f t="shared" si="3"/>
        <v>12.959334053980122</v>
      </c>
    </row>
    <row r="53" spans="1:8" hidden="1" x14ac:dyDescent="0.25">
      <c r="A53" s="2" t="s">
        <v>10</v>
      </c>
      <c r="B53" s="3">
        <v>41723</v>
      </c>
      <c r="C53" s="4">
        <v>3.1025999999999998</v>
      </c>
      <c r="D53" s="4">
        <v>0.97050000000000003</v>
      </c>
      <c r="E53" s="22">
        <f t="shared" si="0"/>
        <v>0.96750000000000003</v>
      </c>
      <c r="F53">
        <f t="shared" si="1"/>
        <v>0.65959609414144627</v>
      </c>
      <c r="G53">
        <f t="shared" si="2"/>
        <v>2.4430039058585535</v>
      </c>
      <c r="H53">
        <f t="shared" si="3"/>
        <v>15.402337959838675</v>
      </c>
    </row>
    <row r="54" spans="1:8" hidden="1" x14ac:dyDescent="0.25">
      <c r="A54" s="2" t="s">
        <v>10</v>
      </c>
      <c r="B54" s="3">
        <v>41724</v>
      </c>
      <c r="C54" s="4">
        <v>0.30499999999999999</v>
      </c>
      <c r="D54" s="4">
        <v>0.55049999999999999</v>
      </c>
      <c r="E54" s="22">
        <f t="shared" si="0"/>
        <v>0.54749999999999999</v>
      </c>
      <c r="F54">
        <f t="shared" si="1"/>
        <v>0.37891001580293604</v>
      </c>
      <c r="G54">
        <f t="shared" si="2"/>
        <v>-7.3910015802936047E-2</v>
      </c>
      <c r="H54">
        <f t="shared" si="3"/>
        <v>15.32842794403574</v>
      </c>
    </row>
    <row r="55" spans="1:8" hidden="1" x14ac:dyDescent="0.25">
      <c r="A55" s="2" t="s">
        <v>10</v>
      </c>
      <c r="B55" s="3">
        <v>41725</v>
      </c>
      <c r="C55" s="4">
        <v>0.40529999999999999</v>
      </c>
      <c r="D55" s="4">
        <v>0.48299999999999998</v>
      </c>
      <c r="E55" s="22">
        <f t="shared" si="0"/>
        <v>0.48</v>
      </c>
      <c r="F55">
        <f t="shared" si="1"/>
        <v>0.33379975321281835</v>
      </c>
      <c r="G55">
        <f t="shared" si="2"/>
        <v>7.1500246787181643E-2</v>
      </c>
      <c r="H55">
        <f t="shared" si="3"/>
        <v>15.399928190822921</v>
      </c>
    </row>
    <row r="56" spans="1:8" hidden="1" x14ac:dyDescent="0.25">
      <c r="A56" s="2" t="s">
        <v>10</v>
      </c>
      <c r="B56" s="3">
        <v>41726</v>
      </c>
      <c r="C56" s="4">
        <v>-2.3530000000000002</v>
      </c>
      <c r="D56" s="4">
        <v>-5.62E-2</v>
      </c>
      <c r="E56" s="22">
        <f t="shared" si="0"/>
        <v>-5.9200000000000003E-2</v>
      </c>
      <c r="F56">
        <f t="shared" si="1"/>
        <v>-2.6547707358907047E-2</v>
      </c>
      <c r="G56">
        <f t="shared" si="2"/>
        <v>-2.3264522926410933</v>
      </c>
      <c r="H56">
        <f t="shared" si="3"/>
        <v>13.073475898181828</v>
      </c>
    </row>
    <row r="57" spans="1:8" hidden="1" x14ac:dyDescent="0.25">
      <c r="A57" s="2" t="s">
        <v>10</v>
      </c>
      <c r="B57" s="3">
        <v>41729</v>
      </c>
      <c r="C57" s="4">
        <v>2.2519</v>
      </c>
      <c r="D57" s="4">
        <v>0.84699999999999998</v>
      </c>
      <c r="E57" s="22">
        <f t="shared" si="0"/>
        <v>0.84399999999999997</v>
      </c>
      <c r="F57">
        <f t="shared" si="1"/>
        <v>0.57706102110619384</v>
      </c>
      <c r="G57">
        <f t="shared" si="2"/>
        <v>1.6748389788938063</v>
      </c>
      <c r="H57">
        <f t="shared" si="3"/>
        <v>14.748314877075634</v>
      </c>
    </row>
    <row r="58" spans="1:8" hidden="1" x14ac:dyDescent="0.25">
      <c r="A58" s="2" t="s">
        <v>10</v>
      </c>
      <c r="B58" s="3">
        <v>41730</v>
      </c>
      <c r="C58" s="4">
        <v>-0.30409999999999998</v>
      </c>
      <c r="D58" s="4">
        <v>0.26939999999999997</v>
      </c>
      <c r="E58" s="22">
        <f t="shared" si="0"/>
        <v>0.26639999999999997</v>
      </c>
      <c r="F58">
        <f t="shared" si="1"/>
        <v>0.19105083337209033</v>
      </c>
      <c r="G58">
        <f t="shared" si="2"/>
        <v>-0.49515083337209032</v>
      </c>
      <c r="H58">
        <f t="shared" si="3"/>
        <v>14.253164043703544</v>
      </c>
    </row>
    <row r="59" spans="1:8" hidden="1" x14ac:dyDescent="0.25">
      <c r="A59" s="2" t="s">
        <v>10</v>
      </c>
      <c r="B59" s="3">
        <v>41731</v>
      </c>
      <c r="C59" s="4">
        <v>-0.1016</v>
      </c>
      <c r="D59" s="4">
        <v>0.3634</v>
      </c>
      <c r="E59" s="22">
        <f t="shared" si="0"/>
        <v>0.3604</v>
      </c>
      <c r="F59">
        <f t="shared" si="1"/>
        <v>0.25387105090499495</v>
      </c>
      <c r="G59">
        <f t="shared" si="2"/>
        <v>-0.35547105090499498</v>
      </c>
      <c r="H59">
        <f t="shared" si="3"/>
        <v>13.897692992798548</v>
      </c>
    </row>
    <row r="60" spans="1:8" hidden="1" x14ac:dyDescent="0.25">
      <c r="A60" s="2" t="s">
        <v>10</v>
      </c>
      <c r="B60" s="3">
        <v>41732</v>
      </c>
      <c r="C60" s="4">
        <v>0.70889999999999997</v>
      </c>
      <c r="D60" s="4">
        <v>-0.19009999999999999</v>
      </c>
      <c r="E60" s="22">
        <f t="shared" si="0"/>
        <v>-0.19309999999999999</v>
      </c>
      <c r="F60">
        <f t="shared" si="1"/>
        <v>-0.11603310233397016</v>
      </c>
      <c r="G60">
        <f t="shared" si="2"/>
        <v>0.8249331023339701</v>
      </c>
      <c r="H60">
        <f t="shared" si="3"/>
        <v>14.722626095132519</v>
      </c>
    </row>
    <row r="61" spans="1:8" hidden="1" x14ac:dyDescent="0.25">
      <c r="A61" s="2" t="s">
        <v>10</v>
      </c>
      <c r="B61" s="3">
        <v>41736</v>
      </c>
      <c r="C61" s="4">
        <v>0.80400000000000005</v>
      </c>
      <c r="D61" s="4">
        <v>-0.13619999999999999</v>
      </c>
      <c r="E61" s="22">
        <f t="shared" si="0"/>
        <v>-0.13919999999999999</v>
      </c>
      <c r="F61">
        <f t="shared" si="1"/>
        <v>-8.0011722280528011E-2</v>
      </c>
      <c r="G61">
        <f t="shared" si="2"/>
        <v>0.88401172228052805</v>
      </c>
      <c r="H61">
        <f t="shared" si="3"/>
        <v>15.606637817413047</v>
      </c>
    </row>
    <row r="62" spans="1:8" hidden="1" x14ac:dyDescent="0.25">
      <c r="A62" s="2" t="s">
        <v>10</v>
      </c>
      <c r="B62" s="3">
        <v>41737</v>
      </c>
      <c r="C62" s="4">
        <v>-0.50180000000000002</v>
      </c>
      <c r="D62" s="4">
        <v>0.13300000000000001</v>
      </c>
      <c r="E62" s="22">
        <f t="shared" si="0"/>
        <v>0.13</v>
      </c>
      <c r="F62">
        <f t="shared" si="1"/>
        <v>9.9894687930726575E-2</v>
      </c>
      <c r="G62">
        <f t="shared" si="2"/>
        <v>-0.60169468793072656</v>
      </c>
      <c r="H62">
        <f t="shared" si="3"/>
        <v>15.004943129482321</v>
      </c>
    </row>
    <row r="63" spans="1:8" hidden="1" x14ac:dyDescent="0.25">
      <c r="A63" s="2" t="s">
        <v>10</v>
      </c>
      <c r="B63" s="3">
        <v>41738</v>
      </c>
      <c r="C63" s="4">
        <v>0</v>
      </c>
      <c r="D63" s="4">
        <v>0.47499999999999998</v>
      </c>
      <c r="E63" s="22">
        <f t="shared" si="0"/>
        <v>0.47199999999999998</v>
      </c>
      <c r="F63">
        <f t="shared" si="1"/>
        <v>0.32845335172065626</v>
      </c>
      <c r="G63">
        <f t="shared" si="2"/>
        <v>-0.32845335172065626</v>
      </c>
      <c r="H63">
        <f t="shared" si="3"/>
        <v>14.676489777761665</v>
      </c>
    </row>
    <row r="64" spans="1:8" hidden="1" x14ac:dyDescent="0.25">
      <c r="A64" s="2" t="s">
        <v>10</v>
      </c>
      <c r="B64" s="3">
        <v>41739</v>
      </c>
      <c r="C64" s="4">
        <v>-1.1128</v>
      </c>
      <c r="D64" s="4">
        <v>0.1961</v>
      </c>
      <c r="E64" s="22">
        <f t="shared" si="0"/>
        <v>0.19309999999999999</v>
      </c>
      <c r="F64">
        <f t="shared" si="1"/>
        <v>0.14206442970015512</v>
      </c>
      <c r="G64">
        <f t="shared" si="2"/>
        <v>-1.2548644297001552</v>
      </c>
      <c r="H64">
        <f t="shared" si="3"/>
        <v>13.421625348061509</v>
      </c>
    </row>
    <row r="65" spans="1:8" hidden="1" x14ac:dyDescent="0.25">
      <c r="A65" s="2" t="s">
        <v>10</v>
      </c>
      <c r="B65" s="3">
        <v>41740</v>
      </c>
      <c r="C65" s="4">
        <v>-0.7147</v>
      </c>
      <c r="D65" s="4">
        <v>-0.4486</v>
      </c>
      <c r="E65" s="22">
        <f t="shared" si="0"/>
        <v>-0.4516</v>
      </c>
      <c r="F65">
        <f t="shared" si="1"/>
        <v>-0.28878870054945793</v>
      </c>
      <c r="G65">
        <f t="shared" si="2"/>
        <v>-0.42591129945054207</v>
      </c>
      <c r="H65">
        <f t="shared" si="3"/>
        <v>12.995714048610967</v>
      </c>
    </row>
    <row r="66" spans="1:8" hidden="1" x14ac:dyDescent="0.25">
      <c r="A66" s="2" t="s">
        <v>10</v>
      </c>
      <c r="B66" s="3">
        <v>41743</v>
      </c>
      <c r="C66" s="4">
        <v>-2.2799</v>
      </c>
      <c r="D66" s="4">
        <v>-0.56999999999999995</v>
      </c>
      <c r="E66" s="22">
        <f t="shared" si="0"/>
        <v>-0.57299999999999995</v>
      </c>
      <c r="F66">
        <f t="shared" si="1"/>
        <v>-0.36992034319301775</v>
      </c>
      <c r="G66">
        <f t="shared" si="2"/>
        <v>-1.9099796568069822</v>
      </c>
      <c r="H66">
        <f t="shared" si="3"/>
        <v>11.085734391803985</v>
      </c>
    </row>
    <row r="67" spans="1:8" hidden="1" x14ac:dyDescent="0.25">
      <c r="A67" s="2" t="s">
        <v>10</v>
      </c>
      <c r="B67" s="3">
        <v>41744</v>
      </c>
      <c r="C67" s="4">
        <v>1.25</v>
      </c>
      <c r="D67" s="4">
        <v>0.66720000000000002</v>
      </c>
      <c r="E67" s="22">
        <f t="shared" ref="E67:E130" si="4">D67-K$2</f>
        <v>0.66420000000000001</v>
      </c>
      <c r="F67">
        <f t="shared" ref="F67:F130" si="5">K$3+K$4*E67</f>
        <v>0.45690064756985066</v>
      </c>
      <c r="G67">
        <f t="shared" ref="G67:G130" si="6">C67-F67</f>
        <v>0.79309935243014928</v>
      </c>
      <c r="H67">
        <f t="shared" si="3"/>
        <v>11.878833744234134</v>
      </c>
    </row>
    <row r="68" spans="1:8" hidden="1" x14ac:dyDescent="0.25">
      <c r="A68" s="2" t="s">
        <v>10</v>
      </c>
      <c r="B68" s="3">
        <v>41745</v>
      </c>
      <c r="C68" s="4">
        <v>0.82469999999999999</v>
      </c>
      <c r="D68" s="4">
        <v>7.9699999999999993E-2</v>
      </c>
      <c r="E68" s="22">
        <f t="shared" si="4"/>
        <v>7.669999999999999E-2</v>
      </c>
      <c r="F68">
        <f t="shared" si="5"/>
        <v>6.4274287989196599E-2</v>
      </c>
      <c r="G68">
        <f t="shared" si="6"/>
        <v>0.76042571201080333</v>
      </c>
      <c r="H68">
        <f t="shared" ref="H68:H131" si="7">H67+G68</f>
        <v>12.639259456244938</v>
      </c>
    </row>
    <row r="69" spans="1:8" hidden="1" x14ac:dyDescent="0.25">
      <c r="A69" s="2" t="s">
        <v>10</v>
      </c>
      <c r="B69" s="3">
        <v>41746</v>
      </c>
      <c r="C69" s="4">
        <v>1.123</v>
      </c>
      <c r="D69" s="4">
        <v>0.22770000000000001</v>
      </c>
      <c r="E69" s="22">
        <f t="shared" si="4"/>
        <v>0.22470000000000001</v>
      </c>
      <c r="F69">
        <f t="shared" si="5"/>
        <v>0.16318271559419542</v>
      </c>
      <c r="G69">
        <f t="shared" si="6"/>
        <v>0.9598172844058046</v>
      </c>
      <c r="H69">
        <f t="shared" si="7"/>
        <v>13.599076740650743</v>
      </c>
    </row>
    <row r="70" spans="1:8" hidden="1" x14ac:dyDescent="0.25">
      <c r="A70" s="2" t="s">
        <v>10</v>
      </c>
      <c r="B70" s="3">
        <v>41747</v>
      </c>
      <c r="C70" s="4">
        <v>-1.0204</v>
      </c>
      <c r="D70" s="4">
        <v>0.25119999999999998</v>
      </c>
      <c r="E70" s="22">
        <f t="shared" si="4"/>
        <v>0.24819999999999998</v>
      </c>
      <c r="F70">
        <f t="shared" si="5"/>
        <v>0.17888776997742156</v>
      </c>
      <c r="G70">
        <f t="shared" si="6"/>
        <v>-1.1992877699774216</v>
      </c>
      <c r="H70">
        <f t="shared" si="7"/>
        <v>12.39978897067332</v>
      </c>
    </row>
    <row r="71" spans="1:8" hidden="1" x14ac:dyDescent="0.25">
      <c r="A71" s="2" t="s">
        <v>10</v>
      </c>
      <c r="B71" s="3">
        <v>41750</v>
      </c>
      <c r="C71" s="4">
        <v>1.2233000000000001</v>
      </c>
      <c r="D71" s="4">
        <v>-0.17269999999999999</v>
      </c>
      <c r="E71" s="22">
        <f t="shared" si="4"/>
        <v>-0.1757</v>
      </c>
      <c r="F71">
        <f t="shared" si="5"/>
        <v>-0.1044046790885176</v>
      </c>
      <c r="G71">
        <f t="shared" si="6"/>
        <v>1.3277046790885176</v>
      </c>
      <c r="H71">
        <f t="shared" si="7"/>
        <v>13.727493649761838</v>
      </c>
    </row>
    <row r="72" spans="1:8" hidden="1" x14ac:dyDescent="0.25">
      <c r="A72" s="2" t="s">
        <v>10</v>
      </c>
      <c r="B72" s="3">
        <v>41751</v>
      </c>
      <c r="C72" s="4">
        <v>1.3085</v>
      </c>
      <c r="D72" s="4">
        <v>0.26240000000000002</v>
      </c>
      <c r="E72" s="22">
        <f t="shared" si="4"/>
        <v>0.25940000000000002</v>
      </c>
      <c r="F72">
        <f t="shared" si="5"/>
        <v>0.18637273206644853</v>
      </c>
      <c r="G72">
        <f t="shared" si="6"/>
        <v>1.1221272679335514</v>
      </c>
      <c r="H72">
        <f t="shared" si="7"/>
        <v>14.84962091769539</v>
      </c>
    </row>
    <row r="73" spans="1:8" hidden="1" x14ac:dyDescent="0.25">
      <c r="A73" s="2" t="s">
        <v>10</v>
      </c>
      <c r="B73" s="3">
        <v>41752</v>
      </c>
      <c r="C73" s="4">
        <v>0.59819999999999995</v>
      </c>
      <c r="D73" s="4">
        <v>-0.19839999999999999</v>
      </c>
      <c r="E73" s="22">
        <f t="shared" si="4"/>
        <v>-0.2014</v>
      </c>
      <c r="F73">
        <f t="shared" si="5"/>
        <v>-0.12157999388208832</v>
      </c>
      <c r="G73">
        <f t="shared" si="6"/>
        <v>0.71977999388208824</v>
      </c>
      <c r="H73">
        <f t="shared" si="7"/>
        <v>15.569400911577478</v>
      </c>
    </row>
    <row r="74" spans="1:8" hidden="1" x14ac:dyDescent="0.25">
      <c r="A74" s="2" t="s">
        <v>10</v>
      </c>
      <c r="B74" s="3">
        <v>41753</v>
      </c>
      <c r="C74" s="4">
        <v>0.39679999999999999</v>
      </c>
      <c r="D74" s="4">
        <v>-0.12809999999999999</v>
      </c>
      <c r="E74" s="22">
        <f t="shared" si="4"/>
        <v>-0.13109999999999999</v>
      </c>
      <c r="F74">
        <f t="shared" si="5"/>
        <v>-7.4598490769713893E-2</v>
      </c>
      <c r="G74">
        <f t="shared" si="6"/>
        <v>0.47139849076971385</v>
      </c>
      <c r="H74">
        <f t="shared" si="7"/>
        <v>16.040799402347194</v>
      </c>
    </row>
    <row r="75" spans="1:8" hidden="1" x14ac:dyDescent="0.25">
      <c r="A75" s="2" t="s">
        <v>10</v>
      </c>
      <c r="B75" s="3">
        <v>41754</v>
      </c>
      <c r="C75" s="4">
        <v>1.5717000000000001</v>
      </c>
      <c r="D75" s="4">
        <v>-1.9339</v>
      </c>
      <c r="E75" s="22">
        <f t="shared" si="4"/>
        <v>-1.9368999999999998</v>
      </c>
      <c r="F75">
        <f t="shared" si="5"/>
        <v>-1.2814149675880033</v>
      </c>
      <c r="G75">
        <f t="shared" si="6"/>
        <v>2.8531149675880032</v>
      </c>
      <c r="H75">
        <f t="shared" si="7"/>
        <v>18.893914369935196</v>
      </c>
    </row>
    <row r="76" spans="1:8" hidden="1" x14ac:dyDescent="0.25">
      <c r="A76" s="2" t="s">
        <v>10</v>
      </c>
      <c r="B76" s="3">
        <v>41757</v>
      </c>
      <c r="C76" s="4">
        <v>1.7392000000000001</v>
      </c>
      <c r="D76" s="4">
        <v>0.40479999999999999</v>
      </c>
      <c r="E76" s="22">
        <f t="shared" si="4"/>
        <v>0.40179999999999999</v>
      </c>
      <c r="F76">
        <f t="shared" si="5"/>
        <v>0.28153867862693382</v>
      </c>
      <c r="G76">
        <f t="shared" si="6"/>
        <v>1.4576613213730663</v>
      </c>
      <c r="H76">
        <f t="shared" si="7"/>
        <v>20.351575691308263</v>
      </c>
    </row>
    <row r="77" spans="1:8" hidden="1" x14ac:dyDescent="0.25">
      <c r="A77" s="2" t="s">
        <v>10</v>
      </c>
      <c r="B77" s="3">
        <v>41758</v>
      </c>
      <c r="C77" s="4">
        <v>-0.38390000000000002</v>
      </c>
      <c r="D77" s="4">
        <v>0.70579999999999998</v>
      </c>
      <c r="E77" s="22">
        <f t="shared" si="4"/>
        <v>0.70279999999999998</v>
      </c>
      <c r="F77">
        <f t="shared" si="5"/>
        <v>0.4826970347695328</v>
      </c>
      <c r="G77">
        <f t="shared" si="6"/>
        <v>-0.86659703476953287</v>
      </c>
      <c r="H77">
        <f t="shared" si="7"/>
        <v>19.484978656538729</v>
      </c>
    </row>
    <row r="78" spans="1:8" hidden="1" x14ac:dyDescent="0.25">
      <c r="A78" s="2" t="s">
        <v>10</v>
      </c>
      <c r="B78" s="3">
        <v>41759</v>
      </c>
      <c r="C78" s="4">
        <v>-2.7292000000000001</v>
      </c>
      <c r="D78" s="4">
        <v>-0.91339999999999999</v>
      </c>
      <c r="E78" s="22">
        <f t="shared" si="4"/>
        <v>-0.91639999999999999</v>
      </c>
      <c r="F78">
        <f t="shared" si="5"/>
        <v>-0.59941462724407579</v>
      </c>
      <c r="G78">
        <f t="shared" si="6"/>
        <v>-2.1297853727559244</v>
      </c>
      <c r="H78">
        <f t="shared" si="7"/>
        <v>17.355193283782803</v>
      </c>
    </row>
    <row r="79" spans="1:8" hidden="1" x14ac:dyDescent="0.25">
      <c r="A79" s="2" t="s">
        <v>10</v>
      </c>
      <c r="B79" s="3">
        <v>41761</v>
      </c>
      <c r="C79" s="4">
        <v>0.19739999999999999</v>
      </c>
      <c r="D79" s="4">
        <v>0.85940000000000005</v>
      </c>
      <c r="E79" s="22">
        <f t="shared" si="4"/>
        <v>0.85640000000000005</v>
      </c>
      <c r="F79">
        <f t="shared" si="5"/>
        <v>0.58534794341904506</v>
      </c>
      <c r="G79">
        <f t="shared" si="6"/>
        <v>-0.38794794341904504</v>
      </c>
      <c r="H79">
        <f t="shared" si="7"/>
        <v>16.967245340363757</v>
      </c>
    </row>
    <row r="80" spans="1:8" hidden="1" x14ac:dyDescent="0.25">
      <c r="A80" s="2" t="s">
        <v>10</v>
      </c>
      <c r="B80" s="3">
        <v>41764</v>
      </c>
      <c r="C80" s="4">
        <v>-1.5905</v>
      </c>
      <c r="D80" s="4">
        <v>3.5099999999999999E-2</v>
      </c>
      <c r="E80" s="22">
        <f t="shared" si="4"/>
        <v>3.2099999999999997E-2</v>
      </c>
      <c r="F80">
        <f t="shared" si="5"/>
        <v>3.4468099670392896E-2</v>
      </c>
      <c r="G80">
        <f t="shared" si="6"/>
        <v>-1.624968099670393</v>
      </c>
      <c r="H80">
        <f t="shared" si="7"/>
        <v>15.342277240693363</v>
      </c>
    </row>
    <row r="81" spans="1:8" hidden="1" x14ac:dyDescent="0.25">
      <c r="A81" s="2" t="s">
        <v>10</v>
      </c>
      <c r="B81" s="3">
        <v>41765</v>
      </c>
      <c r="C81" s="4">
        <v>0.20019999999999999</v>
      </c>
      <c r="D81" s="4">
        <v>0.47189999999999999</v>
      </c>
      <c r="E81" s="22">
        <f t="shared" si="4"/>
        <v>0.46889999999999998</v>
      </c>
      <c r="F81">
        <f t="shared" si="5"/>
        <v>0.32638162114244346</v>
      </c>
      <c r="G81">
        <f t="shared" si="6"/>
        <v>-0.12618162114244347</v>
      </c>
      <c r="H81">
        <f t="shared" si="7"/>
        <v>15.21609561955092</v>
      </c>
    </row>
    <row r="82" spans="1:8" hidden="1" x14ac:dyDescent="0.25">
      <c r="A82" s="2" t="s">
        <v>10</v>
      </c>
      <c r="B82" s="3">
        <v>41766</v>
      </c>
      <c r="C82" s="4">
        <v>0</v>
      </c>
      <c r="D82" s="4">
        <v>-0.21529999999999999</v>
      </c>
      <c r="E82" s="22">
        <f t="shared" si="4"/>
        <v>-0.21829999999999999</v>
      </c>
      <c r="F82">
        <f t="shared" si="5"/>
        <v>-0.13287426703428076</v>
      </c>
      <c r="G82">
        <f t="shared" si="6"/>
        <v>0.13287426703428076</v>
      </c>
      <c r="H82">
        <f t="shared" si="7"/>
        <v>15.3489698865852</v>
      </c>
    </row>
    <row r="83" spans="1:8" hidden="1" x14ac:dyDescent="0.25">
      <c r="A83" s="2" t="s">
        <v>10</v>
      </c>
      <c r="B83" s="3">
        <v>41767</v>
      </c>
      <c r="C83" s="4">
        <v>0.19980000000000001</v>
      </c>
      <c r="D83" s="4">
        <v>0.42280000000000001</v>
      </c>
      <c r="E83" s="22">
        <f t="shared" si="4"/>
        <v>0.41980000000000001</v>
      </c>
      <c r="F83">
        <f t="shared" si="5"/>
        <v>0.29356808198429857</v>
      </c>
      <c r="G83">
        <f t="shared" si="6"/>
        <v>-9.3768081984298562E-2</v>
      </c>
      <c r="H83">
        <f t="shared" si="7"/>
        <v>15.255201804600901</v>
      </c>
    </row>
    <row r="84" spans="1:8" hidden="1" x14ac:dyDescent="0.25">
      <c r="A84" s="2" t="s">
        <v>10</v>
      </c>
      <c r="B84" s="3">
        <v>41768</v>
      </c>
      <c r="C84" s="4">
        <v>1.1904999999999999</v>
      </c>
      <c r="D84" s="4">
        <v>-0.46250000000000002</v>
      </c>
      <c r="E84" s="22">
        <f t="shared" si="4"/>
        <v>-0.46550000000000002</v>
      </c>
      <c r="F84">
        <f t="shared" si="5"/>
        <v>-0.29807807314208962</v>
      </c>
      <c r="G84">
        <f t="shared" si="6"/>
        <v>1.4885780731420895</v>
      </c>
      <c r="H84">
        <f t="shared" si="7"/>
        <v>16.743779877742991</v>
      </c>
    </row>
    <row r="85" spans="1:8" hidden="1" x14ac:dyDescent="0.25">
      <c r="A85" s="2" t="s">
        <v>10</v>
      </c>
      <c r="B85" s="3">
        <v>41771</v>
      </c>
      <c r="C85" s="4">
        <v>-0.19739999999999999</v>
      </c>
      <c r="D85" s="4">
        <v>-0.9163</v>
      </c>
      <c r="E85" s="22">
        <f t="shared" si="4"/>
        <v>-0.91930000000000001</v>
      </c>
      <c r="F85">
        <f t="shared" si="5"/>
        <v>-0.60135269778498457</v>
      </c>
      <c r="G85">
        <f t="shared" si="6"/>
        <v>0.40395269778498455</v>
      </c>
      <c r="H85">
        <f t="shared" si="7"/>
        <v>17.147732575527975</v>
      </c>
    </row>
    <row r="86" spans="1:8" hidden="1" x14ac:dyDescent="0.25">
      <c r="A86" s="2" t="s">
        <v>10</v>
      </c>
      <c r="B86" s="3">
        <v>41772</v>
      </c>
      <c r="C86" s="4">
        <v>-2.9075000000000002</v>
      </c>
      <c r="D86" s="4">
        <v>0.10589999999999999</v>
      </c>
      <c r="E86" s="22">
        <f t="shared" si="4"/>
        <v>0.10289999999999999</v>
      </c>
      <c r="F86">
        <f t="shared" si="5"/>
        <v>8.178375287602746E-2</v>
      </c>
      <c r="G86">
        <f t="shared" si="6"/>
        <v>-2.9892837528760277</v>
      </c>
      <c r="H86">
        <f t="shared" si="7"/>
        <v>14.158448822651948</v>
      </c>
    </row>
    <row r="87" spans="1:8" hidden="1" x14ac:dyDescent="0.25">
      <c r="A87" s="2" t="s">
        <v>10</v>
      </c>
      <c r="B87" s="3">
        <v>41773</v>
      </c>
      <c r="C87" s="4">
        <v>0.20330000000000001</v>
      </c>
      <c r="D87" s="4">
        <v>0.64680000000000004</v>
      </c>
      <c r="E87" s="22">
        <f t="shared" si="4"/>
        <v>0.64380000000000004</v>
      </c>
      <c r="F87">
        <f t="shared" si="5"/>
        <v>0.44326732376483735</v>
      </c>
      <c r="G87">
        <f t="shared" si="6"/>
        <v>-0.23996732376483734</v>
      </c>
      <c r="H87">
        <f t="shared" si="7"/>
        <v>13.918481498887111</v>
      </c>
    </row>
    <row r="88" spans="1:8" hidden="1" x14ac:dyDescent="0.25">
      <c r="A88" s="2" t="s">
        <v>10</v>
      </c>
      <c r="B88" s="3">
        <v>41774</v>
      </c>
      <c r="C88" s="4">
        <v>-0.20330000000000001</v>
      </c>
      <c r="D88" s="4">
        <v>6.1800000000000001E-2</v>
      </c>
      <c r="E88" s="22">
        <f t="shared" si="4"/>
        <v>5.8799999999999998E-2</v>
      </c>
      <c r="F88">
        <f t="shared" si="5"/>
        <v>5.2311714650483898E-2</v>
      </c>
      <c r="G88">
        <f t="shared" si="6"/>
        <v>-0.25561171465048393</v>
      </c>
      <c r="H88">
        <f t="shared" si="7"/>
        <v>13.662869784236626</v>
      </c>
    </row>
    <row r="89" spans="1:8" hidden="1" x14ac:dyDescent="0.25">
      <c r="A89" s="2" t="s">
        <v>10</v>
      </c>
      <c r="B89" s="3">
        <v>41775</v>
      </c>
      <c r="C89" s="4">
        <v>-0.50990000000000002</v>
      </c>
      <c r="D89" s="4">
        <v>8.7800000000000003E-2</v>
      </c>
      <c r="E89" s="22">
        <f t="shared" si="4"/>
        <v>8.48E-2</v>
      </c>
      <c r="F89">
        <f t="shared" si="5"/>
        <v>6.9687519500010731E-2</v>
      </c>
      <c r="G89">
        <f t="shared" si="6"/>
        <v>-0.57958751950001075</v>
      </c>
      <c r="H89">
        <f t="shared" si="7"/>
        <v>13.083282264736615</v>
      </c>
    </row>
    <row r="90" spans="1:8" hidden="1" x14ac:dyDescent="0.25">
      <c r="A90" s="2" t="s">
        <v>10</v>
      </c>
      <c r="B90" s="3">
        <v>41778</v>
      </c>
      <c r="C90" s="4">
        <v>0.81469999999999998</v>
      </c>
      <c r="D90" s="4">
        <v>0.12870000000000001</v>
      </c>
      <c r="E90" s="22">
        <f t="shared" si="4"/>
        <v>0.12570000000000001</v>
      </c>
      <c r="F90">
        <f t="shared" si="5"/>
        <v>9.7020997128689446E-2</v>
      </c>
      <c r="G90">
        <f t="shared" si="6"/>
        <v>0.71767900287131048</v>
      </c>
      <c r="H90">
        <f t="shared" si="7"/>
        <v>13.800961267607926</v>
      </c>
    </row>
    <row r="91" spans="1:8" hidden="1" x14ac:dyDescent="0.25">
      <c r="A91" s="2" t="s">
        <v>10</v>
      </c>
      <c r="B91" s="3">
        <v>41779</v>
      </c>
      <c r="C91" s="4">
        <v>0.80810000000000004</v>
      </c>
      <c r="D91" s="4">
        <v>-0.13619999999999999</v>
      </c>
      <c r="E91" s="22">
        <f t="shared" si="4"/>
        <v>-0.13919999999999999</v>
      </c>
      <c r="F91">
        <f t="shared" si="5"/>
        <v>-8.0011722280528011E-2</v>
      </c>
      <c r="G91">
        <f t="shared" si="6"/>
        <v>0.88811172228052804</v>
      </c>
      <c r="H91">
        <f t="shared" si="7"/>
        <v>14.689072989888453</v>
      </c>
    </row>
    <row r="92" spans="1:8" hidden="1" x14ac:dyDescent="0.25">
      <c r="A92" s="2" t="s">
        <v>10</v>
      </c>
      <c r="B92" s="3">
        <v>41780</v>
      </c>
      <c r="C92" s="4">
        <v>-0.80810000000000004</v>
      </c>
      <c r="D92" s="4">
        <v>-0.28589999999999999</v>
      </c>
      <c r="E92" s="22">
        <f t="shared" si="4"/>
        <v>-0.28889999999999999</v>
      </c>
      <c r="F92">
        <f t="shared" si="5"/>
        <v>-0.18005626020261128</v>
      </c>
      <c r="G92">
        <f t="shared" si="6"/>
        <v>-0.62804373979738881</v>
      </c>
      <c r="H92">
        <f t="shared" si="7"/>
        <v>14.061029250091064</v>
      </c>
    </row>
    <row r="93" spans="1:8" hidden="1" x14ac:dyDescent="0.25">
      <c r="A93" s="2" t="s">
        <v>10</v>
      </c>
      <c r="B93" s="3">
        <v>41781</v>
      </c>
      <c r="C93" s="4">
        <v>0.1014</v>
      </c>
      <c r="D93" s="4">
        <v>1.2024999999999999</v>
      </c>
      <c r="E93" s="22">
        <f t="shared" si="4"/>
        <v>1.1995</v>
      </c>
      <c r="F93">
        <f t="shared" si="5"/>
        <v>0.81464173741414703</v>
      </c>
      <c r="G93">
        <f t="shared" si="6"/>
        <v>-0.71324173741414698</v>
      </c>
      <c r="H93">
        <f t="shared" si="7"/>
        <v>13.347787512676916</v>
      </c>
    </row>
    <row r="94" spans="1:8" hidden="1" x14ac:dyDescent="0.25">
      <c r="A94" s="2" t="s">
        <v>10</v>
      </c>
      <c r="B94" s="3">
        <v>41782</v>
      </c>
      <c r="C94" s="4">
        <v>0.30349999999999999</v>
      </c>
      <c r="D94" s="4">
        <v>0.42930000000000001</v>
      </c>
      <c r="E94" s="22">
        <f t="shared" si="4"/>
        <v>0.42630000000000001</v>
      </c>
      <c r="F94">
        <f t="shared" si="5"/>
        <v>0.2979120331966803</v>
      </c>
      <c r="G94">
        <f t="shared" si="6"/>
        <v>5.5879668033196883E-3</v>
      </c>
      <c r="H94">
        <f t="shared" si="7"/>
        <v>13.353375479480237</v>
      </c>
    </row>
    <row r="95" spans="1:8" hidden="1" x14ac:dyDescent="0.25">
      <c r="A95" s="2" t="s">
        <v>10</v>
      </c>
      <c r="B95" s="3">
        <v>41785</v>
      </c>
      <c r="C95" s="4">
        <v>-0.50629999999999997</v>
      </c>
      <c r="D95" s="4">
        <v>0.30919999999999997</v>
      </c>
      <c r="E95" s="22">
        <f t="shared" si="4"/>
        <v>0.30619999999999997</v>
      </c>
      <c r="F95">
        <f t="shared" si="5"/>
        <v>0.21764918079559675</v>
      </c>
      <c r="G95">
        <f t="shared" si="6"/>
        <v>-0.72394918079559667</v>
      </c>
      <c r="H95">
        <f t="shared" si="7"/>
        <v>12.62942629868464</v>
      </c>
    </row>
    <row r="96" spans="1:8" hidden="1" x14ac:dyDescent="0.25">
      <c r="A96" s="2" t="s">
        <v>10</v>
      </c>
      <c r="B96" s="3">
        <v>41786</v>
      </c>
      <c r="C96" s="4">
        <v>-0.30499999999999999</v>
      </c>
      <c r="D96" s="4">
        <v>0.21190000000000001</v>
      </c>
      <c r="E96" s="22">
        <f t="shared" si="4"/>
        <v>0.2089</v>
      </c>
      <c r="F96">
        <f t="shared" si="5"/>
        <v>0.15262357264717527</v>
      </c>
      <c r="G96">
        <f t="shared" si="6"/>
        <v>-0.45762357264717524</v>
      </c>
      <c r="H96">
        <f t="shared" si="7"/>
        <v>12.171802726037464</v>
      </c>
    </row>
    <row r="97" spans="1:8" hidden="1" x14ac:dyDescent="0.25">
      <c r="A97" s="2" t="s">
        <v>10</v>
      </c>
      <c r="B97" s="3">
        <v>41787</v>
      </c>
      <c r="C97" s="4">
        <v>1.0132000000000001</v>
      </c>
      <c r="D97" s="4">
        <v>0.73080000000000001</v>
      </c>
      <c r="E97" s="22">
        <f t="shared" si="4"/>
        <v>0.7278</v>
      </c>
      <c r="F97">
        <f t="shared" si="5"/>
        <v>0.49940453943253932</v>
      </c>
      <c r="G97">
        <f t="shared" si="6"/>
        <v>0.51379546056746084</v>
      </c>
      <c r="H97">
        <f t="shared" si="7"/>
        <v>12.685598186604926</v>
      </c>
    </row>
    <row r="98" spans="1:8" hidden="1" x14ac:dyDescent="0.25">
      <c r="A98" s="2" t="s">
        <v>10</v>
      </c>
      <c r="B98" s="3">
        <v>41788</v>
      </c>
      <c r="C98" s="4">
        <v>-0.50529999999999997</v>
      </c>
      <c r="D98" s="4">
        <v>-0.1394</v>
      </c>
      <c r="E98" s="22">
        <f t="shared" si="4"/>
        <v>-0.1424</v>
      </c>
      <c r="F98">
        <f t="shared" si="5"/>
        <v>-8.2150282877392858E-2</v>
      </c>
      <c r="G98">
        <f t="shared" si="6"/>
        <v>-0.42314971712260713</v>
      </c>
      <c r="H98">
        <f t="shared" si="7"/>
        <v>12.262448469482319</v>
      </c>
    </row>
    <row r="99" spans="1:8" hidden="1" x14ac:dyDescent="0.25">
      <c r="A99" s="2" t="s">
        <v>10</v>
      </c>
      <c r="B99" s="3">
        <v>41789</v>
      </c>
      <c r="C99" s="4">
        <v>0.50529999999999997</v>
      </c>
      <c r="D99" s="4">
        <v>-0.3639</v>
      </c>
      <c r="E99" s="22">
        <f t="shared" si="4"/>
        <v>-0.3669</v>
      </c>
      <c r="F99">
        <f t="shared" si="5"/>
        <v>-0.23218367475119173</v>
      </c>
      <c r="G99">
        <f t="shared" si="6"/>
        <v>0.7374836747511917</v>
      </c>
      <c r="H99">
        <f t="shared" si="7"/>
        <v>12.99993214423351</v>
      </c>
    </row>
    <row r="100" spans="1:8" hidden="1" x14ac:dyDescent="0.25">
      <c r="A100" s="2" t="s">
        <v>10</v>
      </c>
      <c r="B100" s="3">
        <v>41793</v>
      </c>
      <c r="C100" s="4">
        <v>1.0029999999999999</v>
      </c>
      <c r="D100" s="4">
        <v>0.52249999999999996</v>
      </c>
      <c r="E100" s="22">
        <f t="shared" si="4"/>
        <v>0.51949999999999996</v>
      </c>
      <c r="F100">
        <f t="shared" si="5"/>
        <v>0.3601976105803687</v>
      </c>
      <c r="G100">
        <f t="shared" si="6"/>
        <v>0.64280238941963119</v>
      </c>
      <c r="H100">
        <f t="shared" si="7"/>
        <v>13.64273453365314</v>
      </c>
    </row>
    <row r="101" spans="1:8" hidden="1" x14ac:dyDescent="0.25">
      <c r="A101" s="2" t="s">
        <v>10</v>
      </c>
      <c r="B101" s="3">
        <v>41794</v>
      </c>
      <c r="C101" s="4">
        <v>1.3875</v>
      </c>
      <c r="D101" s="4">
        <v>-3.8399999999999997E-2</v>
      </c>
      <c r="E101" s="22">
        <f t="shared" si="4"/>
        <v>-4.1399999999999999E-2</v>
      </c>
      <c r="F101">
        <f t="shared" si="5"/>
        <v>-1.4651964038846374E-2</v>
      </c>
      <c r="G101">
        <f t="shared" si="6"/>
        <v>1.4021519640388462</v>
      </c>
      <c r="H101">
        <f t="shared" si="7"/>
        <v>15.044886497691987</v>
      </c>
    </row>
    <row r="102" spans="1:8" hidden="1" x14ac:dyDescent="0.25">
      <c r="A102" s="2" t="s">
        <v>10</v>
      </c>
      <c r="B102" s="3">
        <v>41795</v>
      </c>
      <c r="C102" s="4">
        <v>0.19670000000000001</v>
      </c>
      <c r="D102" s="4">
        <v>0.22739999999999999</v>
      </c>
      <c r="E102" s="22">
        <f t="shared" si="4"/>
        <v>0.22439999999999999</v>
      </c>
      <c r="F102">
        <f t="shared" si="5"/>
        <v>0.16298222553823932</v>
      </c>
      <c r="G102">
        <f t="shared" si="6"/>
        <v>3.3717774461760691E-2</v>
      </c>
      <c r="H102">
        <f t="shared" si="7"/>
        <v>15.078604272153747</v>
      </c>
    </row>
    <row r="103" spans="1:8" hidden="1" x14ac:dyDescent="0.25">
      <c r="A103" s="2" t="s">
        <v>10</v>
      </c>
      <c r="B103" s="3">
        <v>41796</v>
      </c>
      <c r="C103" s="4">
        <v>-0.98719999999999997</v>
      </c>
      <c r="D103" s="4">
        <v>-6.8500000000000005E-2</v>
      </c>
      <c r="E103" s="22">
        <f t="shared" si="4"/>
        <v>-7.1500000000000008E-2</v>
      </c>
      <c r="F103">
        <f t="shared" si="5"/>
        <v>-3.4767799653106272E-2</v>
      </c>
      <c r="G103">
        <f t="shared" si="6"/>
        <v>-0.95243220034689369</v>
      </c>
      <c r="H103">
        <f t="shared" si="7"/>
        <v>14.126172071806852</v>
      </c>
    </row>
    <row r="104" spans="1:8" hidden="1" x14ac:dyDescent="0.25">
      <c r="A104" s="2" t="s">
        <v>10</v>
      </c>
      <c r="B104" s="3">
        <v>41799</v>
      </c>
      <c r="C104" s="4">
        <v>-0.39760000000000001</v>
      </c>
      <c r="D104" s="4">
        <v>0.30909999999999999</v>
      </c>
      <c r="E104" s="22">
        <f t="shared" si="4"/>
        <v>0.30609999999999998</v>
      </c>
      <c r="F104">
        <f t="shared" si="5"/>
        <v>0.21758235077694474</v>
      </c>
      <c r="G104">
        <f t="shared" si="6"/>
        <v>-0.61518235077694472</v>
      </c>
      <c r="H104">
        <f t="shared" si="7"/>
        <v>13.510989721029908</v>
      </c>
    </row>
    <row r="105" spans="1:8" hidden="1" x14ac:dyDescent="0.25">
      <c r="A105" s="2" t="s">
        <v>10</v>
      </c>
      <c r="B105" s="3">
        <v>41800</v>
      </c>
      <c r="C105" s="4">
        <v>-0.59940000000000004</v>
      </c>
      <c r="D105" s="4">
        <v>0.64870000000000005</v>
      </c>
      <c r="E105" s="22">
        <f t="shared" si="4"/>
        <v>0.64570000000000005</v>
      </c>
      <c r="F105">
        <f t="shared" si="5"/>
        <v>0.44453709411922587</v>
      </c>
      <c r="G105">
        <f t="shared" si="6"/>
        <v>-1.0439370941192259</v>
      </c>
      <c r="H105">
        <f t="shared" si="7"/>
        <v>12.467052626910682</v>
      </c>
    </row>
    <row r="106" spans="1:8" hidden="1" x14ac:dyDescent="0.25">
      <c r="A106" s="2" t="s">
        <v>10</v>
      </c>
      <c r="B106" s="3">
        <v>41801</v>
      </c>
      <c r="C106" s="4">
        <v>0.997</v>
      </c>
      <c r="D106" s="4">
        <v>8.0500000000000002E-2</v>
      </c>
      <c r="E106" s="22">
        <f t="shared" si="4"/>
        <v>7.7499999999999999E-2</v>
      </c>
      <c r="F106">
        <f t="shared" si="5"/>
        <v>6.4808928138412797E-2</v>
      </c>
      <c r="G106">
        <f t="shared" si="6"/>
        <v>0.93219107186158723</v>
      </c>
      <c r="H106">
        <f t="shared" si="7"/>
        <v>13.399243698772269</v>
      </c>
    </row>
    <row r="107" spans="1:8" hidden="1" x14ac:dyDescent="0.25">
      <c r="A107" s="2" t="s">
        <v>10</v>
      </c>
      <c r="B107" s="3">
        <v>41802</v>
      </c>
      <c r="C107" s="4">
        <v>-0.59699999999999998</v>
      </c>
      <c r="D107" s="4">
        <v>-0.27289999999999998</v>
      </c>
      <c r="E107" s="22">
        <f t="shared" si="4"/>
        <v>-0.27589999999999998</v>
      </c>
      <c r="F107">
        <f t="shared" si="5"/>
        <v>-0.17136835777784787</v>
      </c>
      <c r="G107">
        <f t="shared" si="6"/>
        <v>-0.42563164222215211</v>
      </c>
      <c r="H107">
        <f t="shared" si="7"/>
        <v>12.973612056550117</v>
      </c>
    </row>
    <row r="108" spans="1:8" hidden="1" x14ac:dyDescent="0.25">
      <c r="A108" s="2" t="s">
        <v>10</v>
      </c>
      <c r="B108" s="3">
        <v>41803</v>
      </c>
      <c r="C108" s="4">
        <v>0.59699999999999998</v>
      </c>
      <c r="D108" s="4">
        <v>-8.9800000000000005E-2</v>
      </c>
      <c r="E108" s="22">
        <f t="shared" si="4"/>
        <v>-9.2800000000000007E-2</v>
      </c>
      <c r="F108">
        <f t="shared" si="5"/>
        <v>-4.9002593625987856E-2</v>
      </c>
      <c r="G108">
        <f t="shared" si="6"/>
        <v>0.64600259362598789</v>
      </c>
      <c r="H108">
        <f t="shared" si="7"/>
        <v>13.619614650176105</v>
      </c>
    </row>
    <row r="109" spans="1:8" hidden="1" x14ac:dyDescent="0.25">
      <c r="A109" s="2" t="s">
        <v>10</v>
      </c>
      <c r="B109" s="3">
        <v>41806</v>
      </c>
      <c r="C109" s="4">
        <v>-0.79679999999999995</v>
      </c>
      <c r="D109" s="4">
        <v>7.1099999999999997E-2</v>
      </c>
      <c r="E109" s="22">
        <f t="shared" si="4"/>
        <v>6.8099999999999994E-2</v>
      </c>
      <c r="F109">
        <f t="shared" si="5"/>
        <v>5.8526906385122333E-2</v>
      </c>
      <c r="G109">
        <f t="shared" si="6"/>
        <v>-0.85532690638512232</v>
      </c>
      <c r="H109">
        <f t="shared" si="7"/>
        <v>12.764287743790984</v>
      </c>
    </row>
    <row r="110" spans="1:8" hidden="1" x14ac:dyDescent="0.25">
      <c r="A110" s="2" t="s">
        <v>10</v>
      </c>
      <c r="B110" s="3">
        <v>41807</v>
      </c>
      <c r="C110" s="4">
        <v>0</v>
      </c>
      <c r="D110" s="4">
        <v>0.40849999999999997</v>
      </c>
      <c r="E110" s="22">
        <f t="shared" si="4"/>
        <v>0.40549999999999997</v>
      </c>
      <c r="F110">
        <f t="shared" si="5"/>
        <v>0.28401138931705883</v>
      </c>
      <c r="G110">
        <f t="shared" si="6"/>
        <v>-0.28401138931705883</v>
      </c>
      <c r="H110">
        <f t="shared" si="7"/>
        <v>12.480276354473926</v>
      </c>
    </row>
    <row r="111" spans="1:8" hidden="1" x14ac:dyDescent="0.25">
      <c r="A111" s="2" t="s">
        <v>10</v>
      </c>
      <c r="B111" s="3">
        <v>41808</v>
      </c>
      <c r="C111" s="4">
        <v>0.19980000000000001</v>
      </c>
      <c r="D111" s="4">
        <v>0.42470000000000002</v>
      </c>
      <c r="E111" s="22">
        <f t="shared" si="4"/>
        <v>0.42170000000000002</v>
      </c>
      <c r="F111">
        <f t="shared" si="5"/>
        <v>0.29483785233868709</v>
      </c>
      <c r="G111">
        <f t="shared" si="6"/>
        <v>-9.5037852338687084E-2</v>
      </c>
      <c r="H111">
        <f t="shared" si="7"/>
        <v>12.385238502135239</v>
      </c>
    </row>
    <row r="112" spans="1:8" hidden="1" x14ac:dyDescent="0.25">
      <c r="A112" s="2" t="s">
        <v>10</v>
      </c>
      <c r="B112" s="3">
        <v>41809</v>
      </c>
      <c r="C112" s="4">
        <v>0.59699999999999998</v>
      </c>
      <c r="D112" s="4">
        <v>0.39660000000000001</v>
      </c>
      <c r="E112" s="22">
        <f t="shared" si="4"/>
        <v>0.39360000000000001</v>
      </c>
      <c r="F112">
        <f t="shared" si="5"/>
        <v>0.27605861709746771</v>
      </c>
      <c r="G112">
        <f t="shared" si="6"/>
        <v>0.32094138290253227</v>
      </c>
      <c r="H112">
        <f t="shared" si="7"/>
        <v>12.706179885037772</v>
      </c>
    </row>
    <row r="113" spans="1:8" hidden="1" x14ac:dyDescent="0.25">
      <c r="A113" s="2" t="s">
        <v>10</v>
      </c>
      <c r="B113" s="3">
        <v>41810</v>
      </c>
      <c r="C113" s="4">
        <v>-0.1986</v>
      </c>
      <c r="D113" s="4">
        <v>-0.46279999999999999</v>
      </c>
      <c r="E113" s="22">
        <f t="shared" si="4"/>
        <v>-0.46579999999999999</v>
      </c>
      <c r="F113">
        <f t="shared" si="5"/>
        <v>-0.29827856319804569</v>
      </c>
      <c r="G113">
        <f t="shared" si="6"/>
        <v>9.9678563198045689E-2</v>
      </c>
      <c r="H113">
        <f t="shared" si="7"/>
        <v>12.805858448235817</v>
      </c>
    </row>
    <row r="114" spans="1:8" hidden="1" x14ac:dyDescent="0.25">
      <c r="A114" s="2" t="s">
        <v>10</v>
      </c>
      <c r="B114" s="3">
        <v>41813</v>
      </c>
      <c r="C114" s="4">
        <v>-0.999</v>
      </c>
      <c r="D114" s="4">
        <v>-0.49120000000000003</v>
      </c>
      <c r="E114" s="22">
        <f t="shared" si="4"/>
        <v>-0.49420000000000003</v>
      </c>
      <c r="F114">
        <f t="shared" si="5"/>
        <v>-0.31725828849522114</v>
      </c>
      <c r="G114">
        <f t="shared" si="6"/>
        <v>-0.6817417115047788</v>
      </c>
      <c r="H114">
        <f t="shared" si="7"/>
        <v>12.124116736731038</v>
      </c>
    </row>
    <row r="115" spans="1:8" hidden="1" x14ac:dyDescent="0.25">
      <c r="A115" s="2" t="s">
        <v>10</v>
      </c>
      <c r="B115" s="3">
        <v>41814</v>
      </c>
      <c r="C115" s="4">
        <v>0.30080000000000001</v>
      </c>
      <c r="D115" s="4">
        <v>0.19320000000000001</v>
      </c>
      <c r="E115" s="22">
        <f t="shared" si="4"/>
        <v>0.19020000000000001</v>
      </c>
      <c r="F115">
        <f t="shared" si="5"/>
        <v>0.14012635915924637</v>
      </c>
      <c r="G115">
        <f t="shared" si="6"/>
        <v>0.16067364084075364</v>
      </c>
      <c r="H115">
        <f t="shared" si="7"/>
        <v>12.284790377571792</v>
      </c>
    </row>
    <row r="116" spans="1:8" hidden="1" x14ac:dyDescent="0.25">
      <c r="A116" s="2" t="s">
        <v>10</v>
      </c>
      <c r="B116" s="3">
        <v>41815</v>
      </c>
      <c r="C116" s="4">
        <v>3.0558999999999998</v>
      </c>
      <c r="D116" s="4">
        <v>-4.3700000000000003E-2</v>
      </c>
      <c r="E116" s="22">
        <f t="shared" si="4"/>
        <v>-4.6700000000000005E-2</v>
      </c>
      <c r="F116">
        <f t="shared" si="5"/>
        <v>-1.8193955027403768E-2</v>
      </c>
      <c r="G116">
        <f t="shared" si="6"/>
        <v>3.0740939550274038</v>
      </c>
      <c r="H116">
        <f t="shared" si="7"/>
        <v>15.358884332599196</v>
      </c>
    </row>
    <row r="117" spans="1:8" hidden="1" x14ac:dyDescent="0.25">
      <c r="A117" s="2" t="s">
        <v>10</v>
      </c>
      <c r="B117" s="3">
        <v>41816</v>
      </c>
      <c r="C117" s="4">
        <v>-1.1718999999999999</v>
      </c>
      <c r="D117" s="4">
        <v>0.8488</v>
      </c>
      <c r="E117" s="22">
        <f t="shared" si="4"/>
        <v>0.8458</v>
      </c>
      <c r="F117">
        <f t="shared" si="5"/>
        <v>0.57826396144193026</v>
      </c>
      <c r="G117">
        <f t="shared" si="6"/>
        <v>-1.7501639614419302</v>
      </c>
      <c r="H117">
        <f t="shared" si="7"/>
        <v>13.608720371157265</v>
      </c>
    </row>
    <row r="118" spans="1:8" hidden="1" x14ac:dyDescent="0.25">
      <c r="A118" s="2" t="s">
        <v>10</v>
      </c>
      <c r="B118" s="3">
        <v>41817</v>
      </c>
      <c r="C118" s="4">
        <v>-0.59109999999999996</v>
      </c>
      <c r="D118" s="4">
        <v>-0.1515</v>
      </c>
      <c r="E118" s="22">
        <f t="shared" si="4"/>
        <v>-0.1545</v>
      </c>
      <c r="F118">
        <f t="shared" si="5"/>
        <v>-9.0236715134288034E-2</v>
      </c>
      <c r="G118">
        <f t="shared" si="6"/>
        <v>-0.50086328486571197</v>
      </c>
      <c r="H118">
        <f t="shared" si="7"/>
        <v>13.107857086291553</v>
      </c>
    </row>
    <row r="119" spans="1:8" hidden="1" x14ac:dyDescent="0.25">
      <c r="A119" s="2" t="s">
        <v>10</v>
      </c>
      <c r="B119" s="3">
        <v>41820</v>
      </c>
      <c r="C119" s="4">
        <v>0.59109999999999996</v>
      </c>
      <c r="D119" s="4">
        <v>0.9224</v>
      </c>
      <c r="E119" s="22">
        <f t="shared" si="4"/>
        <v>0.9194</v>
      </c>
      <c r="F119">
        <f t="shared" si="5"/>
        <v>0.62745085516982158</v>
      </c>
      <c r="G119">
        <f t="shared" si="6"/>
        <v>-3.6350855169821616E-2</v>
      </c>
      <c r="H119">
        <f t="shared" si="7"/>
        <v>13.071506231121731</v>
      </c>
    </row>
    <row r="120" spans="1:8" hidden="1" x14ac:dyDescent="0.25">
      <c r="A120" s="2" t="s">
        <v>10</v>
      </c>
      <c r="B120" s="3">
        <v>41821</v>
      </c>
      <c r="C120" s="4">
        <v>2.1381000000000001</v>
      </c>
      <c r="D120" s="4">
        <v>0.51870000000000005</v>
      </c>
      <c r="E120" s="22">
        <f t="shared" si="4"/>
        <v>0.51570000000000005</v>
      </c>
      <c r="F120">
        <f t="shared" si="5"/>
        <v>0.35765806987159177</v>
      </c>
      <c r="G120">
        <f t="shared" si="6"/>
        <v>1.7804419301284082</v>
      </c>
      <c r="H120">
        <f t="shared" si="7"/>
        <v>14.851948161250139</v>
      </c>
    </row>
    <row r="121" spans="1:8" hidden="1" x14ac:dyDescent="0.25">
      <c r="A121" s="2" t="s">
        <v>10</v>
      </c>
      <c r="B121" s="3">
        <v>41822</v>
      </c>
      <c r="C121" s="4">
        <v>-2.4948999999999999</v>
      </c>
      <c r="D121" s="4">
        <v>0.45479999999999998</v>
      </c>
      <c r="E121" s="22">
        <f t="shared" si="4"/>
        <v>0.45179999999999998</v>
      </c>
      <c r="F121">
        <f t="shared" si="5"/>
        <v>0.31495368795294693</v>
      </c>
      <c r="G121">
        <f t="shared" si="6"/>
        <v>-2.809853687952947</v>
      </c>
      <c r="H121">
        <f t="shared" si="7"/>
        <v>12.042094473297192</v>
      </c>
    </row>
    <row r="122" spans="1:8" hidden="1" x14ac:dyDescent="0.25">
      <c r="A122" s="2" t="s">
        <v>10</v>
      </c>
      <c r="B122" s="3">
        <v>41823</v>
      </c>
      <c r="C122" s="4">
        <v>3.7193999999999998</v>
      </c>
      <c r="D122" s="4">
        <v>0.43419999999999997</v>
      </c>
      <c r="E122" s="22">
        <f t="shared" si="4"/>
        <v>0.43119999999999997</v>
      </c>
      <c r="F122">
        <f t="shared" si="5"/>
        <v>0.30118670411062953</v>
      </c>
      <c r="G122">
        <f t="shared" si="6"/>
        <v>3.4182132958893705</v>
      </c>
      <c r="H122">
        <f t="shared" si="7"/>
        <v>15.460307769186564</v>
      </c>
    </row>
    <row r="123" spans="1:8" hidden="1" x14ac:dyDescent="0.25">
      <c r="A123" s="2" t="s">
        <v>10</v>
      </c>
      <c r="B123" s="3">
        <v>41824</v>
      </c>
      <c r="C123" s="4">
        <v>-1.2244999999999999</v>
      </c>
      <c r="D123" s="4">
        <v>-0.17</v>
      </c>
      <c r="E123" s="22">
        <f t="shared" si="4"/>
        <v>-0.17300000000000001</v>
      </c>
      <c r="F123">
        <f t="shared" si="5"/>
        <v>-0.10260026858491289</v>
      </c>
      <c r="G123">
        <f t="shared" si="6"/>
        <v>-1.1218997314150871</v>
      </c>
      <c r="H123">
        <f t="shared" si="7"/>
        <v>14.338408037771476</v>
      </c>
    </row>
    <row r="124" spans="1:8" hidden="1" x14ac:dyDescent="0.25">
      <c r="A124" s="2" t="s">
        <v>10</v>
      </c>
      <c r="B124" s="3">
        <v>41827</v>
      </c>
      <c r="C124" s="4">
        <v>-0.6179</v>
      </c>
      <c r="D124" s="4">
        <v>0.1067</v>
      </c>
      <c r="E124" s="22">
        <f t="shared" si="4"/>
        <v>0.1037</v>
      </c>
      <c r="F124">
        <f t="shared" si="5"/>
        <v>8.2318393025243672E-2</v>
      </c>
      <c r="G124">
        <f t="shared" si="6"/>
        <v>-0.70021839302524369</v>
      </c>
      <c r="H124">
        <f t="shared" si="7"/>
        <v>13.638189644746232</v>
      </c>
    </row>
    <row r="125" spans="1:8" hidden="1" x14ac:dyDescent="0.25">
      <c r="A125" s="2" t="s">
        <v>10</v>
      </c>
      <c r="B125" s="3">
        <v>41828</v>
      </c>
      <c r="C125" s="4">
        <v>3.1522999999999999</v>
      </c>
      <c r="D125" s="4">
        <v>0.1132</v>
      </c>
      <c r="E125" s="22">
        <f t="shared" si="4"/>
        <v>0.11019999999999999</v>
      </c>
      <c r="F125">
        <f t="shared" si="5"/>
        <v>8.666234423762538E-2</v>
      </c>
      <c r="G125">
        <f t="shared" si="6"/>
        <v>3.0656376557623743</v>
      </c>
      <c r="H125">
        <f t="shared" si="7"/>
        <v>16.703827300508607</v>
      </c>
    </row>
    <row r="126" spans="1:8" hidden="1" x14ac:dyDescent="0.25">
      <c r="A126" s="2" t="s">
        <v>10</v>
      </c>
      <c r="B126" s="3">
        <v>41829</v>
      </c>
      <c r="C126" s="4">
        <v>1.2928999999999999</v>
      </c>
      <c r="D126" s="4">
        <v>-0.43109999999999998</v>
      </c>
      <c r="E126" s="22">
        <f t="shared" si="4"/>
        <v>-0.43409999999999999</v>
      </c>
      <c r="F126">
        <f t="shared" si="5"/>
        <v>-0.27709344728535334</v>
      </c>
      <c r="G126">
        <f t="shared" si="6"/>
        <v>1.5699934472853534</v>
      </c>
      <c r="H126">
        <f t="shared" si="7"/>
        <v>18.273820747793959</v>
      </c>
    </row>
    <row r="127" spans="1:8" hidden="1" x14ac:dyDescent="0.25">
      <c r="A127" s="2" t="s">
        <v>10</v>
      </c>
      <c r="B127" s="3">
        <v>41830</v>
      </c>
      <c r="C127" s="4">
        <v>0.39450000000000002</v>
      </c>
      <c r="D127" s="4">
        <v>0.78869999999999996</v>
      </c>
      <c r="E127" s="22">
        <f t="shared" si="4"/>
        <v>0.78569999999999995</v>
      </c>
      <c r="F127">
        <f t="shared" si="5"/>
        <v>0.53809912023206252</v>
      </c>
      <c r="G127">
        <f t="shared" si="6"/>
        <v>-0.1435991202320625</v>
      </c>
      <c r="H127">
        <f t="shared" si="7"/>
        <v>18.130221627561898</v>
      </c>
    </row>
    <row r="128" spans="1:8" hidden="1" x14ac:dyDescent="0.25">
      <c r="A128" s="2" t="s">
        <v>10</v>
      </c>
      <c r="B128" s="3">
        <v>41831</v>
      </c>
      <c r="C128" s="4">
        <v>-2.3906000000000001</v>
      </c>
      <c r="D128" s="4">
        <v>-0.72689999999999999</v>
      </c>
      <c r="E128" s="22">
        <f t="shared" si="4"/>
        <v>-0.72989999999999999</v>
      </c>
      <c r="F128">
        <f t="shared" si="5"/>
        <v>-0.4747766424580469</v>
      </c>
      <c r="G128">
        <f t="shared" si="6"/>
        <v>-1.9158233575419532</v>
      </c>
      <c r="H128">
        <f t="shared" si="7"/>
        <v>16.214398270019945</v>
      </c>
    </row>
    <row r="129" spans="1:8" hidden="1" x14ac:dyDescent="0.25">
      <c r="A129" s="2" t="s">
        <v>10</v>
      </c>
      <c r="B129" s="3">
        <v>41834</v>
      </c>
      <c r="C129" s="4">
        <v>2.7835000000000001</v>
      </c>
      <c r="D129" s="4">
        <v>0.25729999999999997</v>
      </c>
      <c r="E129" s="22">
        <f t="shared" si="4"/>
        <v>0.25429999999999997</v>
      </c>
      <c r="F129">
        <f t="shared" si="5"/>
        <v>0.18296440111519516</v>
      </c>
      <c r="G129">
        <f t="shared" si="6"/>
        <v>2.6005355988848051</v>
      </c>
      <c r="H129">
        <f t="shared" si="7"/>
        <v>18.814933868904749</v>
      </c>
    </row>
    <row r="130" spans="1:8" hidden="1" x14ac:dyDescent="0.25">
      <c r="A130" s="2" t="s">
        <v>10</v>
      </c>
      <c r="B130" s="3">
        <v>41835</v>
      </c>
      <c r="C130" s="4">
        <v>0</v>
      </c>
      <c r="D130" s="4">
        <v>0.51200000000000001</v>
      </c>
      <c r="E130" s="22">
        <f t="shared" si="4"/>
        <v>0.50900000000000001</v>
      </c>
      <c r="F130">
        <f t="shared" si="5"/>
        <v>0.35318045862190595</v>
      </c>
      <c r="G130">
        <f t="shared" si="6"/>
        <v>-0.35318045862190595</v>
      </c>
      <c r="H130">
        <f t="shared" si="7"/>
        <v>18.461753410282842</v>
      </c>
    </row>
    <row r="131" spans="1:8" hidden="1" x14ac:dyDescent="0.25">
      <c r="A131" s="2" t="s">
        <v>10</v>
      </c>
      <c r="B131" s="3">
        <v>41836</v>
      </c>
      <c r="C131" s="4">
        <v>-1.1834</v>
      </c>
      <c r="D131" s="4">
        <v>-0.88629999999999998</v>
      </c>
      <c r="E131" s="22">
        <f t="shared" ref="E131:E194" si="8">D131-K$2</f>
        <v>-0.88929999999999998</v>
      </c>
      <c r="F131">
        <f t="shared" ref="F131:F194" si="9">K$3+K$4*E131</f>
        <v>-0.58130369218937672</v>
      </c>
      <c r="G131">
        <f t="shared" ref="G131:G194" si="10">C131-F131</f>
        <v>-0.60209630781062329</v>
      </c>
      <c r="H131">
        <f t="shared" si="7"/>
        <v>17.859657102472219</v>
      </c>
    </row>
    <row r="132" spans="1:8" hidden="1" x14ac:dyDescent="0.25">
      <c r="A132" s="2" t="s">
        <v>10</v>
      </c>
      <c r="B132" s="3">
        <v>41837</v>
      </c>
      <c r="C132" s="4">
        <v>0.19819999999999999</v>
      </c>
      <c r="D132" s="4">
        <v>-0.80969999999999998</v>
      </c>
      <c r="E132" s="22">
        <f t="shared" si="8"/>
        <v>-0.81269999999999998</v>
      </c>
      <c r="F132">
        <f t="shared" si="9"/>
        <v>-0.53011189790192459</v>
      </c>
      <c r="G132">
        <f t="shared" si="10"/>
        <v>0.72831189790192452</v>
      </c>
      <c r="H132">
        <f t="shared" ref="H132:H195" si="11">H131+G132</f>
        <v>18.587969000374144</v>
      </c>
    </row>
    <row r="133" spans="1:8" hidden="1" x14ac:dyDescent="0.25">
      <c r="A133" s="2" t="s">
        <v>10</v>
      </c>
      <c r="B133" s="3">
        <v>41838</v>
      </c>
      <c r="C133" s="4">
        <v>-0.995</v>
      </c>
      <c r="D133" s="4">
        <v>-7.7299999999999994E-2</v>
      </c>
      <c r="E133" s="22">
        <f t="shared" si="8"/>
        <v>-8.0299999999999996E-2</v>
      </c>
      <c r="F133">
        <f t="shared" si="9"/>
        <v>-4.0648841294484574E-2</v>
      </c>
      <c r="G133">
        <f t="shared" si="10"/>
        <v>-0.95435115870551546</v>
      </c>
      <c r="H133">
        <f t="shared" si="11"/>
        <v>17.633617841668627</v>
      </c>
    </row>
    <row r="134" spans="1:8" hidden="1" x14ac:dyDescent="0.25">
      <c r="A134" s="2" t="s">
        <v>10</v>
      </c>
      <c r="B134" s="3">
        <v>41841</v>
      </c>
      <c r="C134" s="4">
        <v>-0.40079999999999999</v>
      </c>
      <c r="D134" s="4">
        <v>0.42459999999999998</v>
      </c>
      <c r="E134" s="22">
        <f t="shared" si="8"/>
        <v>0.42159999999999997</v>
      </c>
      <c r="F134">
        <f t="shared" si="9"/>
        <v>0.29477102232003505</v>
      </c>
      <c r="G134">
        <f t="shared" si="10"/>
        <v>-0.69557102232003509</v>
      </c>
      <c r="H134">
        <f t="shared" si="11"/>
        <v>16.938046819348592</v>
      </c>
    </row>
    <row r="135" spans="1:8" hidden="1" x14ac:dyDescent="0.25">
      <c r="A135" s="2" t="s">
        <v>10</v>
      </c>
      <c r="B135" s="3">
        <v>41842</v>
      </c>
      <c r="C135" s="4">
        <v>3.3567</v>
      </c>
      <c r="D135" s="4">
        <v>0.61660000000000004</v>
      </c>
      <c r="E135" s="22">
        <f t="shared" si="8"/>
        <v>0.61360000000000003</v>
      </c>
      <c r="F135">
        <f t="shared" si="9"/>
        <v>0.42308465813192542</v>
      </c>
      <c r="G135">
        <f t="shared" si="10"/>
        <v>2.9336153418680748</v>
      </c>
      <c r="H135">
        <f t="shared" si="11"/>
        <v>19.871662161216669</v>
      </c>
    </row>
    <row r="136" spans="1:8" hidden="1" x14ac:dyDescent="0.25">
      <c r="A136" s="2" t="s">
        <v>10</v>
      </c>
      <c r="B136" s="3">
        <v>41844</v>
      </c>
      <c r="C136" s="4">
        <v>-0.19439999999999999</v>
      </c>
      <c r="D136" s="4">
        <v>0.29620000000000002</v>
      </c>
      <c r="E136" s="22">
        <f t="shared" si="8"/>
        <v>0.29320000000000002</v>
      </c>
      <c r="F136">
        <f t="shared" si="9"/>
        <v>0.20896127837083339</v>
      </c>
      <c r="G136">
        <f t="shared" si="10"/>
        <v>-0.40336127837083335</v>
      </c>
      <c r="H136">
        <f t="shared" si="11"/>
        <v>19.468300882845835</v>
      </c>
    </row>
    <row r="137" spans="1:8" hidden="1" x14ac:dyDescent="0.25">
      <c r="A137" s="2" t="s">
        <v>10</v>
      </c>
      <c r="B137" s="3">
        <v>41845</v>
      </c>
      <c r="C137" s="4">
        <v>-0.78129999999999999</v>
      </c>
      <c r="D137" s="4">
        <v>-0.93059999999999998</v>
      </c>
      <c r="E137" s="22">
        <f t="shared" si="8"/>
        <v>-0.93359999999999999</v>
      </c>
      <c r="F137">
        <f t="shared" si="9"/>
        <v>-0.61090939045222437</v>
      </c>
      <c r="G137">
        <f t="shared" si="10"/>
        <v>-0.17039060954777563</v>
      </c>
      <c r="H137">
        <f t="shared" si="11"/>
        <v>19.297910273298058</v>
      </c>
    </row>
    <row r="138" spans="1:8" hidden="1" x14ac:dyDescent="0.25">
      <c r="A138" s="2" t="s">
        <v>10</v>
      </c>
      <c r="B138" s="3">
        <v>41848</v>
      </c>
      <c r="C138" s="4">
        <v>-2.4815</v>
      </c>
      <c r="D138" s="4">
        <v>-0.20269999999999999</v>
      </c>
      <c r="E138" s="22">
        <f t="shared" si="8"/>
        <v>-0.20569999999999999</v>
      </c>
      <c r="F138">
        <f t="shared" si="9"/>
        <v>-0.12445368468412546</v>
      </c>
      <c r="G138">
        <f t="shared" si="10"/>
        <v>-2.3570463153158747</v>
      </c>
      <c r="H138">
        <f t="shared" si="11"/>
        <v>16.940863957982184</v>
      </c>
    </row>
    <row r="139" spans="1:8" hidden="1" x14ac:dyDescent="0.25">
      <c r="A139" s="2" t="s">
        <v>10</v>
      </c>
      <c r="B139" s="3">
        <v>41849</v>
      </c>
      <c r="C139" s="4">
        <v>-0.40279999999999999</v>
      </c>
      <c r="D139" s="4">
        <v>-0.3009</v>
      </c>
      <c r="E139" s="22">
        <f t="shared" si="8"/>
        <v>-0.3039</v>
      </c>
      <c r="F139">
        <f t="shared" si="9"/>
        <v>-0.19008076300041521</v>
      </c>
      <c r="G139">
        <f t="shared" si="10"/>
        <v>-0.21271923699958478</v>
      </c>
      <c r="H139">
        <f t="shared" si="11"/>
        <v>16.728144720982598</v>
      </c>
    </row>
    <row r="140" spans="1:8" hidden="1" x14ac:dyDescent="0.25">
      <c r="A140" s="2" t="s">
        <v>10</v>
      </c>
      <c r="B140" s="3">
        <v>41850</v>
      </c>
      <c r="C140" s="4">
        <v>0.80400000000000005</v>
      </c>
      <c r="D140" s="4">
        <v>0.58540000000000003</v>
      </c>
      <c r="E140" s="22">
        <f t="shared" si="8"/>
        <v>0.58240000000000003</v>
      </c>
      <c r="F140">
        <f t="shared" si="9"/>
        <v>0.40223369231249323</v>
      </c>
      <c r="G140">
        <f t="shared" si="10"/>
        <v>0.40176630768750682</v>
      </c>
      <c r="H140">
        <f t="shared" si="11"/>
        <v>17.129911028670104</v>
      </c>
    </row>
    <row r="141" spans="1:8" hidden="1" x14ac:dyDescent="0.25">
      <c r="A141" s="2" t="s">
        <v>10</v>
      </c>
      <c r="B141" s="3">
        <v>41851</v>
      </c>
      <c r="C141" s="4">
        <v>1.0951</v>
      </c>
      <c r="D141" s="4">
        <v>-1.3982000000000001</v>
      </c>
      <c r="E141" s="22">
        <f t="shared" si="8"/>
        <v>-1.4012</v>
      </c>
      <c r="F141">
        <f t="shared" si="9"/>
        <v>-0.92340655766909896</v>
      </c>
      <c r="G141">
        <f t="shared" si="10"/>
        <v>2.0185065576690988</v>
      </c>
      <c r="H141">
        <f t="shared" si="11"/>
        <v>19.148417586339203</v>
      </c>
    </row>
    <row r="142" spans="1:8" hidden="1" x14ac:dyDescent="0.25">
      <c r="A142" s="2" t="s">
        <v>10</v>
      </c>
      <c r="B142" s="3">
        <v>41852</v>
      </c>
      <c r="C142" s="4">
        <v>0</v>
      </c>
      <c r="D142" s="4">
        <v>-0.53100000000000003</v>
      </c>
      <c r="E142" s="22">
        <f t="shared" si="8"/>
        <v>-0.53400000000000003</v>
      </c>
      <c r="F142">
        <f t="shared" si="9"/>
        <v>-0.34385663591872756</v>
      </c>
      <c r="G142">
        <f t="shared" si="10"/>
        <v>0.34385663591872756</v>
      </c>
      <c r="H142">
        <f t="shared" si="11"/>
        <v>19.492274222257929</v>
      </c>
    </row>
    <row r="143" spans="1:8" hidden="1" x14ac:dyDescent="0.25">
      <c r="A143" s="2" t="s">
        <v>10</v>
      </c>
      <c r="B143" s="3">
        <v>41855</v>
      </c>
      <c r="C143" s="4">
        <v>6.7011000000000003</v>
      </c>
      <c r="D143" s="4">
        <v>0.68489999999999995</v>
      </c>
      <c r="E143" s="22">
        <f t="shared" si="8"/>
        <v>0.68189999999999995</v>
      </c>
      <c r="F143">
        <f t="shared" si="9"/>
        <v>0.46872956087125928</v>
      </c>
      <c r="G143">
        <f t="shared" si="10"/>
        <v>6.2323704391287409</v>
      </c>
      <c r="H143">
        <f t="shared" si="11"/>
        <v>25.724644661386669</v>
      </c>
    </row>
    <row r="144" spans="1:8" hidden="1" x14ac:dyDescent="0.25">
      <c r="A144" s="2" t="s">
        <v>10</v>
      </c>
      <c r="B144" s="3">
        <v>41856</v>
      </c>
      <c r="C144" s="4">
        <v>3.4580000000000002</v>
      </c>
      <c r="D144" s="4">
        <v>-2.0436999999999999</v>
      </c>
      <c r="E144" s="22">
        <f t="shared" si="8"/>
        <v>-2.0467</v>
      </c>
      <c r="F144">
        <f t="shared" si="9"/>
        <v>-1.3547943280679282</v>
      </c>
      <c r="G144">
        <f t="shared" si="10"/>
        <v>4.8127943280679286</v>
      </c>
      <c r="H144">
        <f t="shared" si="11"/>
        <v>30.5374389894546</v>
      </c>
    </row>
    <row r="145" spans="1:8" hidden="1" x14ac:dyDescent="0.25">
      <c r="A145" s="2" t="s">
        <v>10</v>
      </c>
      <c r="B145" s="3">
        <v>41857</v>
      </c>
      <c r="C145" s="4">
        <v>-2.5364</v>
      </c>
      <c r="D145" s="4">
        <v>2.7699999999999999E-2</v>
      </c>
      <c r="E145" s="22">
        <f t="shared" si="8"/>
        <v>2.47E-2</v>
      </c>
      <c r="F145">
        <f t="shared" si="9"/>
        <v>2.9522678290142958E-2</v>
      </c>
      <c r="G145">
        <f t="shared" si="10"/>
        <v>-2.5659226782901428</v>
      </c>
      <c r="H145">
        <f t="shared" si="11"/>
        <v>27.971516311164457</v>
      </c>
    </row>
    <row r="146" spans="1:8" hidden="1" x14ac:dyDescent="0.25">
      <c r="A146" s="2" t="s">
        <v>10</v>
      </c>
      <c r="B146" s="3">
        <v>41858</v>
      </c>
      <c r="C146" s="4">
        <v>-3.7387999999999999</v>
      </c>
      <c r="D146" s="4">
        <v>-0.1371</v>
      </c>
      <c r="E146" s="22">
        <f t="shared" si="8"/>
        <v>-0.1401</v>
      </c>
      <c r="F146">
        <f t="shared" si="9"/>
        <v>-8.0613192448396265E-2</v>
      </c>
      <c r="G146">
        <f t="shared" si="10"/>
        <v>-3.6581868075516035</v>
      </c>
      <c r="H146">
        <f t="shared" si="11"/>
        <v>24.313329503612852</v>
      </c>
    </row>
    <row r="147" spans="1:8" hidden="1" x14ac:dyDescent="0.25">
      <c r="A147" s="2" t="s">
        <v>10</v>
      </c>
      <c r="B147" s="3">
        <v>41859</v>
      </c>
      <c r="C147" s="4">
        <v>-5.8841000000000001</v>
      </c>
      <c r="D147" s="4">
        <v>-0.49930000000000002</v>
      </c>
      <c r="E147" s="22">
        <f t="shared" si="8"/>
        <v>-0.50229999999999997</v>
      </c>
      <c r="F147">
        <f t="shared" si="9"/>
        <v>-0.32267152000603522</v>
      </c>
      <c r="G147">
        <f t="shared" si="10"/>
        <v>-5.5614284799939648</v>
      </c>
      <c r="H147">
        <f t="shared" si="11"/>
        <v>18.751901023618888</v>
      </c>
    </row>
    <row r="148" spans="1:8" hidden="1" x14ac:dyDescent="0.25">
      <c r="A148" s="2" t="s">
        <v>10</v>
      </c>
      <c r="B148" s="3">
        <v>41862</v>
      </c>
      <c r="C148" s="4">
        <v>3.7665999999999999</v>
      </c>
      <c r="D148" s="4">
        <v>0.95240000000000002</v>
      </c>
      <c r="E148" s="22">
        <f t="shared" si="8"/>
        <v>0.94940000000000002</v>
      </c>
      <c r="F148">
        <f t="shared" si="9"/>
        <v>0.64749986076542942</v>
      </c>
      <c r="G148">
        <f t="shared" si="10"/>
        <v>3.1191001392345705</v>
      </c>
      <c r="H148">
        <f t="shared" si="11"/>
        <v>21.87100116285346</v>
      </c>
    </row>
    <row r="149" spans="1:8" hidden="1" x14ac:dyDescent="0.25">
      <c r="A149" s="2" t="s">
        <v>10</v>
      </c>
      <c r="B149" s="3">
        <v>41863</v>
      </c>
      <c r="C149" s="4">
        <v>-2.5617000000000001</v>
      </c>
      <c r="D149" s="4">
        <v>-0.10680000000000001</v>
      </c>
      <c r="E149" s="22">
        <f t="shared" si="8"/>
        <v>-0.10980000000000001</v>
      </c>
      <c r="F149">
        <f t="shared" si="9"/>
        <v>-6.0363696796832317E-2</v>
      </c>
      <c r="G149">
        <f t="shared" si="10"/>
        <v>-2.5013363032031677</v>
      </c>
      <c r="H149">
        <f t="shared" si="11"/>
        <v>19.369664859650292</v>
      </c>
    </row>
    <row r="150" spans="1:8" hidden="1" x14ac:dyDescent="0.25">
      <c r="A150" s="2" t="s">
        <v>10</v>
      </c>
      <c r="B150" s="3">
        <v>41864</v>
      </c>
      <c r="C150" s="4">
        <v>1.7805</v>
      </c>
      <c r="D150" s="4">
        <v>0.74139999999999995</v>
      </c>
      <c r="E150" s="22">
        <f t="shared" si="8"/>
        <v>0.73839999999999995</v>
      </c>
      <c r="F150">
        <f t="shared" si="9"/>
        <v>0.50648852140965406</v>
      </c>
      <c r="G150">
        <f t="shared" si="10"/>
        <v>1.2740114785903458</v>
      </c>
      <c r="H150">
        <f t="shared" si="11"/>
        <v>20.643676338240638</v>
      </c>
    </row>
    <row r="151" spans="1:8" hidden="1" x14ac:dyDescent="0.25">
      <c r="A151" s="2" t="s">
        <v>10</v>
      </c>
      <c r="B151" s="3">
        <v>41865</v>
      </c>
      <c r="C151" s="4">
        <v>-0.98519999999999996</v>
      </c>
      <c r="D151" s="4">
        <v>-7.6E-3</v>
      </c>
      <c r="E151" s="22">
        <f t="shared" si="8"/>
        <v>-1.06E-2</v>
      </c>
      <c r="F151">
        <f t="shared" si="9"/>
        <v>5.9316817059777019E-3</v>
      </c>
      <c r="G151">
        <f t="shared" si="10"/>
        <v>-0.99113168170597765</v>
      </c>
      <c r="H151">
        <f t="shared" si="11"/>
        <v>19.652544656534662</v>
      </c>
    </row>
    <row r="152" spans="1:8" hidden="1" x14ac:dyDescent="0.25">
      <c r="A152" s="2" t="s">
        <v>10</v>
      </c>
      <c r="B152" s="3">
        <v>41866</v>
      </c>
      <c r="C152" s="4">
        <v>-0.39679999999999999</v>
      </c>
      <c r="D152" s="4">
        <v>-0.25819999999999999</v>
      </c>
      <c r="E152" s="22">
        <f t="shared" si="8"/>
        <v>-0.26119999999999999</v>
      </c>
      <c r="F152">
        <f t="shared" si="9"/>
        <v>-0.16154434503600001</v>
      </c>
      <c r="G152">
        <f t="shared" si="10"/>
        <v>-0.23525565496399997</v>
      </c>
      <c r="H152">
        <f t="shared" si="11"/>
        <v>19.417289001570662</v>
      </c>
    </row>
    <row r="153" spans="1:8" hidden="1" x14ac:dyDescent="0.25">
      <c r="A153" s="2" t="s">
        <v>10</v>
      </c>
      <c r="B153" s="3">
        <v>41869</v>
      </c>
      <c r="C153" s="4">
        <v>-1.3007</v>
      </c>
      <c r="D153" s="4">
        <v>-0.71399999999999997</v>
      </c>
      <c r="E153" s="22">
        <f t="shared" si="8"/>
        <v>-0.71699999999999997</v>
      </c>
      <c r="F153">
        <f t="shared" si="9"/>
        <v>-0.46615557005193553</v>
      </c>
      <c r="G153">
        <f t="shared" si="10"/>
        <v>-0.83454442994806444</v>
      </c>
      <c r="H153">
        <f t="shared" si="11"/>
        <v>18.582744571622598</v>
      </c>
    </row>
    <row r="154" spans="1:8" hidden="1" x14ac:dyDescent="0.25">
      <c r="A154" s="2" t="s">
        <v>10</v>
      </c>
      <c r="B154" s="3">
        <v>41870</v>
      </c>
      <c r="C154" s="4">
        <v>0.70250000000000001</v>
      </c>
      <c r="D154" s="4">
        <v>1.1147</v>
      </c>
      <c r="E154" s="22">
        <f t="shared" si="8"/>
        <v>1.1117000000000001</v>
      </c>
      <c r="F154">
        <f t="shared" si="9"/>
        <v>0.75596498103766807</v>
      </c>
      <c r="G154">
        <f t="shared" si="10"/>
        <v>-5.3464981037668058E-2</v>
      </c>
      <c r="H154">
        <f t="shared" si="11"/>
        <v>18.529279590584931</v>
      </c>
    </row>
    <row r="155" spans="1:8" hidden="1" x14ac:dyDescent="0.25">
      <c r="A155" s="2" t="s">
        <v>10</v>
      </c>
      <c r="B155" s="3">
        <v>41871</v>
      </c>
      <c r="C155" s="4">
        <v>-0.20019999999999999</v>
      </c>
      <c r="D155" s="4">
        <v>0.4778</v>
      </c>
      <c r="E155" s="22">
        <f t="shared" si="8"/>
        <v>0.4748</v>
      </c>
      <c r="F155">
        <f t="shared" si="9"/>
        <v>0.330324592242913</v>
      </c>
      <c r="G155">
        <f t="shared" si="10"/>
        <v>-0.53052459224291293</v>
      </c>
      <c r="H155">
        <f t="shared" si="11"/>
        <v>17.998754998342019</v>
      </c>
    </row>
    <row r="156" spans="1:8" hidden="1" x14ac:dyDescent="0.25">
      <c r="A156" s="2" t="s">
        <v>10</v>
      </c>
      <c r="B156" s="3">
        <v>41872</v>
      </c>
      <c r="C156" s="4">
        <v>2.3763000000000001</v>
      </c>
      <c r="D156" s="4">
        <v>-0.374</v>
      </c>
      <c r="E156" s="22">
        <f t="shared" si="8"/>
        <v>-0.377</v>
      </c>
      <c r="F156">
        <f t="shared" si="9"/>
        <v>-0.23893350663504637</v>
      </c>
      <c r="G156">
        <f t="shared" si="10"/>
        <v>2.6152335066350463</v>
      </c>
      <c r="H156">
        <f t="shared" si="11"/>
        <v>20.613988504977065</v>
      </c>
    </row>
    <row r="157" spans="1:8" hidden="1" x14ac:dyDescent="0.25">
      <c r="A157" s="2" t="s">
        <v>10</v>
      </c>
      <c r="B157" s="3">
        <v>41873</v>
      </c>
      <c r="C157" s="4">
        <v>-0.58879999999999999</v>
      </c>
      <c r="D157" s="4">
        <v>1.3602000000000001</v>
      </c>
      <c r="E157" s="22">
        <f t="shared" si="8"/>
        <v>1.3572000000000002</v>
      </c>
      <c r="F157">
        <f t="shared" si="9"/>
        <v>0.92003267682839251</v>
      </c>
      <c r="G157">
        <f t="shared" si="10"/>
        <v>-1.5088326768283924</v>
      </c>
      <c r="H157">
        <f t="shared" si="11"/>
        <v>19.105155828148675</v>
      </c>
    </row>
    <row r="158" spans="1:8" hidden="1" x14ac:dyDescent="0.25">
      <c r="A158" s="2" t="s">
        <v>10</v>
      </c>
      <c r="B158" s="3">
        <v>41876</v>
      </c>
      <c r="C158" s="4">
        <v>0.58879999999999999</v>
      </c>
      <c r="D158" s="4">
        <v>0.11210000000000001</v>
      </c>
      <c r="E158" s="22">
        <f t="shared" si="8"/>
        <v>0.1091</v>
      </c>
      <c r="F158">
        <f t="shared" si="9"/>
        <v>8.5927214032453098E-2</v>
      </c>
      <c r="G158">
        <f t="shared" si="10"/>
        <v>0.50287278596754692</v>
      </c>
      <c r="H158">
        <f t="shared" si="11"/>
        <v>19.608028614116222</v>
      </c>
    </row>
    <row r="159" spans="1:8" hidden="1" x14ac:dyDescent="0.25">
      <c r="A159" s="2" t="s">
        <v>10</v>
      </c>
      <c r="B159" s="3">
        <v>41877</v>
      </c>
      <c r="C159" s="4">
        <v>-0.78590000000000004</v>
      </c>
      <c r="D159" s="4">
        <v>3.56E-2</v>
      </c>
      <c r="E159" s="22">
        <f t="shared" si="8"/>
        <v>3.2599999999999997E-2</v>
      </c>
      <c r="F159">
        <f t="shared" si="9"/>
        <v>3.480224976365303E-2</v>
      </c>
      <c r="G159">
        <f t="shared" si="10"/>
        <v>-0.82070224976365302</v>
      </c>
      <c r="H159">
        <f t="shared" si="11"/>
        <v>18.78732636435257</v>
      </c>
    </row>
    <row r="160" spans="1:8" hidden="1" x14ac:dyDescent="0.25">
      <c r="A160" s="2" t="s">
        <v>10</v>
      </c>
      <c r="B160" s="3">
        <v>41878</v>
      </c>
      <c r="C160" s="4">
        <v>4.0585000000000004</v>
      </c>
      <c r="D160" s="4">
        <v>0.97070000000000001</v>
      </c>
      <c r="E160" s="22">
        <f t="shared" si="8"/>
        <v>0.9677</v>
      </c>
      <c r="F160">
        <f t="shared" si="9"/>
        <v>0.65972975417875024</v>
      </c>
      <c r="G160">
        <f t="shared" si="10"/>
        <v>3.3987702458212503</v>
      </c>
      <c r="H160">
        <f t="shared" si="11"/>
        <v>22.18609661017382</v>
      </c>
    </row>
    <row r="161" spans="1:8" hidden="1" x14ac:dyDescent="0.25">
      <c r="A161" s="2" t="s">
        <v>10</v>
      </c>
      <c r="B161" s="3">
        <v>41879</v>
      </c>
      <c r="C161" s="4">
        <v>-1.1429</v>
      </c>
      <c r="D161" s="4">
        <v>-7.6100000000000001E-2</v>
      </c>
      <c r="E161" s="22">
        <f t="shared" si="8"/>
        <v>-7.9100000000000004E-2</v>
      </c>
      <c r="F161">
        <f t="shared" si="9"/>
        <v>-3.9846881070660263E-2</v>
      </c>
      <c r="G161">
        <f t="shared" si="10"/>
        <v>-1.1030531189293398</v>
      </c>
      <c r="H161">
        <f t="shared" si="11"/>
        <v>21.083043491244482</v>
      </c>
    </row>
    <row r="162" spans="1:8" hidden="1" x14ac:dyDescent="0.25">
      <c r="A162" s="2" t="s">
        <v>10</v>
      </c>
      <c r="B162" s="3">
        <v>41880</v>
      </c>
      <c r="C162" s="4">
        <v>0.95330000000000004</v>
      </c>
      <c r="D162" s="4">
        <v>-0.44519999999999998</v>
      </c>
      <c r="E162" s="22">
        <f t="shared" si="8"/>
        <v>-0.44819999999999999</v>
      </c>
      <c r="F162">
        <f t="shared" si="9"/>
        <v>-0.28651647991528906</v>
      </c>
      <c r="G162">
        <f t="shared" si="10"/>
        <v>1.2398164799152891</v>
      </c>
      <c r="H162">
        <f t="shared" si="11"/>
        <v>22.322859971159772</v>
      </c>
    </row>
    <row r="163" spans="1:8" hidden="1" x14ac:dyDescent="0.25">
      <c r="A163" s="2" t="s">
        <v>10</v>
      </c>
      <c r="B163" s="3">
        <v>41883</v>
      </c>
      <c r="C163" s="4">
        <v>1.1321000000000001</v>
      </c>
      <c r="D163" s="4">
        <v>0.8105</v>
      </c>
      <c r="E163" s="22">
        <f t="shared" si="8"/>
        <v>0.8075</v>
      </c>
      <c r="F163">
        <f t="shared" si="9"/>
        <v>0.55266806429820425</v>
      </c>
      <c r="G163">
        <f t="shared" si="10"/>
        <v>0.57943193570179585</v>
      </c>
      <c r="H163">
        <f t="shared" si="11"/>
        <v>22.902291906861567</v>
      </c>
    </row>
    <row r="164" spans="1:8" hidden="1" x14ac:dyDescent="0.25">
      <c r="A164" s="2" t="s">
        <v>10</v>
      </c>
      <c r="B164" s="3">
        <v>41884</v>
      </c>
      <c r="C164" s="4">
        <v>-1.5123</v>
      </c>
      <c r="D164" s="4">
        <v>-1.1986000000000001</v>
      </c>
      <c r="E164" s="22">
        <f t="shared" si="8"/>
        <v>-1.2016</v>
      </c>
      <c r="F164">
        <f t="shared" si="9"/>
        <v>-0.79001384043965461</v>
      </c>
      <c r="G164">
        <f t="shared" si="10"/>
        <v>-0.72228615956034536</v>
      </c>
      <c r="H164">
        <f t="shared" si="11"/>
        <v>22.180005747301223</v>
      </c>
    </row>
    <row r="165" spans="1:8" hidden="1" x14ac:dyDescent="0.25">
      <c r="A165" s="2" t="s">
        <v>10</v>
      </c>
      <c r="B165" s="3">
        <v>41885</v>
      </c>
      <c r="C165" s="4">
        <v>4.6520000000000001</v>
      </c>
      <c r="D165" s="4">
        <v>0.53720000000000001</v>
      </c>
      <c r="E165" s="22">
        <f t="shared" si="8"/>
        <v>0.53420000000000001</v>
      </c>
      <c r="F165">
        <f t="shared" si="9"/>
        <v>0.37002162332221655</v>
      </c>
      <c r="G165">
        <f t="shared" si="10"/>
        <v>4.2819783766777837</v>
      </c>
      <c r="H165">
        <f t="shared" si="11"/>
        <v>26.461984123979008</v>
      </c>
    </row>
    <row r="166" spans="1:8" hidden="1" x14ac:dyDescent="0.25">
      <c r="A166" s="2" t="s">
        <v>10</v>
      </c>
      <c r="B166" s="3">
        <v>41886</v>
      </c>
      <c r="C166" s="4">
        <v>-4.2717999999999998</v>
      </c>
      <c r="D166" s="4">
        <v>-0.2273</v>
      </c>
      <c r="E166" s="22">
        <f t="shared" si="8"/>
        <v>-0.2303</v>
      </c>
      <c r="F166">
        <f t="shared" si="9"/>
        <v>-0.14089386927252393</v>
      </c>
      <c r="G166">
        <f t="shared" si="10"/>
        <v>-4.1309061307274755</v>
      </c>
      <c r="H166">
        <f t="shared" si="11"/>
        <v>22.331077993251533</v>
      </c>
    </row>
    <row r="167" spans="1:8" hidden="1" x14ac:dyDescent="0.25">
      <c r="A167" s="2" t="s">
        <v>10</v>
      </c>
      <c r="B167" s="3">
        <v>41887</v>
      </c>
      <c r="C167" s="4">
        <v>0.94430000000000003</v>
      </c>
      <c r="D167" s="4">
        <v>-0.22239999999999999</v>
      </c>
      <c r="E167" s="22">
        <f t="shared" si="8"/>
        <v>-0.22539999999999999</v>
      </c>
      <c r="F167">
        <f t="shared" si="9"/>
        <v>-0.13761919835857461</v>
      </c>
      <c r="G167">
        <f t="shared" si="10"/>
        <v>1.0819191983585745</v>
      </c>
      <c r="H167">
        <f t="shared" si="11"/>
        <v>23.412997191610106</v>
      </c>
    </row>
    <row r="168" spans="1:8" hidden="1" x14ac:dyDescent="0.25">
      <c r="A168" s="2" t="s">
        <v>10</v>
      </c>
      <c r="B168" s="3">
        <v>41891</v>
      </c>
      <c r="C168" s="4">
        <v>0.56230000000000002</v>
      </c>
      <c r="D168" s="4">
        <v>0.2848</v>
      </c>
      <c r="E168" s="22">
        <f t="shared" si="8"/>
        <v>0.28179999999999999</v>
      </c>
      <c r="F168">
        <f t="shared" si="9"/>
        <v>0.20134265624450237</v>
      </c>
      <c r="G168">
        <f t="shared" si="10"/>
        <v>0.36095734375549765</v>
      </c>
      <c r="H168">
        <f t="shared" si="11"/>
        <v>23.773954535365604</v>
      </c>
    </row>
    <row r="169" spans="1:8" hidden="1" x14ac:dyDescent="0.25">
      <c r="A169" s="2" t="s">
        <v>10</v>
      </c>
      <c r="B169" s="3">
        <v>41892</v>
      </c>
      <c r="C169" s="4">
        <v>0.93020000000000003</v>
      </c>
      <c r="D169" s="4">
        <v>-0.82120000000000004</v>
      </c>
      <c r="E169" s="22">
        <f t="shared" si="8"/>
        <v>-0.82420000000000004</v>
      </c>
      <c r="F169">
        <f t="shared" si="9"/>
        <v>-0.53779735004690765</v>
      </c>
      <c r="G169">
        <f t="shared" si="10"/>
        <v>1.4679973500469077</v>
      </c>
      <c r="H169">
        <f t="shared" si="11"/>
        <v>25.241951885412512</v>
      </c>
    </row>
    <row r="170" spans="1:8" hidden="1" x14ac:dyDescent="0.25">
      <c r="A170" s="2" t="s">
        <v>10</v>
      </c>
      <c r="B170" s="3">
        <v>41893</v>
      </c>
      <c r="C170" s="4">
        <v>-1.4925999999999999</v>
      </c>
      <c r="D170" s="4">
        <v>-0.37109999999999999</v>
      </c>
      <c r="E170" s="22">
        <f t="shared" si="8"/>
        <v>-0.37409999999999999</v>
      </c>
      <c r="F170">
        <f t="shared" si="9"/>
        <v>-0.23699543609413759</v>
      </c>
      <c r="G170">
        <f t="shared" si="10"/>
        <v>-1.2556045639058624</v>
      </c>
      <c r="H170">
        <f t="shared" si="11"/>
        <v>23.986347321506649</v>
      </c>
    </row>
    <row r="171" spans="1:8" hidden="1" x14ac:dyDescent="0.25">
      <c r="A171" s="2" t="s">
        <v>10</v>
      </c>
      <c r="B171" s="3">
        <v>41894</v>
      </c>
      <c r="C171" s="4">
        <v>-2.0893000000000002</v>
      </c>
      <c r="D171" s="4">
        <v>-1.0759000000000001</v>
      </c>
      <c r="E171" s="22">
        <f t="shared" si="8"/>
        <v>-1.0789</v>
      </c>
      <c r="F171">
        <f t="shared" si="9"/>
        <v>-0.70801340755361841</v>
      </c>
      <c r="G171">
        <f t="shared" si="10"/>
        <v>-1.3812865924463817</v>
      </c>
      <c r="H171">
        <f t="shared" si="11"/>
        <v>22.605060729060266</v>
      </c>
    </row>
    <row r="172" spans="1:8" hidden="1" x14ac:dyDescent="0.25">
      <c r="A172" s="2" t="s">
        <v>10</v>
      </c>
      <c r="B172" s="3">
        <v>41897</v>
      </c>
      <c r="C172" s="4">
        <v>0.1918</v>
      </c>
      <c r="D172" s="4">
        <v>-6.2E-2</v>
      </c>
      <c r="E172" s="22">
        <f t="shared" si="8"/>
        <v>-6.5000000000000002E-2</v>
      </c>
      <c r="F172">
        <f t="shared" si="9"/>
        <v>-3.0423848440724564E-2</v>
      </c>
      <c r="G172">
        <f t="shared" si="10"/>
        <v>0.22222384844072457</v>
      </c>
      <c r="H172">
        <f t="shared" si="11"/>
        <v>22.82728457750099</v>
      </c>
    </row>
    <row r="173" spans="1:8" hidden="1" x14ac:dyDescent="0.25">
      <c r="A173" s="2" t="s">
        <v>10</v>
      </c>
      <c r="B173" s="3">
        <v>41898</v>
      </c>
      <c r="C173" s="4">
        <v>-1.3501000000000001</v>
      </c>
      <c r="D173" s="4">
        <v>-0.91610000000000003</v>
      </c>
      <c r="E173" s="22">
        <f t="shared" si="8"/>
        <v>-0.91910000000000003</v>
      </c>
      <c r="F173">
        <f t="shared" si="9"/>
        <v>-0.6012190377476806</v>
      </c>
      <c r="G173">
        <f t="shared" si="10"/>
        <v>-0.74888096225231948</v>
      </c>
      <c r="H173">
        <f t="shared" si="11"/>
        <v>22.078403615248671</v>
      </c>
    </row>
    <row r="174" spans="1:8" hidden="1" x14ac:dyDescent="0.25">
      <c r="A174" s="2" t="s">
        <v>10</v>
      </c>
      <c r="B174" s="3">
        <v>41899</v>
      </c>
      <c r="C174" s="4">
        <v>1.7324999999999999</v>
      </c>
      <c r="D174" s="4">
        <v>0.67400000000000004</v>
      </c>
      <c r="E174" s="22">
        <f t="shared" si="8"/>
        <v>0.67100000000000004</v>
      </c>
      <c r="F174">
        <f t="shared" si="9"/>
        <v>0.46144508883818847</v>
      </c>
      <c r="G174">
        <f t="shared" si="10"/>
        <v>1.2710549111618115</v>
      </c>
      <c r="H174">
        <f t="shared" si="11"/>
        <v>23.349458526410483</v>
      </c>
    </row>
    <row r="175" spans="1:8" hidden="1" x14ac:dyDescent="0.25">
      <c r="A175" s="2" t="s">
        <v>10</v>
      </c>
      <c r="B175" s="3">
        <v>41900</v>
      </c>
      <c r="C175" s="4">
        <v>3.1928000000000001</v>
      </c>
      <c r="D175" s="4">
        <v>0.45419999999999999</v>
      </c>
      <c r="E175" s="22">
        <f t="shared" si="8"/>
        <v>0.45119999999999999</v>
      </c>
      <c r="F175">
        <f t="shared" si="9"/>
        <v>0.31455270784103478</v>
      </c>
      <c r="G175">
        <f t="shared" si="10"/>
        <v>2.8782472921589655</v>
      </c>
      <c r="H175">
        <f t="shared" si="11"/>
        <v>26.227705818569447</v>
      </c>
    </row>
    <row r="176" spans="1:8" hidden="1" x14ac:dyDescent="0.25">
      <c r="A176" s="2" t="s">
        <v>10</v>
      </c>
      <c r="B176" s="3">
        <v>41901</v>
      </c>
      <c r="C176" s="4">
        <v>-1.3023</v>
      </c>
      <c r="D176" s="4">
        <v>3.6999999999999998E-2</v>
      </c>
      <c r="E176" s="22">
        <f t="shared" si="8"/>
        <v>3.3999999999999996E-2</v>
      </c>
      <c r="F176">
        <f t="shared" si="9"/>
        <v>3.573787002478139E-2</v>
      </c>
      <c r="G176">
        <f t="shared" si="10"/>
        <v>-1.3380378700247815</v>
      </c>
      <c r="H176">
        <f t="shared" si="11"/>
        <v>24.889667948544666</v>
      </c>
    </row>
    <row r="177" spans="1:8" hidden="1" x14ac:dyDescent="0.25">
      <c r="A177" s="2" t="s">
        <v>10</v>
      </c>
      <c r="B177" s="3">
        <v>41904</v>
      </c>
      <c r="C177" s="4">
        <v>-2.2728000000000002</v>
      </c>
      <c r="D177" s="4">
        <v>-1.1516</v>
      </c>
      <c r="E177" s="22">
        <f t="shared" si="8"/>
        <v>-1.1545999999999998</v>
      </c>
      <c r="F177">
        <f t="shared" si="9"/>
        <v>-0.75860373167320216</v>
      </c>
      <c r="G177">
        <f t="shared" si="10"/>
        <v>-1.514196268326798</v>
      </c>
      <c r="H177">
        <f t="shared" si="11"/>
        <v>23.375471680217867</v>
      </c>
    </row>
    <row r="178" spans="1:8" hidden="1" x14ac:dyDescent="0.25">
      <c r="A178" s="2" t="s">
        <v>10</v>
      </c>
      <c r="B178" s="3">
        <v>41905</v>
      </c>
      <c r="C178" s="4">
        <v>-0.1918</v>
      </c>
      <c r="D178" s="4">
        <v>-0.54610000000000003</v>
      </c>
      <c r="E178" s="22">
        <f t="shared" si="8"/>
        <v>-0.54910000000000003</v>
      </c>
      <c r="F178">
        <f t="shared" si="9"/>
        <v>-0.35394796873518353</v>
      </c>
      <c r="G178">
        <f t="shared" si="10"/>
        <v>0.16214796873518353</v>
      </c>
      <c r="H178">
        <f t="shared" si="11"/>
        <v>23.537619648953051</v>
      </c>
    </row>
    <row r="179" spans="1:8" hidden="1" x14ac:dyDescent="0.25">
      <c r="A179" s="2" t="s">
        <v>10</v>
      </c>
      <c r="B179" s="3">
        <v>41906</v>
      </c>
      <c r="C179" s="4">
        <v>0.3831</v>
      </c>
      <c r="D179" s="4">
        <v>0.14949999999999999</v>
      </c>
      <c r="E179" s="22">
        <f t="shared" si="8"/>
        <v>0.14649999999999999</v>
      </c>
      <c r="F179">
        <f t="shared" si="9"/>
        <v>0.1109216410083109</v>
      </c>
      <c r="G179">
        <f t="shared" si="10"/>
        <v>0.27217835899168907</v>
      </c>
      <c r="H179">
        <f t="shared" si="11"/>
        <v>23.809798007944739</v>
      </c>
    </row>
    <row r="180" spans="1:8" hidden="1" x14ac:dyDescent="0.25">
      <c r="A180" s="2" t="s">
        <v>10</v>
      </c>
      <c r="B180" s="3">
        <v>41907</v>
      </c>
      <c r="C180" s="4">
        <v>-0.3831</v>
      </c>
      <c r="D180" s="4">
        <v>-0.9597</v>
      </c>
      <c r="E180" s="22">
        <f t="shared" si="8"/>
        <v>-0.9627</v>
      </c>
      <c r="F180">
        <f t="shared" si="9"/>
        <v>-0.63035692587996395</v>
      </c>
      <c r="G180">
        <f t="shared" si="10"/>
        <v>0.24725692587996395</v>
      </c>
      <c r="H180">
        <f t="shared" si="11"/>
        <v>24.057054933824702</v>
      </c>
    </row>
    <row r="181" spans="1:8" hidden="1" x14ac:dyDescent="0.25">
      <c r="A181" s="2" t="s">
        <v>10</v>
      </c>
      <c r="B181" s="3">
        <v>41908</v>
      </c>
      <c r="C181" s="4">
        <v>-0.57750000000000001</v>
      </c>
      <c r="D181" s="4">
        <v>-0.2419</v>
      </c>
      <c r="E181" s="22">
        <f t="shared" si="8"/>
        <v>-0.24490000000000001</v>
      </c>
      <c r="F181">
        <f t="shared" si="9"/>
        <v>-0.15065105199571974</v>
      </c>
      <c r="G181">
        <f t="shared" si="10"/>
        <v>-0.4268489480042803</v>
      </c>
      <c r="H181">
        <f t="shared" si="11"/>
        <v>23.630205985820421</v>
      </c>
    </row>
    <row r="182" spans="1:8" hidden="1" x14ac:dyDescent="0.25">
      <c r="A182" s="2" t="s">
        <v>10</v>
      </c>
      <c r="B182" s="3">
        <v>41911</v>
      </c>
      <c r="C182" s="4">
        <v>0.38540000000000002</v>
      </c>
      <c r="D182" s="4">
        <v>-0.32379999999999998</v>
      </c>
      <c r="E182" s="22">
        <f t="shared" si="8"/>
        <v>-0.32679999999999998</v>
      </c>
      <c r="F182">
        <f t="shared" si="9"/>
        <v>-0.20538483727172921</v>
      </c>
      <c r="G182">
        <f t="shared" si="10"/>
        <v>0.59078483727172926</v>
      </c>
      <c r="H182">
        <f t="shared" si="11"/>
        <v>24.220990823092151</v>
      </c>
    </row>
    <row r="183" spans="1:8" hidden="1" x14ac:dyDescent="0.25">
      <c r="A183" s="2" t="s">
        <v>10</v>
      </c>
      <c r="B183" s="3">
        <v>41912</v>
      </c>
      <c r="C183" s="4">
        <v>3.774</v>
      </c>
      <c r="D183" s="4">
        <v>6.8699999999999997E-2</v>
      </c>
      <c r="E183" s="22">
        <f t="shared" si="8"/>
        <v>6.5699999999999995E-2</v>
      </c>
      <c r="F183">
        <f t="shared" si="9"/>
        <v>5.6922985937473705E-2</v>
      </c>
      <c r="G183">
        <f t="shared" si="10"/>
        <v>3.7170770140625264</v>
      </c>
      <c r="H183">
        <f t="shared" si="11"/>
        <v>27.938067837154676</v>
      </c>
    </row>
    <row r="184" spans="1:8" hidden="1" x14ac:dyDescent="0.25">
      <c r="A184" s="2" t="s">
        <v>10</v>
      </c>
      <c r="B184" s="3">
        <v>41913</v>
      </c>
      <c r="C184" s="4">
        <v>-1.1173</v>
      </c>
      <c r="D184" s="4">
        <v>0.26</v>
      </c>
      <c r="E184" s="22">
        <f t="shared" si="8"/>
        <v>0.25700000000000001</v>
      </c>
      <c r="F184">
        <f t="shared" si="9"/>
        <v>0.18476881161879988</v>
      </c>
      <c r="G184">
        <f t="shared" si="10"/>
        <v>-1.3020688116187999</v>
      </c>
      <c r="H184">
        <f t="shared" si="11"/>
        <v>26.635999025535877</v>
      </c>
    </row>
    <row r="185" spans="1:8" hidden="1" x14ac:dyDescent="0.25">
      <c r="A185" s="2" t="s">
        <v>10</v>
      </c>
      <c r="B185" s="3">
        <v>41914</v>
      </c>
      <c r="C185" s="4">
        <v>1.8552999999999999</v>
      </c>
      <c r="D185" s="4">
        <v>-0.1678</v>
      </c>
      <c r="E185" s="22">
        <f t="shared" si="8"/>
        <v>-0.17080000000000001</v>
      </c>
      <c r="F185">
        <f t="shared" si="9"/>
        <v>-0.10113000817456831</v>
      </c>
      <c r="G185">
        <f t="shared" si="10"/>
        <v>1.9564300081745682</v>
      </c>
      <c r="H185">
        <f t="shared" si="11"/>
        <v>28.592429033710445</v>
      </c>
    </row>
    <row r="186" spans="1:8" hidden="1" x14ac:dyDescent="0.25">
      <c r="A186" s="2" t="s">
        <v>10</v>
      </c>
      <c r="B186" s="3">
        <v>41915</v>
      </c>
      <c r="C186" s="4">
        <v>-6.4539</v>
      </c>
      <c r="D186" s="4">
        <v>1.45</v>
      </c>
      <c r="E186" s="22">
        <f t="shared" si="8"/>
        <v>1.4470000000000001</v>
      </c>
      <c r="F186">
        <f t="shared" si="9"/>
        <v>0.98004603357791198</v>
      </c>
      <c r="G186">
        <f t="shared" si="10"/>
        <v>-7.4339460335779117</v>
      </c>
      <c r="H186">
        <f t="shared" si="11"/>
        <v>21.158483000132534</v>
      </c>
    </row>
    <row r="187" spans="1:8" hidden="1" x14ac:dyDescent="0.25">
      <c r="A187" s="2" t="s">
        <v>10</v>
      </c>
      <c r="B187" s="3">
        <v>41918</v>
      </c>
      <c r="C187" s="4">
        <v>0.39140000000000003</v>
      </c>
      <c r="D187" s="4">
        <v>-0.12239999999999999</v>
      </c>
      <c r="E187" s="22">
        <f t="shared" si="8"/>
        <v>-0.12539999999999998</v>
      </c>
      <c r="F187">
        <f t="shared" si="9"/>
        <v>-7.0789179706548397E-2</v>
      </c>
      <c r="G187">
        <f t="shared" si="10"/>
        <v>0.46218917970654844</v>
      </c>
      <c r="H187">
        <f t="shared" si="11"/>
        <v>21.620672179839083</v>
      </c>
    </row>
    <row r="188" spans="1:8" hidden="1" x14ac:dyDescent="0.25">
      <c r="A188" s="2" t="s">
        <v>10</v>
      </c>
      <c r="B188" s="3">
        <v>41919</v>
      </c>
      <c r="C188" s="4">
        <v>-0.39140000000000003</v>
      </c>
      <c r="D188" s="4">
        <v>-0.59909999999999997</v>
      </c>
      <c r="E188" s="22">
        <f t="shared" si="8"/>
        <v>-0.60209999999999997</v>
      </c>
      <c r="F188">
        <f t="shared" si="9"/>
        <v>-0.38936787862075739</v>
      </c>
      <c r="G188">
        <f t="shared" si="10"/>
        <v>-2.0321213792426351E-3</v>
      </c>
      <c r="H188">
        <f t="shared" si="11"/>
        <v>21.618640058459839</v>
      </c>
    </row>
    <row r="189" spans="1:8" hidden="1" x14ac:dyDescent="0.25">
      <c r="A189" s="2" t="s">
        <v>10</v>
      </c>
      <c r="B189" s="3">
        <v>41920</v>
      </c>
      <c r="C189" s="4">
        <v>1.1696</v>
      </c>
      <c r="D189" s="4">
        <v>-0.95169999999999999</v>
      </c>
      <c r="E189" s="22">
        <f t="shared" si="8"/>
        <v>-0.95469999999999999</v>
      </c>
      <c r="F189">
        <f t="shared" si="9"/>
        <v>-0.62501052438780191</v>
      </c>
      <c r="G189">
        <f t="shared" si="10"/>
        <v>1.7946105243878019</v>
      </c>
      <c r="H189">
        <f t="shared" si="11"/>
        <v>23.413250582847642</v>
      </c>
    </row>
    <row r="190" spans="1:8" hidden="1" x14ac:dyDescent="0.25">
      <c r="A190" s="2" t="s">
        <v>10</v>
      </c>
      <c r="B190" s="3">
        <v>41921</v>
      </c>
      <c r="C190" s="4">
        <v>-0.19400000000000001</v>
      </c>
      <c r="D190" s="4">
        <v>0.12570000000000001</v>
      </c>
      <c r="E190" s="22">
        <f t="shared" si="8"/>
        <v>0.1227</v>
      </c>
      <c r="F190">
        <f t="shared" si="9"/>
        <v>9.5016096569128655E-2</v>
      </c>
      <c r="G190">
        <f t="shared" si="10"/>
        <v>-0.28901609656912863</v>
      </c>
      <c r="H190">
        <f t="shared" si="11"/>
        <v>23.124234486278514</v>
      </c>
    </row>
    <row r="191" spans="1:8" hidden="1" x14ac:dyDescent="0.25">
      <c r="A191" s="2" t="s">
        <v>10</v>
      </c>
      <c r="B191" s="3">
        <v>41925</v>
      </c>
      <c r="C191" s="4">
        <v>-4.1631</v>
      </c>
      <c r="D191" s="4">
        <v>-2.8856999999999999</v>
      </c>
      <c r="E191" s="22">
        <f t="shared" si="8"/>
        <v>-2.8887</v>
      </c>
      <c r="F191">
        <f t="shared" si="9"/>
        <v>-1.9175030851179891</v>
      </c>
      <c r="G191">
        <f t="shared" si="10"/>
        <v>-2.245596914882011</v>
      </c>
      <c r="H191">
        <f t="shared" si="11"/>
        <v>20.878637571396503</v>
      </c>
    </row>
    <row r="192" spans="1:8" hidden="1" x14ac:dyDescent="0.25">
      <c r="A192" s="2" t="s">
        <v>10</v>
      </c>
      <c r="B192" s="3">
        <v>41926</v>
      </c>
      <c r="C192" s="4">
        <v>0.80649999999999999</v>
      </c>
      <c r="D192" s="4">
        <v>0.6522</v>
      </c>
      <c r="E192" s="22">
        <f t="shared" si="8"/>
        <v>0.6492</v>
      </c>
      <c r="F192">
        <f t="shared" si="9"/>
        <v>0.44687614477204674</v>
      </c>
      <c r="G192">
        <f t="shared" si="10"/>
        <v>0.35962385522795326</v>
      </c>
      <c r="H192">
        <f t="shared" si="11"/>
        <v>21.238261426624454</v>
      </c>
    </row>
    <row r="193" spans="1:8" hidden="1" x14ac:dyDescent="0.25">
      <c r="A193" s="2" t="s">
        <v>10</v>
      </c>
      <c r="B193" s="3">
        <v>41927</v>
      </c>
      <c r="C193" s="4">
        <v>0.8</v>
      </c>
      <c r="D193" s="4">
        <v>-1.2957000000000001</v>
      </c>
      <c r="E193" s="22">
        <f t="shared" si="8"/>
        <v>-1.2987</v>
      </c>
      <c r="F193">
        <f t="shared" si="9"/>
        <v>-0.85490578855077204</v>
      </c>
      <c r="G193">
        <f t="shared" si="10"/>
        <v>1.6549057885507721</v>
      </c>
      <c r="H193">
        <f t="shared" si="11"/>
        <v>22.893167215175225</v>
      </c>
    </row>
    <row r="194" spans="1:8" hidden="1" x14ac:dyDescent="0.25">
      <c r="A194" s="2" t="s">
        <v>10</v>
      </c>
      <c r="B194" s="3">
        <v>41928</v>
      </c>
      <c r="C194" s="4">
        <v>-0.59940000000000004</v>
      </c>
      <c r="D194" s="4">
        <v>-0.25240000000000001</v>
      </c>
      <c r="E194" s="22">
        <f t="shared" si="8"/>
        <v>-0.25540000000000002</v>
      </c>
      <c r="F194">
        <f t="shared" si="9"/>
        <v>-0.15766820395418252</v>
      </c>
      <c r="G194">
        <f t="shared" si="10"/>
        <v>-0.44173179604581753</v>
      </c>
      <c r="H194">
        <f t="shared" si="11"/>
        <v>22.451435419129407</v>
      </c>
    </row>
    <row r="195" spans="1:8" hidden="1" x14ac:dyDescent="0.25">
      <c r="A195" s="2" t="s">
        <v>10</v>
      </c>
      <c r="B195" s="3">
        <v>41929</v>
      </c>
      <c r="C195" s="4">
        <v>-0.80479999999999996</v>
      </c>
      <c r="D195" s="4">
        <v>-1.4092</v>
      </c>
      <c r="E195" s="22">
        <f t="shared" ref="E195:E258" si="12">D195-K$2</f>
        <v>-1.4121999999999999</v>
      </c>
      <c r="F195">
        <f t="shared" ref="F195:F258" si="13">K$3+K$4*E195</f>
        <v>-0.93075785972082181</v>
      </c>
      <c r="G195">
        <f t="shared" ref="G195:G258" si="14">C195-F195</f>
        <v>0.12595785972082185</v>
      </c>
      <c r="H195">
        <f t="shared" si="11"/>
        <v>22.577393278850227</v>
      </c>
    </row>
    <row r="196" spans="1:8" hidden="1" x14ac:dyDescent="0.25">
      <c r="A196" s="2" t="s">
        <v>10</v>
      </c>
      <c r="B196" s="3">
        <v>41932</v>
      </c>
      <c r="C196" s="4">
        <v>1.4041999999999999</v>
      </c>
      <c r="D196" s="4">
        <v>1.7497</v>
      </c>
      <c r="E196" s="22">
        <f t="shared" si="12"/>
        <v>1.7467000000000001</v>
      </c>
      <c r="F196">
        <f t="shared" si="13"/>
        <v>1.1803355994780347</v>
      </c>
      <c r="G196">
        <f t="shared" si="14"/>
        <v>0.22386440052196521</v>
      </c>
      <c r="H196">
        <f t="shared" ref="H196:H259" si="15">H195+G196</f>
        <v>22.801257679372192</v>
      </c>
    </row>
    <row r="197" spans="1:8" hidden="1" x14ac:dyDescent="0.25">
      <c r="A197" s="2" t="s">
        <v>10</v>
      </c>
      <c r="B197" s="3">
        <v>41933</v>
      </c>
      <c r="C197" s="4">
        <v>-0.59940000000000004</v>
      </c>
      <c r="D197" s="4">
        <v>-9.8199999999999996E-2</v>
      </c>
      <c r="E197" s="22">
        <f t="shared" si="12"/>
        <v>-0.1012</v>
      </c>
      <c r="F197">
        <f t="shared" si="13"/>
        <v>-5.4616315192758058E-2</v>
      </c>
      <c r="G197">
        <f t="shared" si="14"/>
        <v>-0.54478368480724204</v>
      </c>
      <c r="H197">
        <f t="shared" si="15"/>
        <v>22.256473994564949</v>
      </c>
    </row>
    <row r="198" spans="1:8" hidden="1" x14ac:dyDescent="0.25">
      <c r="A198" s="2" t="s">
        <v>10</v>
      </c>
      <c r="B198" s="3">
        <v>41934</v>
      </c>
      <c r="C198" s="4">
        <v>2.1804999999999999</v>
      </c>
      <c r="D198" s="4">
        <v>1.0824</v>
      </c>
      <c r="E198" s="22">
        <f t="shared" si="12"/>
        <v>1.0794000000000001</v>
      </c>
      <c r="F198">
        <f t="shared" si="13"/>
        <v>0.73437888501306359</v>
      </c>
      <c r="G198">
        <f t="shared" si="14"/>
        <v>1.4461211149869362</v>
      </c>
      <c r="H198">
        <f t="shared" si="15"/>
        <v>23.702595109551886</v>
      </c>
    </row>
    <row r="199" spans="1:8" hidden="1" x14ac:dyDescent="0.25">
      <c r="A199" s="2" t="s">
        <v>10</v>
      </c>
      <c r="B199" s="3">
        <v>41935</v>
      </c>
      <c r="C199" s="4">
        <v>-0.78739999999999999</v>
      </c>
      <c r="D199" s="4">
        <v>-0.20319999999999999</v>
      </c>
      <c r="E199" s="22">
        <f t="shared" si="12"/>
        <v>-0.20619999999999999</v>
      </c>
      <c r="F199">
        <f t="shared" si="13"/>
        <v>-0.12478783477738559</v>
      </c>
      <c r="G199">
        <f t="shared" si="14"/>
        <v>-0.66261216522261446</v>
      </c>
      <c r="H199">
        <f t="shared" si="15"/>
        <v>23.039982944329271</v>
      </c>
    </row>
    <row r="200" spans="1:8" hidden="1" x14ac:dyDescent="0.25">
      <c r="A200" s="2" t="s">
        <v>10</v>
      </c>
      <c r="B200" s="3">
        <v>41936</v>
      </c>
      <c r="C200" s="4">
        <v>-0.79369999999999996</v>
      </c>
      <c r="D200" s="4">
        <v>-0.97899999999999998</v>
      </c>
      <c r="E200" s="22">
        <f t="shared" si="12"/>
        <v>-0.98199999999999998</v>
      </c>
      <c r="F200">
        <f t="shared" si="13"/>
        <v>-0.64325511947980507</v>
      </c>
      <c r="G200">
        <f t="shared" si="14"/>
        <v>-0.15044488052019489</v>
      </c>
      <c r="H200">
        <f t="shared" si="15"/>
        <v>22.889538063809077</v>
      </c>
    </row>
    <row r="201" spans="1:8" hidden="1" x14ac:dyDescent="0.25">
      <c r="A201" s="2" t="s">
        <v>10</v>
      </c>
      <c r="B201" s="3">
        <v>41939</v>
      </c>
      <c r="C201" s="4">
        <v>-3.3420999999999998</v>
      </c>
      <c r="D201" s="4">
        <v>-0.21110000000000001</v>
      </c>
      <c r="E201" s="22">
        <f t="shared" si="12"/>
        <v>-0.21410000000000001</v>
      </c>
      <c r="F201">
        <f t="shared" si="13"/>
        <v>-0.13006740625089566</v>
      </c>
      <c r="G201">
        <f t="shared" si="14"/>
        <v>-3.2120325937491043</v>
      </c>
      <c r="H201">
        <f t="shared" si="15"/>
        <v>19.677505470059973</v>
      </c>
    </row>
    <row r="202" spans="1:8" hidden="1" x14ac:dyDescent="0.25">
      <c r="A202" s="2" t="s">
        <v>10</v>
      </c>
      <c r="B202" s="3">
        <v>41940</v>
      </c>
      <c r="C202" s="4">
        <v>2.3411</v>
      </c>
      <c r="D202" s="4">
        <v>1.6754</v>
      </c>
      <c r="E202" s="22">
        <f t="shared" si="12"/>
        <v>1.6724000000000001</v>
      </c>
      <c r="F202">
        <f t="shared" si="13"/>
        <v>1.1306808956195791</v>
      </c>
      <c r="G202">
        <f t="shared" si="14"/>
        <v>1.2104191043804209</v>
      </c>
      <c r="H202">
        <f t="shared" si="15"/>
        <v>20.887924574440394</v>
      </c>
    </row>
    <row r="203" spans="1:8" hidden="1" x14ac:dyDescent="0.25">
      <c r="A203" s="2" t="s">
        <v>10</v>
      </c>
      <c r="B203" s="3">
        <v>41941</v>
      </c>
      <c r="C203" s="4">
        <v>1.0009999999999999</v>
      </c>
      <c r="D203" s="4">
        <v>1.4722999999999999</v>
      </c>
      <c r="E203" s="22">
        <f t="shared" si="12"/>
        <v>1.4693000000000001</v>
      </c>
      <c r="F203">
        <f t="shared" si="13"/>
        <v>0.99494912773731381</v>
      </c>
      <c r="G203">
        <f t="shared" si="14"/>
        <v>6.05087226268608E-3</v>
      </c>
      <c r="H203">
        <f t="shared" si="15"/>
        <v>20.893975446703081</v>
      </c>
    </row>
    <row r="204" spans="1:8" hidden="1" x14ac:dyDescent="0.25">
      <c r="A204" s="2" t="s">
        <v>10</v>
      </c>
      <c r="B204" s="3">
        <v>41942</v>
      </c>
      <c r="C204" s="4">
        <v>-1.3032999999999999</v>
      </c>
      <c r="D204" s="4">
        <v>-0.17549999999999999</v>
      </c>
      <c r="E204" s="22">
        <f t="shared" si="12"/>
        <v>-0.17849999999999999</v>
      </c>
      <c r="F204">
        <f t="shared" si="13"/>
        <v>-0.10627591961077432</v>
      </c>
      <c r="G204">
        <f t="shared" si="14"/>
        <v>-1.1970240803892256</v>
      </c>
      <c r="H204">
        <f t="shared" si="15"/>
        <v>19.696951366313854</v>
      </c>
    </row>
    <row r="205" spans="1:8" hidden="1" x14ac:dyDescent="0.25">
      <c r="A205" s="2" t="s">
        <v>10</v>
      </c>
      <c r="B205" s="3">
        <v>41943</v>
      </c>
      <c r="C205" s="4">
        <v>0.2016</v>
      </c>
      <c r="D205" s="4">
        <v>0.97060000000000002</v>
      </c>
      <c r="E205" s="22">
        <f t="shared" si="12"/>
        <v>0.96760000000000002</v>
      </c>
      <c r="F205">
        <f t="shared" si="13"/>
        <v>0.6596629241600982</v>
      </c>
      <c r="G205">
        <f t="shared" si="14"/>
        <v>-0.45806292416009819</v>
      </c>
      <c r="H205">
        <f t="shared" si="15"/>
        <v>19.238888442153755</v>
      </c>
    </row>
    <row r="206" spans="1:8" hidden="1" x14ac:dyDescent="0.25">
      <c r="A206" s="2" t="s">
        <v>10</v>
      </c>
      <c r="B206" s="3">
        <v>41946</v>
      </c>
      <c r="C206" s="4">
        <v>0.60240000000000005</v>
      </c>
      <c r="D206" s="4">
        <v>0.33479999999999999</v>
      </c>
      <c r="E206" s="22">
        <f t="shared" si="12"/>
        <v>0.33179999999999998</v>
      </c>
      <c r="F206">
        <f t="shared" si="13"/>
        <v>0.23475766557051547</v>
      </c>
      <c r="G206">
        <f t="shared" si="14"/>
        <v>0.36764233442948457</v>
      </c>
      <c r="H206">
        <f t="shared" si="15"/>
        <v>19.606530776583238</v>
      </c>
    </row>
    <row r="207" spans="1:8" hidden="1" x14ac:dyDescent="0.25">
      <c r="A207" s="2" t="s">
        <v>10</v>
      </c>
      <c r="B207" s="3">
        <v>41947</v>
      </c>
      <c r="C207" s="4">
        <v>-0.1002</v>
      </c>
      <c r="D207" s="4">
        <v>-0.17430000000000001</v>
      </c>
      <c r="E207" s="22">
        <f t="shared" si="12"/>
        <v>-0.17730000000000001</v>
      </c>
      <c r="F207">
        <f t="shared" si="13"/>
        <v>-0.10547395938695002</v>
      </c>
      <c r="G207">
        <f t="shared" si="14"/>
        <v>5.2739593869500223E-3</v>
      </c>
      <c r="H207">
        <f t="shared" si="15"/>
        <v>19.611804735970189</v>
      </c>
    </row>
    <row r="208" spans="1:8" hidden="1" x14ac:dyDescent="0.25">
      <c r="A208" s="2" t="s">
        <v>10</v>
      </c>
      <c r="B208" s="3">
        <v>41948</v>
      </c>
      <c r="C208" s="4">
        <v>-5.1398999999999999</v>
      </c>
      <c r="D208" s="4">
        <v>-0.29609999999999997</v>
      </c>
      <c r="E208" s="22">
        <f t="shared" si="12"/>
        <v>-0.29909999999999998</v>
      </c>
      <c r="F208">
        <f t="shared" si="13"/>
        <v>-0.18687292210511794</v>
      </c>
      <c r="G208">
        <f t="shared" si="14"/>
        <v>-4.9530270778948822</v>
      </c>
      <c r="H208">
        <f t="shared" si="15"/>
        <v>14.658777658075307</v>
      </c>
    </row>
    <row r="209" spans="1:8" hidden="1" x14ac:dyDescent="0.25">
      <c r="A209" s="2" t="s">
        <v>10</v>
      </c>
      <c r="B209" s="3">
        <v>41949</v>
      </c>
      <c r="C209" s="4">
        <v>-0.52880000000000005</v>
      </c>
      <c r="D209" s="4">
        <v>-0.80189999999999995</v>
      </c>
      <c r="E209" s="22">
        <f t="shared" si="12"/>
        <v>-0.80489999999999995</v>
      </c>
      <c r="F209">
        <f t="shared" si="13"/>
        <v>-0.52489915644706653</v>
      </c>
      <c r="G209">
        <f t="shared" si="14"/>
        <v>-3.9008435529335195E-3</v>
      </c>
      <c r="H209">
        <f t="shared" si="15"/>
        <v>14.654876814522373</v>
      </c>
    </row>
    <row r="210" spans="1:8" hidden="1" x14ac:dyDescent="0.25">
      <c r="A210" s="2" t="s">
        <v>10</v>
      </c>
      <c r="B210" s="3">
        <v>41950</v>
      </c>
      <c r="C210" s="4">
        <v>1.1597</v>
      </c>
      <c r="D210" s="4">
        <v>0.24260000000000001</v>
      </c>
      <c r="E210" s="22">
        <f t="shared" si="12"/>
        <v>0.23960000000000001</v>
      </c>
      <c r="F210">
        <f t="shared" si="13"/>
        <v>0.17314038837334733</v>
      </c>
      <c r="G210">
        <f t="shared" si="14"/>
        <v>0.98655961162665262</v>
      </c>
      <c r="H210">
        <f t="shared" si="15"/>
        <v>15.641436426149026</v>
      </c>
    </row>
    <row r="211" spans="1:8" hidden="1" x14ac:dyDescent="0.25">
      <c r="A211" s="2" t="s">
        <v>10</v>
      </c>
      <c r="B211" s="3">
        <v>41953</v>
      </c>
      <c r="C211" s="4">
        <v>0</v>
      </c>
      <c r="D211" s="4">
        <v>1.5294000000000001</v>
      </c>
      <c r="E211" s="22">
        <f t="shared" si="12"/>
        <v>1.5264000000000002</v>
      </c>
      <c r="F211">
        <f t="shared" si="13"/>
        <v>1.033109068387621</v>
      </c>
      <c r="G211">
        <f t="shared" si="14"/>
        <v>-1.033109068387621</v>
      </c>
      <c r="H211">
        <f t="shared" si="15"/>
        <v>14.608327357761405</v>
      </c>
    </row>
    <row r="212" spans="1:8" hidden="1" x14ac:dyDescent="0.25">
      <c r="A212" s="2" t="s">
        <v>10</v>
      </c>
      <c r="B212" s="3">
        <v>41954</v>
      </c>
      <c r="C212" s="4">
        <v>1.5601</v>
      </c>
      <c r="D212" s="4">
        <v>-0.17519999999999999</v>
      </c>
      <c r="E212" s="22">
        <f t="shared" si="12"/>
        <v>-0.1782</v>
      </c>
      <c r="F212">
        <f t="shared" si="13"/>
        <v>-0.10607542955481825</v>
      </c>
      <c r="G212">
        <f t="shared" si="14"/>
        <v>1.6661754295548183</v>
      </c>
      <c r="H212">
        <f t="shared" si="15"/>
        <v>16.274502787316223</v>
      </c>
    </row>
    <row r="213" spans="1:8" hidden="1" x14ac:dyDescent="0.25">
      <c r="A213" s="2" t="s">
        <v>10</v>
      </c>
      <c r="B213" s="3">
        <v>41955</v>
      </c>
      <c r="C213" s="4">
        <v>-0.82899999999999996</v>
      </c>
      <c r="D213" s="4">
        <v>-1.2833000000000001</v>
      </c>
      <c r="E213" s="22">
        <f t="shared" si="12"/>
        <v>-1.2863</v>
      </c>
      <c r="F213">
        <f t="shared" si="13"/>
        <v>-0.84661886623792082</v>
      </c>
      <c r="G213">
        <f t="shared" si="14"/>
        <v>1.761886623792086E-2</v>
      </c>
      <c r="H213">
        <f t="shared" si="15"/>
        <v>16.292121653554144</v>
      </c>
    </row>
    <row r="214" spans="1:8" hidden="1" x14ac:dyDescent="0.25">
      <c r="A214" s="2" t="s">
        <v>10</v>
      </c>
      <c r="B214" s="3">
        <v>41956</v>
      </c>
      <c r="C214" s="4">
        <v>-0.20830000000000001</v>
      </c>
      <c r="D214" s="4">
        <v>0.68959999999999999</v>
      </c>
      <c r="E214" s="22">
        <f t="shared" si="12"/>
        <v>0.68659999999999999</v>
      </c>
      <c r="F214">
        <f t="shared" si="13"/>
        <v>0.47187057174790453</v>
      </c>
      <c r="G214">
        <f t="shared" si="14"/>
        <v>-0.68017057174790452</v>
      </c>
      <c r="H214">
        <f t="shared" si="15"/>
        <v>15.611951081806239</v>
      </c>
    </row>
    <row r="215" spans="1:8" hidden="1" x14ac:dyDescent="0.25">
      <c r="A215" s="2" t="s">
        <v>10</v>
      </c>
      <c r="B215" s="3">
        <v>41957</v>
      </c>
      <c r="C215" s="4">
        <v>-0.31330000000000002</v>
      </c>
      <c r="D215" s="4">
        <v>2.46E-2</v>
      </c>
      <c r="E215" s="22">
        <f t="shared" si="12"/>
        <v>2.1600000000000001E-2</v>
      </c>
      <c r="F215">
        <f t="shared" si="13"/>
        <v>2.7450947711930147E-2</v>
      </c>
      <c r="G215">
        <f t="shared" si="14"/>
        <v>-0.34075094771193015</v>
      </c>
      <c r="H215">
        <f t="shared" si="15"/>
        <v>15.271200134094309</v>
      </c>
    </row>
    <row r="216" spans="1:8" hidden="1" x14ac:dyDescent="0.25">
      <c r="A216" s="2" t="s">
        <v>10</v>
      </c>
      <c r="B216" s="3">
        <v>41960</v>
      </c>
      <c r="C216" s="4">
        <v>-0.7349</v>
      </c>
      <c r="D216" s="4">
        <v>-1.1025</v>
      </c>
      <c r="E216" s="22">
        <f t="shared" si="12"/>
        <v>-1.1054999999999999</v>
      </c>
      <c r="F216">
        <f t="shared" si="13"/>
        <v>-0.72579019251505739</v>
      </c>
      <c r="G216">
        <f t="shared" si="14"/>
        <v>-9.1098074849426114E-3</v>
      </c>
      <c r="H216">
        <f t="shared" si="15"/>
        <v>15.262090326609366</v>
      </c>
    </row>
    <row r="217" spans="1:8" hidden="1" x14ac:dyDescent="0.25">
      <c r="A217" s="2" t="s">
        <v>10</v>
      </c>
      <c r="B217" s="3">
        <v>41961</v>
      </c>
      <c r="C217" s="4">
        <v>-0.52829999999999999</v>
      </c>
      <c r="D217" s="4">
        <v>-0.28539999999999999</v>
      </c>
      <c r="E217" s="22">
        <f t="shared" si="12"/>
        <v>-0.28839999999999999</v>
      </c>
      <c r="F217">
        <f t="shared" si="13"/>
        <v>-0.17972211010935113</v>
      </c>
      <c r="G217">
        <f t="shared" si="14"/>
        <v>-0.34857788989064886</v>
      </c>
      <c r="H217">
        <f t="shared" si="15"/>
        <v>14.913512436718717</v>
      </c>
    </row>
    <row r="218" spans="1:8" hidden="1" x14ac:dyDescent="0.25">
      <c r="A218" s="2" t="s">
        <v>10</v>
      </c>
      <c r="B218" s="3">
        <v>41962</v>
      </c>
      <c r="C218" s="4">
        <v>0.21160000000000001</v>
      </c>
      <c r="D218" s="4">
        <v>1.169</v>
      </c>
      <c r="E218" s="22">
        <f t="shared" si="12"/>
        <v>1.1660000000000001</v>
      </c>
      <c r="F218">
        <f t="shared" si="13"/>
        <v>0.79225368116571837</v>
      </c>
      <c r="G218">
        <f t="shared" si="14"/>
        <v>-0.58065368116571836</v>
      </c>
      <c r="H218">
        <f t="shared" si="15"/>
        <v>14.332858755552998</v>
      </c>
    </row>
    <row r="219" spans="1:8" hidden="1" x14ac:dyDescent="0.25">
      <c r="A219" s="2" t="s">
        <v>10</v>
      </c>
      <c r="B219" s="3">
        <v>41963</v>
      </c>
      <c r="C219" s="4">
        <v>2.4022000000000001</v>
      </c>
      <c r="D219" s="4">
        <v>1.2818000000000001</v>
      </c>
      <c r="E219" s="22">
        <f t="shared" si="12"/>
        <v>1.2788000000000002</v>
      </c>
      <c r="F219">
        <f t="shared" si="13"/>
        <v>0.86763794220520396</v>
      </c>
      <c r="G219">
        <f t="shared" si="14"/>
        <v>1.5345620577947963</v>
      </c>
      <c r="H219">
        <f t="shared" si="15"/>
        <v>15.867420813347794</v>
      </c>
    </row>
    <row r="220" spans="1:8" hidden="1" x14ac:dyDescent="0.25">
      <c r="A220" s="2" t="s">
        <v>10</v>
      </c>
      <c r="B220" s="3">
        <v>41964</v>
      </c>
      <c r="C220" s="4">
        <v>1.5361</v>
      </c>
      <c r="D220" s="4">
        <v>0.13930000000000001</v>
      </c>
      <c r="E220" s="22">
        <f t="shared" si="12"/>
        <v>0.1363</v>
      </c>
      <c r="F220">
        <f t="shared" si="13"/>
        <v>0.10410497910580423</v>
      </c>
      <c r="G220">
        <f t="shared" si="14"/>
        <v>1.4319950208941958</v>
      </c>
      <c r="H220">
        <f t="shared" si="15"/>
        <v>17.299415834241991</v>
      </c>
    </row>
    <row r="221" spans="1:8" hidden="1" x14ac:dyDescent="0.25">
      <c r="A221" s="2" t="s">
        <v>10</v>
      </c>
      <c r="B221" s="3">
        <v>41967</v>
      </c>
      <c r="C221" s="4">
        <v>0.70889999999999997</v>
      </c>
      <c r="D221" s="4">
        <v>0.3382</v>
      </c>
      <c r="E221" s="22">
        <f t="shared" si="12"/>
        <v>0.3352</v>
      </c>
      <c r="F221">
        <f t="shared" si="13"/>
        <v>0.23702988620468438</v>
      </c>
      <c r="G221">
        <f t="shared" si="14"/>
        <v>0.47187011379531563</v>
      </c>
      <c r="H221">
        <f t="shared" si="15"/>
        <v>17.771285948037306</v>
      </c>
    </row>
    <row r="222" spans="1:8" hidden="1" x14ac:dyDescent="0.25">
      <c r="A222" s="2" t="s">
        <v>10</v>
      </c>
      <c r="B222" s="3">
        <v>41968</v>
      </c>
      <c r="C222" s="4">
        <v>0</v>
      </c>
      <c r="D222" s="4">
        <v>-6.6799999999999998E-2</v>
      </c>
      <c r="E222" s="22">
        <f t="shared" si="12"/>
        <v>-6.9800000000000001E-2</v>
      </c>
      <c r="F222">
        <f t="shared" si="13"/>
        <v>-3.3631689336021821E-2</v>
      </c>
      <c r="G222">
        <f t="shared" si="14"/>
        <v>3.3631689336021821E-2</v>
      </c>
      <c r="H222">
        <f t="shared" si="15"/>
        <v>17.804917637373329</v>
      </c>
    </row>
    <row r="223" spans="1:8" hidden="1" x14ac:dyDescent="0.25">
      <c r="A223" s="2" t="s">
        <v>10</v>
      </c>
      <c r="B223" s="3">
        <v>41969</v>
      </c>
      <c r="C223" s="4">
        <v>0.70389999999999997</v>
      </c>
      <c r="D223" s="4">
        <v>6.7400000000000002E-2</v>
      </c>
      <c r="E223" s="22">
        <f t="shared" si="12"/>
        <v>6.4399999999999999E-2</v>
      </c>
      <c r="F223">
        <f t="shared" si="13"/>
        <v>5.6054195694997366E-2</v>
      </c>
      <c r="G223">
        <f t="shared" si="14"/>
        <v>0.6478458043050026</v>
      </c>
      <c r="H223">
        <f t="shared" si="15"/>
        <v>18.452763441678332</v>
      </c>
    </row>
    <row r="224" spans="1:8" hidden="1" x14ac:dyDescent="0.25">
      <c r="A224" s="2" t="s">
        <v>10</v>
      </c>
      <c r="B224" s="3">
        <v>41970</v>
      </c>
      <c r="C224" s="4">
        <v>-0.40160000000000001</v>
      </c>
      <c r="D224" s="4">
        <v>0.46939999999999998</v>
      </c>
      <c r="E224" s="22">
        <f t="shared" si="12"/>
        <v>0.46639999999999998</v>
      </c>
      <c r="F224">
        <f t="shared" si="13"/>
        <v>0.32471087067614279</v>
      </c>
      <c r="G224">
        <f t="shared" si="14"/>
        <v>-0.72631087067614275</v>
      </c>
      <c r="H224">
        <f t="shared" si="15"/>
        <v>17.726452571002188</v>
      </c>
    </row>
    <row r="225" spans="1:8" hidden="1" x14ac:dyDescent="0.25">
      <c r="A225" s="2" t="s">
        <v>10</v>
      </c>
      <c r="B225" s="3">
        <v>41971</v>
      </c>
      <c r="C225" s="4">
        <v>-0.50429999999999997</v>
      </c>
      <c r="D225" s="4">
        <v>0.23799999999999999</v>
      </c>
      <c r="E225" s="22">
        <f t="shared" si="12"/>
        <v>0.23499999999999999</v>
      </c>
      <c r="F225">
        <f t="shared" si="13"/>
        <v>0.17006620751535409</v>
      </c>
      <c r="G225">
        <f t="shared" si="14"/>
        <v>-0.67436620751535403</v>
      </c>
      <c r="H225">
        <f t="shared" si="15"/>
        <v>17.052086363486833</v>
      </c>
    </row>
    <row r="226" spans="1:8" hidden="1" x14ac:dyDescent="0.25">
      <c r="A226" s="2" t="s">
        <v>10</v>
      </c>
      <c r="B226" s="3">
        <v>41974</v>
      </c>
      <c r="C226" s="4">
        <v>0.90590000000000004</v>
      </c>
      <c r="D226" s="4">
        <v>-0.75870000000000004</v>
      </c>
      <c r="E226" s="22">
        <f t="shared" si="12"/>
        <v>-0.76170000000000004</v>
      </c>
      <c r="F226">
        <f t="shared" si="13"/>
        <v>-0.49602858838939135</v>
      </c>
      <c r="G226">
        <f t="shared" si="14"/>
        <v>1.4019285883893913</v>
      </c>
      <c r="H226">
        <f t="shared" si="15"/>
        <v>18.454014951876225</v>
      </c>
    </row>
    <row r="227" spans="1:8" hidden="1" x14ac:dyDescent="0.25">
      <c r="A227" s="2" t="s">
        <v>10</v>
      </c>
      <c r="B227" s="3">
        <v>41975</v>
      </c>
      <c r="C227" s="4">
        <v>-0.2006</v>
      </c>
      <c r="D227" s="4">
        <v>-0.91359999999999997</v>
      </c>
      <c r="E227" s="22">
        <f t="shared" si="12"/>
        <v>-0.91659999999999997</v>
      </c>
      <c r="F227">
        <f t="shared" si="13"/>
        <v>-0.59954828728137988</v>
      </c>
      <c r="G227">
        <f t="shared" si="14"/>
        <v>0.39894828728137988</v>
      </c>
      <c r="H227">
        <f t="shared" si="15"/>
        <v>18.852963239157603</v>
      </c>
    </row>
    <row r="228" spans="1:8" hidden="1" x14ac:dyDescent="0.25">
      <c r="A228" s="2" t="s">
        <v>10</v>
      </c>
      <c r="B228" s="3">
        <v>41976</v>
      </c>
      <c r="C228" s="4">
        <v>1.3957999999999999</v>
      </c>
      <c r="D228" s="4">
        <v>1.5427999999999999</v>
      </c>
      <c r="E228" s="22">
        <f t="shared" si="12"/>
        <v>1.5398000000000001</v>
      </c>
      <c r="F228">
        <f t="shared" si="13"/>
        <v>1.0420642908869924</v>
      </c>
      <c r="G228">
        <f t="shared" si="14"/>
        <v>0.35373570911300756</v>
      </c>
      <c r="H228">
        <f t="shared" si="15"/>
        <v>19.20669894827061</v>
      </c>
    </row>
    <row r="229" spans="1:8" hidden="1" x14ac:dyDescent="0.25">
      <c r="A229" s="2" t="s">
        <v>10</v>
      </c>
      <c r="B229" s="3">
        <v>41977</v>
      </c>
      <c r="C229" s="4">
        <v>0.39529999999999998</v>
      </c>
      <c r="D229" s="4">
        <v>0.54179999999999995</v>
      </c>
      <c r="E229" s="22">
        <f t="shared" si="12"/>
        <v>0.53879999999999995</v>
      </c>
      <c r="F229">
        <f t="shared" si="13"/>
        <v>0.37309580418020977</v>
      </c>
      <c r="G229">
        <f t="shared" si="14"/>
        <v>2.2204195819790218E-2</v>
      </c>
      <c r="H229">
        <f t="shared" si="15"/>
        <v>19.228903144090399</v>
      </c>
    </row>
    <row r="230" spans="1:8" hidden="1" x14ac:dyDescent="0.25">
      <c r="A230" s="2" t="s">
        <v>10</v>
      </c>
      <c r="B230" s="3">
        <v>41978</v>
      </c>
      <c r="C230" s="4">
        <v>0.19700000000000001</v>
      </c>
      <c r="D230" s="4">
        <v>-0.20119999999999999</v>
      </c>
      <c r="E230" s="22">
        <f t="shared" si="12"/>
        <v>-0.20419999999999999</v>
      </c>
      <c r="F230">
        <f t="shared" si="13"/>
        <v>-0.12345123440434505</v>
      </c>
      <c r="G230">
        <f t="shared" si="14"/>
        <v>0.32045123440434509</v>
      </c>
      <c r="H230">
        <f t="shared" si="15"/>
        <v>19.549354378494744</v>
      </c>
    </row>
    <row r="231" spans="1:8" hidden="1" x14ac:dyDescent="0.25">
      <c r="A231" s="2" t="s">
        <v>10</v>
      </c>
      <c r="B231" s="3">
        <v>41981</v>
      </c>
      <c r="C231" s="4">
        <v>0.39290000000000003</v>
      </c>
      <c r="D231" s="4">
        <v>-0.20960000000000001</v>
      </c>
      <c r="E231" s="22">
        <f t="shared" si="12"/>
        <v>-0.21260000000000001</v>
      </c>
      <c r="F231">
        <f t="shared" si="13"/>
        <v>-0.12906495597111528</v>
      </c>
      <c r="G231">
        <f t="shared" si="14"/>
        <v>0.52196495597111525</v>
      </c>
      <c r="H231">
        <f t="shared" si="15"/>
        <v>20.071319334465858</v>
      </c>
    </row>
    <row r="232" spans="1:8" hidden="1" x14ac:dyDescent="0.25">
      <c r="A232" s="2" t="s">
        <v>10</v>
      </c>
      <c r="B232" s="3">
        <v>41982</v>
      </c>
      <c r="C232" s="4">
        <v>-0.39290000000000003</v>
      </c>
      <c r="D232" s="4">
        <v>-0.63759999999999994</v>
      </c>
      <c r="E232" s="22">
        <f t="shared" si="12"/>
        <v>-0.64059999999999995</v>
      </c>
      <c r="F232">
        <f t="shared" si="13"/>
        <v>-0.41509743580178748</v>
      </c>
      <c r="G232">
        <f t="shared" si="14"/>
        <v>2.2197435801787457E-2</v>
      </c>
      <c r="H232">
        <f t="shared" si="15"/>
        <v>20.093516770267644</v>
      </c>
    </row>
    <row r="233" spans="1:8" hidden="1" x14ac:dyDescent="0.25">
      <c r="A233" s="2" t="s">
        <v>10</v>
      </c>
      <c r="B233" s="3">
        <v>41983</v>
      </c>
      <c r="C233" s="4">
        <v>-0.19700000000000001</v>
      </c>
      <c r="D233" s="4">
        <v>-1.0653999999999999</v>
      </c>
      <c r="E233" s="22">
        <f t="shared" si="12"/>
        <v>-1.0683999999999998</v>
      </c>
      <c r="F233">
        <f t="shared" si="13"/>
        <v>-0.70099625559515555</v>
      </c>
      <c r="G233">
        <f t="shared" si="14"/>
        <v>0.5039962555951556</v>
      </c>
      <c r="H233">
        <f t="shared" si="15"/>
        <v>20.597513025862799</v>
      </c>
    </row>
    <row r="234" spans="1:8" hidden="1" x14ac:dyDescent="0.25">
      <c r="A234" s="2" t="s">
        <v>10</v>
      </c>
      <c r="B234" s="3">
        <v>41984</v>
      </c>
      <c r="C234" s="4">
        <v>0</v>
      </c>
      <c r="D234" s="4">
        <v>-0.21160000000000001</v>
      </c>
      <c r="E234" s="22">
        <f t="shared" si="12"/>
        <v>-0.21460000000000001</v>
      </c>
      <c r="F234">
        <f t="shared" si="13"/>
        <v>-0.13040155634415582</v>
      </c>
      <c r="G234">
        <f t="shared" si="14"/>
        <v>0.13040155634415582</v>
      </c>
      <c r="H234">
        <f t="shared" si="15"/>
        <v>20.727914582206957</v>
      </c>
    </row>
    <row r="235" spans="1:8" hidden="1" x14ac:dyDescent="0.25">
      <c r="A235" s="2" t="s">
        <v>10</v>
      </c>
      <c r="B235" s="3">
        <v>41985</v>
      </c>
      <c r="C235" s="4">
        <v>0.59</v>
      </c>
      <c r="D235" s="4">
        <v>0.15809999999999999</v>
      </c>
      <c r="E235" s="22">
        <f t="shared" si="12"/>
        <v>0.15509999999999999</v>
      </c>
      <c r="F235">
        <f t="shared" si="13"/>
        <v>0.11666902261238515</v>
      </c>
      <c r="G235">
        <f t="shared" si="14"/>
        <v>0.47333097738761482</v>
      </c>
      <c r="H235">
        <f t="shared" si="15"/>
        <v>21.201245559594572</v>
      </c>
    </row>
    <row r="236" spans="1:8" hidden="1" x14ac:dyDescent="0.25">
      <c r="A236" s="2" t="s">
        <v>10</v>
      </c>
      <c r="B236" s="3">
        <v>41988</v>
      </c>
      <c r="C236" s="4">
        <v>0</v>
      </c>
      <c r="D236" s="4">
        <v>-0.46300000000000002</v>
      </c>
      <c r="E236" s="22">
        <f t="shared" si="12"/>
        <v>-0.46600000000000003</v>
      </c>
      <c r="F236">
        <f t="shared" si="13"/>
        <v>-0.29841222323534972</v>
      </c>
      <c r="G236">
        <f t="shared" si="14"/>
        <v>0.29841222323534972</v>
      </c>
      <c r="H236">
        <f t="shared" si="15"/>
        <v>21.499657782829921</v>
      </c>
    </row>
    <row r="237" spans="1:8" hidden="1" x14ac:dyDescent="0.25">
      <c r="A237" s="2" t="s">
        <v>10</v>
      </c>
      <c r="B237" s="3">
        <v>41989</v>
      </c>
      <c r="C237" s="4">
        <v>0.97560000000000002</v>
      </c>
      <c r="D237" s="4">
        <v>-0.3871</v>
      </c>
      <c r="E237" s="22">
        <f t="shared" si="12"/>
        <v>-0.3901</v>
      </c>
      <c r="F237">
        <f t="shared" si="13"/>
        <v>-0.24768823907846182</v>
      </c>
      <c r="G237">
        <f t="shared" si="14"/>
        <v>1.2232882390784618</v>
      </c>
      <c r="H237">
        <f t="shared" si="15"/>
        <v>22.722946021908381</v>
      </c>
    </row>
    <row r="238" spans="1:8" hidden="1" x14ac:dyDescent="0.25">
      <c r="A238" s="2" t="s">
        <v>10</v>
      </c>
      <c r="B238" s="3">
        <v>41990</v>
      </c>
      <c r="C238" s="4">
        <v>-1.9608000000000001</v>
      </c>
      <c r="D238" s="4">
        <v>-1.3786</v>
      </c>
      <c r="E238" s="22">
        <f t="shared" si="12"/>
        <v>-1.3815999999999999</v>
      </c>
      <c r="F238">
        <f t="shared" si="13"/>
        <v>-0.91030787401330182</v>
      </c>
      <c r="G238">
        <f t="shared" si="14"/>
        <v>-1.0504921259866982</v>
      </c>
      <c r="H238">
        <f t="shared" si="15"/>
        <v>21.672453895921684</v>
      </c>
    </row>
    <row r="239" spans="1:8" hidden="1" x14ac:dyDescent="0.25">
      <c r="A239" s="2" t="s">
        <v>10</v>
      </c>
      <c r="B239" s="3">
        <v>41991</v>
      </c>
      <c r="C239" s="4">
        <v>-0.39679999999999999</v>
      </c>
      <c r="D239" s="4">
        <v>0.56779999999999997</v>
      </c>
      <c r="E239" s="22">
        <f t="shared" si="12"/>
        <v>0.56479999999999997</v>
      </c>
      <c r="F239">
        <f t="shared" si="13"/>
        <v>0.3904716090297366</v>
      </c>
      <c r="G239">
        <f t="shared" si="14"/>
        <v>-0.78727160902973659</v>
      </c>
      <c r="H239">
        <f t="shared" si="15"/>
        <v>20.885182286891947</v>
      </c>
    </row>
    <row r="240" spans="1:8" hidden="1" x14ac:dyDescent="0.25">
      <c r="A240" s="2" t="s">
        <v>10</v>
      </c>
      <c r="B240" s="3">
        <v>41992</v>
      </c>
      <c r="C240" s="4">
        <v>0.1986</v>
      </c>
      <c r="D240" s="4">
        <v>1.3524</v>
      </c>
      <c r="E240" s="22">
        <f t="shared" si="12"/>
        <v>1.3494000000000002</v>
      </c>
      <c r="F240">
        <f t="shared" si="13"/>
        <v>0.91481993537353445</v>
      </c>
      <c r="G240">
        <f t="shared" si="14"/>
        <v>-0.71621993537353446</v>
      </c>
      <c r="H240">
        <f t="shared" si="15"/>
        <v>20.168962351518413</v>
      </c>
    </row>
    <row r="241" spans="1:8" hidden="1" x14ac:dyDescent="0.25">
      <c r="A241" s="2" t="s">
        <v>10</v>
      </c>
      <c r="B241" s="3">
        <v>41995</v>
      </c>
      <c r="C241" s="4">
        <v>0</v>
      </c>
      <c r="D241" s="4">
        <v>1.0553999999999999</v>
      </c>
      <c r="E241" s="22">
        <f t="shared" si="12"/>
        <v>1.0524</v>
      </c>
      <c r="F241">
        <f t="shared" si="13"/>
        <v>0.71633477997701644</v>
      </c>
      <c r="G241">
        <f t="shared" si="14"/>
        <v>-0.71633477997701644</v>
      </c>
      <c r="H241">
        <f t="shared" si="15"/>
        <v>19.452627571541395</v>
      </c>
    </row>
    <row r="242" spans="1:8" hidden="1" x14ac:dyDescent="0.25">
      <c r="A242" s="2" t="s">
        <v>10</v>
      </c>
      <c r="B242" s="3">
        <v>41996</v>
      </c>
      <c r="C242" s="4">
        <v>-0.59699999999999998</v>
      </c>
      <c r="D242" s="4">
        <v>2.98E-2</v>
      </c>
      <c r="E242" s="22">
        <f t="shared" si="12"/>
        <v>2.6800000000000001E-2</v>
      </c>
      <c r="F242">
        <f t="shared" si="13"/>
        <v>3.0926108681835512E-2</v>
      </c>
      <c r="G242">
        <f t="shared" si="14"/>
        <v>-0.62792610868183552</v>
      </c>
      <c r="H242">
        <f t="shared" si="15"/>
        <v>18.824701462859558</v>
      </c>
    </row>
    <row r="243" spans="1:8" hidden="1" x14ac:dyDescent="0.25">
      <c r="A243" s="2" t="s">
        <v>10</v>
      </c>
      <c r="B243" s="3">
        <v>41997</v>
      </c>
      <c r="C243" s="4">
        <v>0.19939999999999999</v>
      </c>
      <c r="D243" s="4">
        <v>0.9677</v>
      </c>
      <c r="E243" s="22">
        <f t="shared" si="12"/>
        <v>0.9647</v>
      </c>
      <c r="F243">
        <f t="shared" si="13"/>
        <v>0.65772485361918942</v>
      </c>
      <c r="G243">
        <f t="shared" si="14"/>
        <v>-0.4583248536191894</v>
      </c>
      <c r="H243">
        <f t="shared" si="15"/>
        <v>18.366376609240369</v>
      </c>
    </row>
    <row r="244" spans="1:8" hidden="1" x14ac:dyDescent="0.25">
      <c r="A244" s="2" t="s">
        <v>10</v>
      </c>
      <c r="B244" s="3">
        <v>41998</v>
      </c>
      <c r="C244" s="4">
        <v>0.5958</v>
      </c>
      <c r="D244" s="4">
        <v>-0.29959999999999998</v>
      </c>
      <c r="E244" s="22">
        <f t="shared" si="12"/>
        <v>-0.30259999999999998</v>
      </c>
      <c r="F244">
        <f t="shared" si="13"/>
        <v>-0.18921197275793886</v>
      </c>
      <c r="G244">
        <f t="shared" si="14"/>
        <v>0.78501197275793888</v>
      </c>
      <c r="H244">
        <f t="shared" si="15"/>
        <v>19.151388581998308</v>
      </c>
    </row>
    <row r="245" spans="1:8" hidden="1" x14ac:dyDescent="0.25">
      <c r="A245" s="2" t="s">
        <v>10</v>
      </c>
      <c r="B245" s="3">
        <v>41999</v>
      </c>
      <c r="C245" s="4">
        <v>0</v>
      </c>
      <c r="D245" s="4">
        <v>0.60270000000000001</v>
      </c>
      <c r="E245" s="22">
        <f t="shared" si="12"/>
        <v>0.59970000000000001</v>
      </c>
      <c r="F245">
        <f t="shared" si="13"/>
        <v>0.41379528553929373</v>
      </c>
      <c r="G245">
        <f t="shared" si="14"/>
        <v>-0.41379528553929373</v>
      </c>
      <c r="H245">
        <f t="shared" si="15"/>
        <v>18.737593296459014</v>
      </c>
    </row>
    <row r="246" spans="1:8" hidden="1" x14ac:dyDescent="0.25">
      <c r="A246" s="2" t="s">
        <v>10</v>
      </c>
      <c r="B246" s="3">
        <v>42000</v>
      </c>
      <c r="C246" s="4">
        <v>0.59230000000000005</v>
      </c>
      <c r="D246" s="4">
        <v>4.8099999999999997E-2</v>
      </c>
      <c r="E246" s="22">
        <f t="shared" si="12"/>
        <v>4.5099999999999994E-2</v>
      </c>
      <c r="F246">
        <f t="shared" si="13"/>
        <v>4.3156002095156305E-2</v>
      </c>
      <c r="G246">
        <f t="shared" si="14"/>
        <v>0.54914399790484369</v>
      </c>
      <c r="H246">
        <f t="shared" si="15"/>
        <v>19.286737294363856</v>
      </c>
    </row>
    <row r="247" spans="1:8" hidden="1" x14ac:dyDescent="0.25">
      <c r="A247" s="2" t="s">
        <v>10</v>
      </c>
      <c r="B247" s="3">
        <v>42002</v>
      </c>
      <c r="C247" s="4">
        <v>-0.39450000000000002</v>
      </c>
      <c r="D247" s="4">
        <v>0.73260000000000003</v>
      </c>
      <c r="E247" s="22">
        <f t="shared" si="12"/>
        <v>0.72960000000000003</v>
      </c>
      <c r="F247">
        <f t="shared" si="13"/>
        <v>0.5006074797682758</v>
      </c>
      <c r="G247">
        <f t="shared" si="14"/>
        <v>-0.89510747976827587</v>
      </c>
      <c r="H247">
        <f t="shared" si="15"/>
        <v>18.391629814595582</v>
      </c>
    </row>
    <row r="248" spans="1:8" hidden="1" x14ac:dyDescent="0.25">
      <c r="A248" s="2" t="s">
        <v>10</v>
      </c>
      <c r="B248" s="3">
        <v>42003</v>
      </c>
      <c r="C248" s="4">
        <v>-0.1978</v>
      </c>
      <c r="D248" s="4">
        <v>-0.19239999999999999</v>
      </c>
      <c r="E248" s="22">
        <f t="shared" si="12"/>
        <v>-0.19539999999999999</v>
      </c>
      <c r="F248">
        <f t="shared" si="13"/>
        <v>-0.11757019276296676</v>
      </c>
      <c r="G248">
        <f t="shared" si="14"/>
        <v>-8.022980723703324E-2</v>
      </c>
      <c r="H248">
        <f t="shared" si="15"/>
        <v>18.31140000735855</v>
      </c>
    </row>
    <row r="249" spans="1:8" hidden="1" x14ac:dyDescent="0.25">
      <c r="A249" s="2" t="s">
        <v>10</v>
      </c>
      <c r="B249" s="3">
        <v>42004</v>
      </c>
      <c r="C249" s="4">
        <v>0.98519999999999996</v>
      </c>
      <c r="D249" s="4">
        <v>0.41810000000000003</v>
      </c>
      <c r="E249" s="22">
        <f t="shared" si="12"/>
        <v>0.41510000000000002</v>
      </c>
      <c r="F249">
        <f t="shared" si="13"/>
        <v>0.29042707110765337</v>
      </c>
      <c r="G249">
        <f t="shared" si="14"/>
        <v>0.69477292889234654</v>
      </c>
      <c r="H249">
        <f t="shared" si="15"/>
        <v>19.006172936250898</v>
      </c>
    </row>
    <row r="250" spans="1:8" hidden="1" x14ac:dyDescent="0.25">
      <c r="A250" s="2" t="s">
        <v>10</v>
      </c>
      <c r="B250" s="3">
        <v>42009</v>
      </c>
      <c r="C250" s="4">
        <v>0</v>
      </c>
      <c r="D250" s="4">
        <v>-0.35680000000000001</v>
      </c>
      <c r="E250" s="22">
        <f t="shared" si="12"/>
        <v>-0.35980000000000001</v>
      </c>
      <c r="F250">
        <f t="shared" si="13"/>
        <v>-0.22743874342689788</v>
      </c>
      <c r="G250">
        <f t="shared" si="14"/>
        <v>0.22743874342689788</v>
      </c>
      <c r="H250">
        <f t="shared" si="15"/>
        <v>19.233611679677797</v>
      </c>
    </row>
    <row r="251" spans="1:8" hidden="1" x14ac:dyDescent="0.25">
      <c r="A251" s="2" t="s">
        <v>10</v>
      </c>
      <c r="B251" s="3">
        <v>42010</v>
      </c>
      <c r="C251" s="4">
        <v>-1.5810999999999999</v>
      </c>
      <c r="D251" s="4">
        <v>-2.4645000000000001</v>
      </c>
      <c r="E251" s="22">
        <f t="shared" si="12"/>
        <v>-2.4675000000000002</v>
      </c>
      <c r="F251">
        <f t="shared" si="13"/>
        <v>-1.6360150465556547</v>
      </c>
      <c r="G251">
        <f t="shared" si="14"/>
        <v>5.4915046555654712E-2</v>
      </c>
      <c r="H251">
        <f t="shared" si="15"/>
        <v>19.288526726233449</v>
      </c>
    </row>
    <row r="252" spans="1:8" hidden="1" x14ac:dyDescent="0.25">
      <c r="A252" s="2" t="s">
        <v>10</v>
      </c>
      <c r="B252" s="3">
        <v>42011</v>
      </c>
      <c r="C252" s="4">
        <v>0</v>
      </c>
      <c r="D252" s="4">
        <v>0.3503</v>
      </c>
      <c r="E252" s="22">
        <f t="shared" si="12"/>
        <v>0.3473</v>
      </c>
      <c r="F252">
        <f t="shared" si="13"/>
        <v>0.24511631846157955</v>
      </c>
      <c r="G252">
        <f t="shared" si="14"/>
        <v>-0.24511631846157955</v>
      </c>
      <c r="H252">
        <f t="shared" si="15"/>
        <v>19.043410407771869</v>
      </c>
    </row>
    <row r="253" spans="1:8" hidden="1" x14ac:dyDescent="0.25">
      <c r="A253" s="2" t="s">
        <v>10</v>
      </c>
      <c r="B253" s="3">
        <v>42012</v>
      </c>
      <c r="C253" s="4">
        <v>0.19900000000000001</v>
      </c>
      <c r="D253" s="4">
        <v>1.7244999999999999</v>
      </c>
      <c r="E253" s="22">
        <f t="shared" si="12"/>
        <v>1.7215</v>
      </c>
      <c r="F253">
        <f t="shared" si="13"/>
        <v>1.1634944347777239</v>
      </c>
      <c r="G253">
        <f t="shared" si="14"/>
        <v>-0.96449443477772379</v>
      </c>
      <c r="H253">
        <f t="shared" si="15"/>
        <v>18.078915972994146</v>
      </c>
    </row>
    <row r="254" spans="1:8" hidden="1" x14ac:dyDescent="0.25">
      <c r="A254" s="2" t="s">
        <v>10</v>
      </c>
      <c r="B254" s="3">
        <v>42013</v>
      </c>
      <c r="C254" s="4">
        <v>0</v>
      </c>
      <c r="D254" s="4">
        <v>-0.24329999999999999</v>
      </c>
      <c r="E254" s="22">
        <f t="shared" si="12"/>
        <v>-0.24629999999999999</v>
      </c>
      <c r="F254">
        <f t="shared" si="13"/>
        <v>-0.1515866722568481</v>
      </c>
      <c r="G254">
        <f t="shared" si="14"/>
        <v>0.1515866722568481</v>
      </c>
      <c r="H254">
        <f t="shared" si="15"/>
        <v>18.230502645250994</v>
      </c>
    </row>
    <row r="255" spans="1:8" hidden="1" x14ac:dyDescent="0.25">
      <c r="A255" s="2" t="s">
        <v>10</v>
      </c>
      <c r="B255" s="3">
        <v>42016</v>
      </c>
      <c r="C255" s="4">
        <v>0.39679999999999999</v>
      </c>
      <c r="D255" s="4">
        <v>-0.40539999999999998</v>
      </c>
      <c r="E255" s="22">
        <f t="shared" si="12"/>
        <v>-0.40839999999999999</v>
      </c>
      <c r="F255">
        <f t="shared" si="13"/>
        <v>-0.25991813249178258</v>
      </c>
      <c r="G255">
        <f t="shared" si="14"/>
        <v>0.65671813249178257</v>
      </c>
      <c r="H255">
        <f t="shared" si="15"/>
        <v>18.887220777742776</v>
      </c>
    </row>
    <row r="256" spans="1:8" hidden="1" x14ac:dyDescent="0.25">
      <c r="A256" s="2" t="s">
        <v>10</v>
      </c>
      <c r="B256" s="3">
        <v>42017</v>
      </c>
      <c r="C256" s="4">
        <v>0</v>
      </c>
      <c r="D256" s="4">
        <v>0.58120000000000005</v>
      </c>
      <c r="E256" s="22">
        <f t="shared" si="12"/>
        <v>0.57820000000000005</v>
      </c>
      <c r="F256">
        <f t="shared" si="13"/>
        <v>0.39942683152910813</v>
      </c>
      <c r="G256">
        <f t="shared" si="14"/>
        <v>-0.39942683152910813</v>
      </c>
      <c r="H256">
        <f t="shared" si="15"/>
        <v>18.487793946213667</v>
      </c>
    </row>
    <row r="257" spans="1:8" hidden="1" x14ac:dyDescent="0.25">
      <c r="A257" s="2" t="s">
        <v>10</v>
      </c>
      <c r="B257" s="3">
        <v>42018</v>
      </c>
      <c r="C257" s="4">
        <v>0.1978</v>
      </c>
      <c r="D257" s="4">
        <v>-0.56020000000000003</v>
      </c>
      <c r="E257" s="22">
        <f t="shared" si="12"/>
        <v>-0.56320000000000003</v>
      </c>
      <c r="F257">
        <f t="shared" si="13"/>
        <v>-0.36337100136511924</v>
      </c>
      <c r="G257">
        <f t="shared" si="14"/>
        <v>0.56117100136511922</v>
      </c>
      <c r="H257">
        <f t="shared" si="15"/>
        <v>19.048964947578785</v>
      </c>
    </row>
    <row r="258" spans="1:8" hidden="1" x14ac:dyDescent="0.25">
      <c r="A258" s="2" t="s">
        <v>10</v>
      </c>
      <c r="B258" s="3">
        <v>42019</v>
      </c>
      <c r="C258" s="4">
        <v>-0.39600000000000002</v>
      </c>
      <c r="D258" s="4">
        <v>-0.1651</v>
      </c>
      <c r="E258" s="22">
        <f t="shared" si="12"/>
        <v>-0.1681</v>
      </c>
      <c r="F258">
        <f t="shared" si="13"/>
        <v>-9.9325597670963606E-2</v>
      </c>
      <c r="G258">
        <f t="shared" si="14"/>
        <v>-0.29667440232903641</v>
      </c>
      <c r="H258">
        <f t="shared" si="15"/>
        <v>18.75229054524975</v>
      </c>
    </row>
    <row r="259" spans="1:8" hidden="1" x14ac:dyDescent="0.25">
      <c r="A259" s="2" t="s">
        <v>10</v>
      </c>
      <c r="B259" s="3">
        <v>42020</v>
      </c>
      <c r="C259" s="4">
        <v>-0.59699999999999998</v>
      </c>
      <c r="D259" s="4">
        <v>-0.2928</v>
      </c>
      <c r="E259" s="22">
        <f t="shared" ref="E259:E322" si="16">D259-K$2</f>
        <v>-0.29580000000000001</v>
      </c>
      <c r="F259">
        <f t="shared" ref="F259:F322" si="17">K$3+K$4*E259</f>
        <v>-0.18466753148960111</v>
      </c>
      <c r="G259">
        <f t="shared" ref="G259:G322" si="18">C259-F259</f>
        <v>-0.41233246851039884</v>
      </c>
      <c r="H259">
        <f t="shared" si="15"/>
        <v>18.33995807673935</v>
      </c>
    </row>
    <row r="260" spans="1:8" hidden="1" x14ac:dyDescent="0.25">
      <c r="A260" s="2" t="s">
        <v>10</v>
      </c>
      <c r="B260" s="3">
        <v>42023</v>
      </c>
      <c r="C260" s="4">
        <v>-0.4</v>
      </c>
      <c r="D260" s="4">
        <v>0.39069999999999999</v>
      </c>
      <c r="E260" s="22">
        <f t="shared" si="16"/>
        <v>0.38769999999999999</v>
      </c>
      <c r="F260">
        <f t="shared" si="17"/>
        <v>0.27211564599699817</v>
      </c>
      <c r="G260">
        <f t="shared" si="18"/>
        <v>-0.67211564599699813</v>
      </c>
      <c r="H260">
        <f t="shared" ref="H260:H323" si="19">H259+G260</f>
        <v>17.667842430742351</v>
      </c>
    </row>
    <row r="261" spans="1:8" hidden="1" x14ac:dyDescent="0.25">
      <c r="A261" s="2" t="s">
        <v>10</v>
      </c>
      <c r="B261" s="3">
        <v>42024</v>
      </c>
      <c r="C261" s="4">
        <v>0.20019999999999999</v>
      </c>
      <c r="D261" s="4">
        <v>0.84260000000000002</v>
      </c>
      <c r="E261" s="22">
        <f t="shared" si="16"/>
        <v>0.83960000000000001</v>
      </c>
      <c r="F261">
        <f t="shared" si="17"/>
        <v>0.57412050028550465</v>
      </c>
      <c r="G261">
        <f t="shared" si="18"/>
        <v>-0.37392050028550466</v>
      </c>
      <c r="H261">
        <f t="shared" si="19"/>
        <v>17.293921930456847</v>
      </c>
    </row>
    <row r="262" spans="1:8" hidden="1" x14ac:dyDescent="0.25">
      <c r="A262" s="2" t="s">
        <v>10</v>
      </c>
      <c r="B262" s="3">
        <v>42025</v>
      </c>
      <c r="C262" s="4">
        <v>0.19980000000000001</v>
      </c>
      <c r="D262" s="4">
        <v>0.73250000000000004</v>
      </c>
      <c r="E262" s="22">
        <f t="shared" si="16"/>
        <v>0.72950000000000004</v>
      </c>
      <c r="F262">
        <f t="shared" si="17"/>
        <v>0.50054064974962387</v>
      </c>
      <c r="G262">
        <f t="shared" si="18"/>
        <v>-0.30074064974962389</v>
      </c>
      <c r="H262">
        <f t="shared" si="19"/>
        <v>16.993181280707223</v>
      </c>
    </row>
    <row r="263" spans="1:8" hidden="1" x14ac:dyDescent="0.25">
      <c r="A263" s="2" t="s">
        <v>10</v>
      </c>
      <c r="B263" s="3">
        <v>42026</v>
      </c>
      <c r="C263" s="4">
        <v>-0.19980000000000001</v>
      </c>
      <c r="D263" s="4">
        <v>0.53290000000000004</v>
      </c>
      <c r="E263" s="22">
        <f t="shared" si="16"/>
        <v>0.52990000000000004</v>
      </c>
      <c r="F263">
        <f t="shared" si="17"/>
        <v>0.36714793252017947</v>
      </c>
      <c r="G263">
        <f t="shared" si="18"/>
        <v>-0.5669479325201795</v>
      </c>
      <c r="H263">
        <f t="shared" si="19"/>
        <v>16.426233348187044</v>
      </c>
    </row>
    <row r="264" spans="1:8" hidden="1" x14ac:dyDescent="0.25">
      <c r="A264" s="2" t="s">
        <v>10</v>
      </c>
      <c r="B264" s="3">
        <v>42027</v>
      </c>
      <c r="C264" s="4">
        <v>0.995</v>
      </c>
      <c r="D264" s="4">
        <v>1.0767</v>
      </c>
      <c r="E264" s="22">
        <f t="shared" si="16"/>
        <v>1.0737000000000001</v>
      </c>
      <c r="F264">
        <f t="shared" si="17"/>
        <v>0.73056957394989808</v>
      </c>
      <c r="G264">
        <f t="shared" si="18"/>
        <v>0.26443042605010192</v>
      </c>
      <c r="H264">
        <f t="shared" si="19"/>
        <v>16.690663774237144</v>
      </c>
    </row>
    <row r="265" spans="1:8" hidden="1" x14ac:dyDescent="0.25">
      <c r="A265" s="2" t="s">
        <v>10</v>
      </c>
      <c r="B265" s="3">
        <v>42030</v>
      </c>
      <c r="C265" s="4">
        <v>0.1978</v>
      </c>
      <c r="D265" s="4">
        <v>7.0999999999999994E-2</v>
      </c>
      <c r="E265" s="22">
        <f t="shared" si="16"/>
        <v>6.7999999999999991E-2</v>
      </c>
      <c r="F265">
        <f t="shared" si="17"/>
        <v>5.8460076366470305E-2</v>
      </c>
      <c r="G265">
        <f t="shared" si="18"/>
        <v>0.13933992363352971</v>
      </c>
      <c r="H265">
        <f t="shared" si="19"/>
        <v>16.830003697870673</v>
      </c>
    </row>
    <row r="266" spans="1:8" hidden="1" x14ac:dyDescent="0.25">
      <c r="A266" s="2" t="s">
        <v>10</v>
      </c>
      <c r="B266" s="3">
        <v>42031</v>
      </c>
      <c r="C266" s="4">
        <v>0</v>
      </c>
      <c r="D266" s="4">
        <v>0.46229999999999999</v>
      </c>
      <c r="E266" s="22">
        <f t="shared" si="16"/>
        <v>0.45929999999999999</v>
      </c>
      <c r="F266">
        <f t="shared" si="17"/>
        <v>0.31996593935184892</v>
      </c>
      <c r="G266">
        <f t="shared" si="18"/>
        <v>-0.31996593935184892</v>
      </c>
      <c r="H266">
        <f t="shared" si="19"/>
        <v>16.510037758518823</v>
      </c>
    </row>
    <row r="267" spans="1:8" hidden="1" x14ac:dyDescent="0.25">
      <c r="A267" s="2" t="s">
        <v>10</v>
      </c>
      <c r="B267" s="3">
        <v>42032</v>
      </c>
      <c r="C267" s="4">
        <v>0.98329999999999995</v>
      </c>
      <c r="D267" s="4">
        <v>-0.11210000000000001</v>
      </c>
      <c r="E267" s="22">
        <f t="shared" si="16"/>
        <v>-0.11510000000000001</v>
      </c>
      <c r="F267">
        <f t="shared" si="17"/>
        <v>-6.39056877853897E-2</v>
      </c>
      <c r="G267">
        <f t="shared" si="18"/>
        <v>1.0472056877853897</v>
      </c>
      <c r="H267">
        <f t="shared" si="19"/>
        <v>17.557243446304213</v>
      </c>
    </row>
    <row r="268" spans="1:8" hidden="1" x14ac:dyDescent="0.25">
      <c r="A268" s="2" t="s">
        <v>10</v>
      </c>
      <c r="B268" s="3">
        <v>42033</v>
      </c>
      <c r="C268" s="4">
        <v>0.19550000000000001</v>
      </c>
      <c r="D268" s="4">
        <v>-0.88729999999999998</v>
      </c>
      <c r="E268" s="22">
        <f t="shared" si="16"/>
        <v>-0.89029999999999998</v>
      </c>
      <c r="F268">
        <f t="shared" si="17"/>
        <v>-0.58197199237589703</v>
      </c>
      <c r="G268">
        <f t="shared" si="18"/>
        <v>0.77747199237589704</v>
      </c>
      <c r="H268">
        <f t="shared" si="19"/>
        <v>18.33471543868011</v>
      </c>
    </row>
    <row r="269" spans="1:8" hidden="1" x14ac:dyDescent="0.25">
      <c r="A269" s="2" t="s">
        <v>10</v>
      </c>
      <c r="B269" s="3">
        <v>42034</v>
      </c>
      <c r="C269" s="4">
        <v>0</v>
      </c>
      <c r="D269" s="4">
        <v>-0.69179999999999997</v>
      </c>
      <c r="E269" s="22">
        <f t="shared" si="16"/>
        <v>-0.69479999999999997</v>
      </c>
      <c r="F269">
        <f t="shared" si="17"/>
        <v>-0.45131930591118569</v>
      </c>
      <c r="G269">
        <f t="shared" si="18"/>
        <v>0.45131930591118569</v>
      </c>
      <c r="H269">
        <f t="shared" si="19"/>
        <v>18.786034744591294</v>
      </c>
    </row>
    <row r="270" spans="1:8" hidden="1" x14ac:dyDescent="0.25">
      <c r="A270" s="2" t="s">
        <v>10</v>
      </c>
      <c r="B270" s="3">
        <v>42037</v>
      </c>
      <c r="C270" s="4">
        <v>0.1951</v>
      </c>
      <c r="D270" s="4">
        <v>0.26750000000000002</v>
      </c>
      <c r="E270" s="22">
        <f t="shared" si="16"/>
        <v>0.26450000000000001</v>
      </c>
      <c r="F270">
        <f t="shared" si="17"/>
        <v>0.18978106301770184</v>
      </c>
      <c r="G270">
        <f t="shared" si="18"/>
        <v>5.3189369822981558E-3</v>
      </c>
      <c r="H270">
        <f t="shared" si="19"/>
        <v>18.791353681573593</v>
      </c>
    </row>
    <row r="271" spans="1:8" hidden="1" x14ac:dyDescent="0.25">
      <c r="A271" s="2" t="s">
        <v>10</v>
      </c>
      <c r="B271" s="3">
        <v>42038</v>
      </c>
      <c r="C271" s="4">
        <v>1.9306000000000001</v>
      </c>
      <c r="D271" s="4">
        <v>0.65559999999999996</v>
      </c>
      <c r="E271" s="22">
        <f t="shared" si="16"/>
        <v>0.65259999999999996</v>
      </c>
      <c r="F271">
        <f t="shared" si="17"/>
        <v>0.44914836540621561</v>
      </c>
      <c r="G271">
        <f t="shared" si="18"/>
        <v>1.4814516345937845</v>
      </c>
      <c r="H271">
        <f t="shared" si="19"/>
        <v>20.272805316167378</v>
      </c>
    </row>
    <row r="272" spans="1:8" hidden="1" x14ac:dyDescent="0.25">
      <c r="A272" s="2" t="s">
        <v>10</v>
      </c>
      <c r="B272" s="3">
        <v>42039</v>
      </c>
      <c r="C272" s="4">
        <v>0.57199999999999995</v>
      </c>
      <c r="D272" s="4">
        <v>0.68759999999999999</v>
      </c>
      <c r="E272" s="22">
        <f t="shared" si="16"/>
        <v>0.68459999999999999</v>
      </c>
      <c r="F272">
        <f t="shared" si="17"/>
        <v>0.47053397137486402</v>
      </c>
      <c r="G272">
        <f t="shared" si="18"/>
        <v>0.10146602862513593</v>
      </c>
      <c r="H272">
        <f t="shared" si="19"/>
        <v>20.374271344792515</v>
      </c>
    </row>
    <row r="273" spans="1:8" hidden="1" x14ac:dyDescent="0.25">
      <c r="A273" s="2" t="s">
        <v>10</v>
      </c>
      <c r="B273" s="3">
        <v>42040</v>
      </c>
      <c r="C273" s="4">
        <v>-0.38100000000000001</v>
      </c>
      <c r="D273" s="4">
        <v>-1.9699999999999999E-2</v>
      </c>
      <c r="E273" s="22">
        <f t="shared" si="16"/>
        <v>-2.2699999999999998E-2</v>
      </c>
      <c r="F273">
        <f t="shared" si="17"/>
        <v>-2.15475055091747E-3</v>
      </c>
      <c r="G273">
        <f t="shared" si="18"/>
        <v>-0.37884524944908254</v>
      </c>
      <c r="H273">
        <f t="shared" si="19"/>
        <v>19.995426095343433</v>
      </c>
    </row>
    <row r="274" spans="1:8" hidden="1" x14ac:dyDescent="0.25">
      <c r="A274" s="2" t="s">
        <v>10</v>
      </c>
      <c r="B274" s="3">
        <v>42041</v>
      </c>
      <c r="C274" s="4">
        <v>-0.38240000000000002</v>
      </c>
      <c r="D274" s="4">
        <v>-0.58909999999999996</v>
      </c>
      <c r="E274" s="22">
        <f t="shared" si="16"/>
        <v>-0.59209999999999996</v>
      </c>
      <c r="F274">
        <f t="shared" si="17"/>
        <v>-0.38268487675555474</v>
      </c>
      <c r="G274">
        <f t="shared" si="18"/>
        <v>2.8487675555471936E-4</v>
      </c>
      <c r="H274">
        <f t="shared" si="19"/>
        <v>19.995710972098987</v>
      </c>
    </row>
    <row r="275" spans="1:8" hidden="1" x14ac:dyDescent="0.25">
      <c r="A275" s="2" t="s">
        <v>10</v>
      </c>
      <c r="B275" s="3">
        <v>42044</v>
      </c>
      <c r="C275" s="4">
        <v>-0.57640000000000002</v>
      </c>
      <c r="D275" s="4">
        <v>-0.3674</v>
      </c>
      <c r="E275" s="22">
        <f t="shared" si="16"/>
        <v>-0.37040000000000001</v>
      </c>
      <c r="F275">
        <f t="shared" si="17"/>
        <v>-0.23452272540401264</v>
      </c>
      <c r="G275">
        <f t="shared" si="18"/>
        <v>-0.34187727459598738</v>
      </c>
      <c r="H275">
        <f t="shared" si="19"/>
        <v>19.653833697503</v>
      </c>
    </row>
    <row r="276" spans="1:8" hidden="1" x14ac:dyDescent="0.25">
      <c r="A276" s="2" t="s">
        <v>10</v>
      </c>
      <c r="B276" s="3">
        <v>42045</v>
      </c>
      <c r="C276" s="4">
        <v>-0.57969999999999999</v>
      </c>
      <c r="D276" s="4">
        <v>-0.29549999999999998</v>
      </c>
      <c r="E276" s="22">
        <f t="shared" si="16"/>
        <v>-0.29849999999999999</v>
      </c>
      <c r="F276">
        <f t="shared" si="17"/>
        <v>-0.1864719419932058</v>
      </c>
      <c r="G276">
        <f t="shared" si="18"/>
        <v>-0.39322805800679417</v>
      </c>
      <c r="H276">
        <f t="shared" si="19"/>
        <v>19.260605639496205</v>
      </c>
    </row>
    <row r="277" spans="1:8" hidden="1" x14ac:dyDescent="0.25">
      <c r="A277" s="2" t="s">
        <v>10</v>
      </c>
      <c r="B277" s="3">
        <v>42046</v>
      </c>
      <c r="C277" s="4">
        <v>0</v>
      </c>
      <c r="D277" s="4">
        <v>0.7268</v>
      </c>
      <c r="E277" s="22">
        <f t="shared" si="16"/>
        <v>0.7238</v>
      </c>
      <c r="F277">
        <f t="shared" si="17"/>
        <v>0.4967313386864583</v>
      </c>
      <c r="G277">
        <f t="shared" si="18"/>
        <v>-0.4967313386864583</v>
      </c>
      <c r="H277">
        <f t="shared" si="19"/>
        <v>18.763874300809746</v>
      </c>
    </row>
    <row r="278" spans="1:8" hidden="1" x14ac:dyDescent="0.25">
      <c r="A278" s="2" t="s">
        <v>10</v>
      </c>
      <c r="B278" s="3">
        <v>42047</v>
      </c>
      <c r="C278" s="4">
        <v>0</v>
      </c>
      <c r="D278" s="4">
        <v>0.35959999999999998</v>
      </c>
      <c r="E278" s="22">
        <f t="shared" si="16"/>
        <v>0.35659999999999997</v>
      </c>
      <c r="F278">
        <f t="shared" si="17"/>
        <v>0.25133151019621797</v>
      </c>
      <c r="G278">
        <f t="shared" si="18"/>
        <v>-0.25133151019621797</v>
      </c>
      <c r="H278">
        <f t="shared" si="19"/>
        <v>18.51254279061353</v>
      </c>
    </row>
    <row r="279" spans="1:8" hidden="1" x14ac:dyDescent="0.25">
      <c r="A279" s="2" t="s">
        <v>10</v>
      </c>
      <c r="B279" s="3">
        <v>42048</v>
      </c>
      <c r="C279" s="4">
        <v>0.57969999999999999</v>
      </c>
      <c r="D279" s="4">
        <v>0.34899999999999998</v>
      </c>
      <c r="E279" s="22">
        <f t="shared" si="16"/>
        <v>0.34599999999999997</v>
      </c>
      <c r="F279">
        <f t="shared" si="17"/>
        <v>0.2442475282191032</v>
      </c>
      <c r="G279">
        <f t="shared" si="18"/>
        <v>0.33545247178089677</v>
      </c>
      <c r="H279">
        <f t="shared" si="19"/>
        <v>18.847995262394427</v>
      </c>
    </row>
    <row r="280" spans="1:8" hidden="1" x14ac:dyDescent="0.25">
      <c r="A280" s="2" t="s">
        <v>10</v>
      </c>
      <c r="B280" s="3">
        <v>42059</v>
      </c>
      <c r="C280" s="4">
        <v>0.3846</v>
      </c>
      <c r="D280" s="4">
        <v>1.0425</v>
      </c>
      <c r="E280" s="22">
        <f t="shared" si="16"/>
        <v>1.0395000000000001</v>
      </c>
      <c r="F280">
        <f t="shared" si="17"/>
        <v>0.70771370757090513</v>
      </c>
      <c r="G280">
        <f t="shared" si="18"/>
        <v>-0.32311370757090513</v>
      </c>
      <c r="H280">
        <f t="shared" si="19"/>
        <v>18.524881554823523</v>
      </c>
    </row>
    <row r="281" spans="1:8" hidden="1" x14ac:dyDescent="0.25">
      <c r="A281" s="2" t="s">
        <v>10</v>
      </c>
      <c r="B281" s="3">
        <v>42060</v>
      </c>
      <c r="C281" s="4">
        <v>-0.19209999999999999</v>
      </c>
      <c r="D281" s="4">
        <v>0.72609999999999997</v>
      </c>
      <c r="E281" s="22">
        <f t="shared" si="16"/>
        <v>0.72309999999999997</v>
      </c>
      <c r="F281">
        <f t="shared" si="17"/>
        <v>0.49626352855589406</v>
      </c>
      <c r="G281">
        <f t="shared" si="18"/>
        <v>-0.688363528555894</v>
      </c>
      <c r="H281">
        <f t="shared" si="19"/>
        <v>17.83651802626763</v>
      </c>
    </row>
    <row r="282" spans="1:8" hidden="1" x14ac:dyDescent="0.25">
      <c r="A282" s="2" t="s">
        <v>10</v>
      </c>
      <c r="B282" s="3">
        <v>42061</v>
      </c>
      <c r="C282" s="4">
        <v>0</v>
      </c>
      <c r="D282" s="4">
        <v>-0.80159999999999998</v>
      </c>
      <c r="E282" s="22">
        <f t="shared" si="16"/>
        <v>-0.80459999999999998</v>
      </c>
      <c r="F282">
        <f t="shared" si="17"/>
        <v>-0.52469866639111051</v>
      </c>
      <c r="G282">
        <f t="shared" si="18"/>
        <v>0.52469866639111051</v>
      </c>
      <c r="H282">
        <f t="shared" si="19"/>
        <v>18.36121669265874</v>
      </c>
    </row>
    <row r="283" spans="1:8" hidden="1" x14ac:dyDescent="0.25">
      <c r="A283" s="2" t="s">
        <v>10</v>
      </c>
      <c r="B283" s="3">
        <v>42065</v>
      </c>
      <c r="C283" s="4">
        <v>0</v>
      </c>
      <c r="D283" s="4">
        <v>-0.21579999999999999</v>
      </c>
      <c r="E283" s="22">
        <f t="shared" si="16"/>
        <v>-0.21879999999999999</v>
      </c>
      <c r="F283">
        <f t="shared" si="17"/>
        <v>-0.13320841712754089</v>
      </c>
      <c r="G283">
        <f t="shared" si="18"/>
        <v>0.13320841712754089</v>
      </c>
      <c r="H283">
        <f t="shared" si="19"/>
        <v>18.494425109786281</v>
      </c>
    </row>
    <row r="284" spans="1:8" hidden="1" x14ac:dyDescent="0.25">
      <c r="A284" s="2" t="s">
        <v>10</v>
      </c>
      <c r="B284" s="3">
        <v>42066</v>
      </c>
      <c r="C284" s="4">
        <v>-0.1925</v>
      </c>
      <c r="D284" s="4">
        <v>4.5900000000000003E-2</v>
      </c>
      <c r="E284" s="22">
        <f t="shared" si="16"/>
        <v>4.2900000000000001E-2</v>
      </c>
      <c r="F284">
        <f t="shared" si="17"/>
        <v>4.1685741684811733E-2</v>
      </c>
      <c r="G284">
        <f t="shared" si="18"/>
        <v>-0.23418574168481174</v>
      </c>
      <c r="H284">
        <f t="shared" si="19"/>
        <v>18.26023936810147</v>
      </c>
    </row>
    <row r="285" spans="1:8" hidden="1" x14ac:dyDescent="0.25">
      <c r="A285" s="2" t="s">
        <v>10</v>
      </c>
      <c r="B285" s="3">
        <v>42067</v>
      </c>
      <c r="C285" s="4">
        <v>0.1925</v>
      </c>
      <c r="D285" s="4">
        <v>0.16600000000000001</v>
      </c>
      <c r="E285" s="22">
        <f t="shared" si="16"/>
        <v>0.16300000000000001</v>
      </c>
      <c r="F285">
        <f t="shared" si="17"/>
        <v>0.12194859408589523</v>
      </c>
      <c r="G285">
        <f t="shared" si="18"/>
        <v>7.0551405914104776E-2</v>
      </c>
      <c r="H285">
        <f t="shared" si="19"/>
        <v>18.330790774015576</v>
      </c>
    </row>
    <row r="286" spans="1:8" hidden="1" x14ac:dyDescent="0.25">
      <c r="A286" s="2" t="s">
        <v>10</v>
      </c>
      <c r="B286" s="3">
        <v>42068</v>
      </c>
      <c r="C286" s="4">
        <v>2.4693000000000001</v>
      </c>
      <c r="D286" s="4">
        <v>-0.27729999999999999</v>
      </c>
      <c r="E286" s="22">
        <f t="shared" si="16"/>
        <v>-0.28029999999999999</v>
      </c>
      <c r="F286">
        <f t="shared" si="17"/>
        <v>-0.17430887859853703</v>
      </c>
      <c r="G286">
        <f t="shared" si="18"/>
        <v>2.643608878598537</v>
      </c>
      <c r="H286">
        <f t="shared" si="19"/>
        <v>20.974399652614114</v>
      </c>
    </row>
    <row r="287" spans="1:8" hidden="1" x14ac:dyDescent="0.25">
      <c r="A287" s="2" t="s">
        <v>10</v>
      </c>
      <c r="B287" s="3">
        <v>42069</v>
      </c>
      <c r="C287" s="4">
        <v>-0.56440000000000001</v>
      </c>
      <c r="D287" s="4">
        <v>0.52680000000000005</v>
      </c>
      <c r="E287" s="22">
        <f t="shared" si="16"/>
        <v>0.52380000000000004</v>
      </c>
      <c r="F287">
        <f t="shared" si="17"/>
        <v>0.3630713013824059</v>
      </c>
      <c r="G287">
        <f t="shared" si="18"/>
        <v>-0.92747130138240585</v>
      </c>
      <c r="H287">
        <f t="shared" si="19"/>
        <v>20.046928351231706</v>
      </c>
    </row>
    <row r="288" spans="1:8" hidden="1" x14ac:dyDescent="0.25">
      <c r="A288" s="2" t="s">
        <v>10</v>
      </c>
      <c r="B288" s="3">
        <v>42072</v>
      </c>
      <c r="C288" s="4">
        <v>2.0541999999999998</v>
      </c>
      <c r="D288" s="4">
        <v>-0.86199999999999999</v>
      </c>
      <c r="E288" s="22">
        <f t="shared" si="16"/>
        <v>-0.86499999999999999</v>
      </c>
      <c r="F288">
        <f t="shared" si="17"/>
        <v>-0.56506399765693438</v>
      </c>
      <c r="G288">
        <f t="shared" si="18"/>
        <v>2.6192639976569341</v>
      </c>
      <c r="H288">
        <f t="shared" si="19"/>
        <v>22.666192348888639</v>
      </c>
    </row>
    <row r="289" spans="1:8" hidden="1" x14ac:dyDescent="0.25">
      <c r="A289" s="2" t="s">
        <v>10</v>
      </c>
      <c r="B289" s="3">
        <v>42073</v>
      </c>
      <c r="C289" s="4">
        <v>-0.55610000000000004</v>
      </c>
      <c r="D289" s="4">
        <v>-0.27700000000000002</v>
      </c>
      <c r="E289" s="22">
        <f t="shared" si="16"/>
        <v>-0.28000000000000003</v>
      </c>
      <c r="F289">
        <f t="shared" si="17"/>
        <v>-0.17410838854258096</v>
      </c>
      <c r="G289">
        <f t="shared" si="18"/>
        <v>-0.38199161145741911</v>
      </c>
      <c r="H289">
        <f t="shared" si="19"/>
        <v>22.28420073743122</v>
      </c>
    </row>
    <row r="290" spans="1:8" hidden="1" x14ac:dyDescent="0.25">
      <c r="A290" s="2" t="s">
        <v>10</v>
      </c>
      <c r="B290" s="3">
        <v>42074</v>
      </c>
      <c r="C290" s="4">
        <v>0.1857</v>
      </c>
      <c r="D290" s="4">
        <v>-0.1401</v>
      </c>
      <c r="E290" s="22">
        <f t="shared" si="16"/>
        <v>-0.1431</v>
      </c>
      <c r="F290">
        <f t="shared" si="17"/>
        <v>-8.2618093007957041E-2</v>
      </c>
      <c r="G290">
        <f t="shared" si="18"/>
        <v>0.26831809300795706</v>
      </c>
      <c r="H290">
        <f t="shared" si="19"/>
        <v>22.552518830439176</v>
      </c>
    </row>
    <row r="291" spans="1:8" hidden="1" x14ac:dyDescent="0.25">
      <c r="A291" s="2" t="s">
        <v>10</v>
      </c>
      <c r="B291" s="3">
        <v>42075</v>
      </c>
      <c r="C291" s="4">
        <v>-0.37169999999999997</v>
      </c>
      <c r="D291" s="4">
        <v>0.76180000000000003</v>
      </c>
      <c r="E291" s="22">
        <f t="shared" si="16"/>
        <v>0.75880000000000003</v>
      </c>
      <c r="F291">
        <f t="shared" si="17"/>
        <v>0.52012184521466753</v>
      </c>
      <c r="G291">
        <f t="shared" si="18"/>
        <v>-0.89182184521466756</v>
      </c>
      <c r="H291">
        <f t="shared" si="19"/>
        <v>21.660696985224508</v>
      </c>
    </row>
    <row r="292" spans="1:8" hidden="1" x14ac:dyDescent="0.25">
      <c r="A292" s="2" t="s">
        <v>10</v>
      </c>
      <c r="B292" s="3">
        <v>42076</v>
      </c>
      <c r="C292" s="4">
        <v>1.6620999999999999</v>
      </c>
      <c r="D292" s="4">
        <v>-0.17369999999999999</v>
      </c>
      <c r="E292" s="22">
        <f t="shared" si="16"/>
        <v>-0.1767</v>
      </c>
      <c r="F292">
        <f t="shared" si="17"/>
        <v>-0.10507297927503785</v>
      </c>
      <c r="G292">
        <f t="shared" si="18"/>
        <v>1.7671729792750377</v>
      </c>
      <c r="H292">
        <f t="shared" si="19"/>
        <v>23.427869964499546</v>
      </c>
    </row>
    <row r="293" spans="1:8" hidden="1" x14ac:dyDescent="0.25">
      <c r="A293" s="2" t="s">
        <v>10</v>
      </c>
      <c r="B293" s="3">
        <v>42079</v>
      </c>
      <c r="C293" s="4">
        <v>0.72989999999999999</v>
      </c>
      <c r="D293" s="4">
        <v>-0.69599999999999995</v>
      </c>
      <c r="E293" s="22">
        <f t="shared" si="16"/>
        <v>-0.69899999999999995</v>
      </c>
      <c r="F293">
        <f t="shared" si="17"/>
        <v>-0.45412616669457079</v>
      </c>
      <c r="G293">
        <f t="shared" si="18"/>
        <v>1.1840261666945708</v>
      </c>
      <c r="H293">
        <f t="shared" si="19"/>
        <v>24.611896131194118</v>
      </c>
    </row>
    <row r="294" spans="1:8" hidden="1" x14ac:dyDescent="0.25">
      <c r="A294" s="2" t="s">
        <v>10</v>
      </c>
      <c r="B294" s="3">
        <v>42080</v>
      </c>
      <c r="C294" s="4">
        <v>-0.36430000000000001</v>
      </c>
      <c r="D294" s="4">
        <v>0.27850000000000003</v>
      </c>
      <c r="E294" s="22">
        <f t="shared" si="16"/>
        <v>0.27550000000000002</v>
      </c>
      <c r="F294">
        <f t="shared" si="17"/>
        <v>0.19713236506942475</v>
      </c>
      <c r="G294">
        <f t="shared" si="18"/>
        <v>-0.56143236506942473</v>
      </c>
      <c r="H294">
        <f t="shared" si="19"/>
        <v>24.050463766124693</v>
      </c>
    </row>
    <row r="295" spans="1:8" hidden="1" x14ac:dyDescent="0.25">
      <c r="A295" s="2" t="s">
        <v>10</v>
      </c>
      <c r="B295" s="3">
        <v>42081</v>
      </c>
      <c r="C295" s="4">
        <v>0</v>
      </c>
      <c r="D295" s="4">
        <v>1.1879</v>
      </c>
      <c r="E295" s="22">
        <f t="shared" si="16"/>
        <v>1.1849000000000001</v>
      </c>
      <c r="F295">
        <f t="shared" si="17"/>
        <v>0.80488455469095121</v>
      </c>
      <c r="G295">
        <f t="shared" si="18"/>
        <v>-0.80488455469095121</v>
      </c>
      <c r="H295">
        <f t="shared" si="19"/>
        <v>23.245579211433743</v>
      </c>
    </row>
    <row r="296" spans="1:8" hidden="1" x14ac:dyDescent="0.25">
      <c r="A296" s="2" t="s">
        <v>10</v>
      </c>
      <c r="B296" s="3">
        <v>42082</v>
      </c>
      <c r="C296" s="4">
        <v>1.2693000000000001</v>
      </c>
      <c r="D296" s="4">
        <v>0.85919999999999996</v>
      </c>
      <c r="E296" s="22">
        <f t="shared" si="16"/>
        <v>0.85619999999999996</v>
      </c>
      <c r="F296">
        <f t="shared" si="17"/>
        <v>0.58521428338174097</v>
      </c>
      <c r="G296">
        <f t="shared" si="18"/>
        <v>0.68408571661825912</v>
      </c>
      <c r="H296">
        <f t="shared" si="19"/>
        <v>23.929664928052002</v>
      </c>
    </row>
    <row r="297" spans="1:8" hidden="1" x14ac:dyDescent="0.25">
      <c r="A297" s="2" t="s">
        <v>10</v>
      </c>
      <c r="B297" s="3">
        <v>42083</v>
      </c>
      <c r="C297" s="4">
        <v>-0.54200000000000004</v>
      </c>
      <c r="D297" s="4">
        <v>0.13300000000000001</v>
      </c>
      <c r="E297" s="22">
        <f t="shared" si="16"/>
        <v>0.13</v>
      </c>
      <c r="F297">
        <f t="shared" si="17"/>
        <v>9.9894687930726575E-2</v>
      </c>
      <c r="G297">
        <f t="shared" si="18"/>
        <v>-0.64189468793072657</v>
      </c>
      <c r="H297">
        <f t="shared" si="19"/>
        <v>23.287770240121276</v>
      </c>
    </row>
    <row r="298" spans="1:8" hidden="1" x14ac:dyDescent="0.25">
      <c r="A298" s="2" t="s">
        <v>10</v>
      </c>
      <c r="B298" s="3">
        <v>42086</v>
      </c>
      <c r="C298" s="4">
        <v>1.0810999999999999</v>
      </c>
      <c r="D298" s="4">
        <v>8.6099999999999996E-2</v>
      </c>
      <c r="E298" s="22">
        <f t="shared" si="16"/>
        <v>8.3099999999999993E-2</v>
      </c>
      <c r="F298">
        <f t="shared" si="17"/>
        <v>6.8551409182926265E-2</v>
      </c>
      <c r="G298">
        <f t="shared" si="18"/>
        <v>1.0125485908170737</v>
      </c>
      <c r="H298">
        <f t="shared" si="19"/>
        <v>24.300318830938348</v>
      </c>
    </row>
    <row r="299" spans="1:8" hidden="1" x14ac:dyDescent="0.25">
      <c r="A299" s="2" t="s">
        <v>10</v>
      </c>
      <c r="B299" s="3">
        <v>42087</v>
      </c>
      <c r="C299" s="4">
        <v>-0.90010000000000001</v>
      </c>
      <c r="D299" s="4">
        <v>-0.2712</v>
      </c>
      <c r="E299" s="22">
        <f t="shared" si="16"/>
        <v>-0.2742</v>
      </c>
      <c r="F299">
        <f t="shared" si="17"/>
        <v>-0.17023224746076343</v>
      </c>
      <c r="G299">
        <f t="shared" si="18"/>
        <v>-0.72986775253923653</v>
      </c>
      <c r="H299">
        <f t="shared" si="19"/>
        <v>23.570451078399113</v>
      </c>
    </row>
    <row r="300" spans="1:8" hidden="1" x14ac:dyDescent="0.25">
      <c r="A300" s="2" t="s">
        <v>10</v>
      </c>
      <c r="B300" s="3">
        <v>42088</v>
      </c>
      <c r="C300" s="4">
        <v>0</v>
      </c>
      <c r="D300" s="4">
        <v>-0.65810000000000002</v>
      </c>
      <c r="E300" s="22">
        <f t="shared" si="16"/>
        <v>-0.66110000000000002</v>
      </c>
      <c r="F300">
        <f t="shared" si="17"/>
        <v>-0.42879758962545289</v>
      </c>
      <c r="G300">
        <f t="shared" si="18"/>
        <v>0.42879758962545289</v>
      </c>
      <c r="H300">
        <f t="shared" si="19"/>
        <v>23.999248668024567</v>
      </c>
    </row>
    <row r="301" spans="1:8" hidden="1" x14ac:dyDescent="0.25">
      <c r="A301" s="2" t="s">
        <v>10</v>
      </c>
      <c r="B301" s="3">
        <v>42089</v>
      </c>
      <c r="C301" s="4">
        <v>0.72070000000000001</v>
      </c>
      <c r="D301" s="4">
        <v>-0.50509999999999999</v>
      </c>
      <c r="E301" s="22">
        <f t="shared" si="16"/>
        <v>-0.5081</v>
      </c>
      <c r="F301">
        <f t="shared" si="17"/>
        <v>-0.32654766108785277</v>
      </c>
      <c r="G301">
        <f t="shared" si="18"/>
        <v>1.0472476610878527</v>
      </c>
      <c r="H301">
        <f t="shared" si="19"/>
        <v>25.046496329112419</v>
      </c>
    </row>
    <row r="302" spans="1:8" hidden="1" x14ac:dyDescent="0.25">
      <c r="A302" s="2" t="s">
        <v>10</v>
      </c>
      <c r="B302" s="3">
        <v>42090</v>
      </c>
      <c r="C302" s="4">
        <v>-0.1797</v>
      </c>
      <c r="D302" s="4">
        <v>-1.2069000000000001</v>
      </c>
      <c r="E302" s="22">
        <f t="shared" si="16"/>
        <v>-1.2099</v>
      </c>
      <c r="F302">
        <f t="shared" si="17"/>
        <v>-0.79556073198777277</v>
      </c>
      <c r="G302">
        <f t="shared" si="18"/>
        <v>0.6158607319877728</v>
      </c>
      <c r="H302">
        <f t="shared" si="19"/>
        <v>25.662357061100192</v>
      </c>
    </row>
    <row r="303" spans="1:8" hidden="1" x14ac:dyDescent="0.25">
      <c r="A303" s="2" t="s">
        <v>10</v>
      </c>
      <c r="B303" s="3">
        <v>42093</v>
      </c>
      <c r="C303" s="4">
        <v>-1.085</v>
      </c>
      <c r="D303" s="4">
        <v>0.1908</v>
      </c>
      <c r="E303" s="22">
        <f t="shared" si="16"/>
        <v>0.18779999999999999</v>
      </c>
      <c r="F303">
        <f t="shared" si="17"/>
        <v>0.13852243871159772</v>
      </c>
      <c r="G303">
        <f t="shared" si="18"/>
        <v>-1.2235224387115977</v>
      </c>
      <c r="H303">
        <f t="shared" si="19"/>
        <v>24.438834622388594</v>
      </c>
    </row>
    <row r="304" spans="1:8" hidden="1" x14ac:dyDescent="0.25">
      <c r="A304" s="2" t="s">
        <v>10</v>
      </c>
      <c r="B304" s="3">
        <v>42094</v>
      </c>
      <c r="C304" s="4">
        <v>0.72460000000000002</v>
      </c>
      <c r="D304" s="4">
        <v>0.67579999999999996</v>
      </c>
      <c r="E304" s="22">
        <f t="shared" si="16"/>
        <v>0.67279999999999995</v>
      </c>
      <c r="F304">
        <f t="shared" si="17"/>
        <v>0.46264802917392489</v>
      </c>
      <c r="G304">
        <f t="shared" si="18"/>
        <v>0.26195197082607513</v>
      </c>
      <c r="H304">
        <f t="shared" si="19"/>
        <v>24.700786593214669</v>
      </c>
    </row>
    <row r="305" spans="1:8" hidden="1" x14ac:dyDescent="0.25">
      <c r="A305" s="2" t="s">
        <v>10</v>
      </c>
      <c r="B305" s="3">
        <v>42095</v>
      </c>
      <c r="C305" s="4">
        <v>-0.36170000000000002</v>
      </c>
      <c r="D305" s="4">
        <v>-0.82520000000000004</v>
      </c>
      <c r="E305" s="22">
        <f t="shared" si="16"/>
        <v>-0.82820000000000005</v>
      </c>
      <c r="F305">
        <f t="shared" si="17"/>
        <v>-0.54047055079298878</v>
      </c>
      <c r="G305">
        <f t="shared" si="18"/>
        <v>0.17877055079298876</v>
      </c>
      <c r="H305">
        <f t="shared" si="19"/>
        <v>24.879557144007659</v>
      </c>
    </row>
    <row r="306" spans="1:8" hidden="1" x14ac:dyDescent="0.25">
      <c r="A306" s="2" t="s">
        <v>10</v>
      </c>
      <c r="B306" s="3">
        <v>42096</v>
      </c>
      <c r="C306" s="4">
        <v>1.0810999999999999</v>
      </c>
      <c r="D306" s="4">
        <v>0.96989999999999998</v>
      </c>
      <c r="E306" s="22">
        <f t="shared" si="16"/>
        <v>0.96689999999999998</v>
      </c>
      <c r="F306">
        <f t="shared" si="17"/>
        <v>0.65919511402953401</v>
      </c>
      <c r="G306">
        <f t="shared" si="18"/>
        <v>0.42190488597046594</v>
      </c>
      <c r="H306">
        <f t="shared" si="19"/>
        <v>25.301462029978126</v>
      </c>
    </row>
    <row r="307" spans="1:8" hidden="1" x14ac:dyDescent="0.25">
      <c r="A307" s="2" t="s">
        <v>10</v>
      </c>
      <c r="B307" s="3">
        <v>42101</v>
      </c>
      <c r="C307" s="4">
        <v>6.7557999999999998</v>
      </c>
      <c r="D307" s="4">
        <v>0.43219999999999997</v>
      </c>
      <c r="E307" s="22">
        <f t="shared" si="16"/>
        <v>0.42919999999999997</v>
      </c>
      <c r="F307">
        <f t="shared" si="17"/>
        <v>0.29985010373758902</v>
      </c>
      <c r="G307">
        <f t="shared" si="18"/>
        <v>6.4559498962624104</v>
      </c>
      <c r="H307">
        <f t="shared" si="19"/>
        <v>31.757411926240536</v>
      </c>
    </row>
    <row r="308" spans="1:8" hidden="1" x14ac:dyDescent="0.25">
      <c r="A308" s="2" t="s">
        <v>10</v>
      </c>
      <c r="B308" s="3">
        <v>42102</v>
      </c>
      <c r="C308" s="4">
        <v>2.1541999999999999</v>
      </c>
      <c r="D308" s="4">
        <v>-0.72789999999999999</v>
      </c>
      <c r="E308" s="22">
        <f t="shared" si="16"/>
        <v>-0.73089999999999999</v>
      </c>
      <c r="F308">
        <f t="shared" si="17"/>
        <v>-0.47544494264456716</v>
      </c>
      <c r="G308">
        <f t="shared" si="18"/>
        <v>2.6296449426445672</v>
      </c>
      <c r="H308">
        <f t="shared" si="19"/>
        <v>34.387056868885104</v>
      </c>
    </row>
    <row r="309" spans="1:8" hidden="1" x14ac:dyDescent="0.25">
      <c r="A309" s="2" t="s">
        <v>10</v>
      </c>
      <c r="B309" s="3">
        <v>42103</v>
      </c>
      <c r="C309" s="4">
        <v>-0.32840000000000003</v>
      </c>
      <c r="D309" s="4">
        <v>-4.1099999999999998E-2</v>
      </c>
      <c r="E309" s="22">
        <f t="shared" si="16"/>
        <v>-4.41E-2</v>
      </c>
      <c r="F309">
        <f t="shared" si="17"/>
        <v>-1.6456374542451083E-2</v>
      </c>
      <c r="G309">
        <f t="shared" si="18"/>
        <v>-0.31194362545754895</v>
      </c>
      <c r="H309">
        <f t="shared" si="19"/>
        <v>34.075113243427552</v>
      </c>
    </row>
    <row r="310" spans="1:8" hidden="1" x14ac:dyDescent="0.25">
      <c r="A310" s="2" t="s">
        <v>10</v>
      </c>
      <c r="B310" s="3">
        <v>42104</v>
      </c>
      <c r="C310" s="4">
        <v>0.81899999999999995</v>
      </c>
      <c r="D310" s="4">
        <v>0.51770000000000005</v>
      </c>
      <c r="E310" s="22">
        <f t="shared" si="16"/>
        <v>0.51470000000000005</v>
      </c>
      <c r="F310">
        <f t="shared" si="17"/>
        <v>0.35698976968507151</v>
      </c>
      <c r="G310">
        <f t="shared" si="18"/>
        <v>0.46201023031492844</v>
      </c>
      <c r="H310">
        <f t="shared" si="19"/>
        <v>34.537123473742483</v>
      </c>
    </row>
    <row r="311" spans="1:8" hidden="1" x14ac:dyDescent="0.25">
      <c r="A311" s="2" t="s">
        <v>10</v>
      </c>
      <c r="B311" s="3">
        <v>42107</v>
      </c>
      <c r="C311" s="4">
        <v>2.2582</v>
      </c>
      <c r="D311" s="4">
        <v>0.50629999999999997</v>
      </c>
      <c r="E311" s="22">
        <f t="shared" si="16"/>
        <v>0.50329999999999997</v>
      </c>
      <c r="F311">
        <f t="shared" si="17"/>
        <v>0.34937114755874044</v>
      </c>
      <c r="G311">
        <f t="shared" si="18"/>
        <v>1.9088288524412595</v>
      </c>
      <c r="H311">
        <f t="shared" si="19"/>
        <v>36.445952326183743</v>
      </c>
    </row>
    <row r="312" spans="1:8" hidden="1" x14ac:dyDescent="0.25">
      <c r="A312" s="2" t="s">
        <v>10</v>
      </c>
      <c r="B312" s="3">
        <v>42108</v>
      </c>
      <c r="C312" s="4">
        <v>-0.80059999999999998</v>
      </c>
      <c r="D312" s="4">
        <v>-0.25169999999999998</v>
      </c>
      <c r="E312" s="22">
        <f t="shared" si="16"/>
        <v>-0.25469999999999998</v>
      </c>
      <c r="F312">
        <f t="shared" si="17"/>
        <v>-0.15720039382361831</v>
      </c>
      <c r="G312">
        <f t="shared" si="18"/>
        <v>-0.6433996061763817</v>
      </c>
      <c r="H312">
        <f t="shared" si="19"/>
        <v>35.802552720007363</v>
      </c>
    </row>
    <row r="313" spans="1:8" hidden="1" x14ac:dyDescent="0.25">
      <c r="A313" s="2" t="s">
        <v>10</v>
      </c>
      <c r="B313" s="3">
        <v>42109</v>
      </c>
      <c r="C313" s="4">
        <v>-0.96930000000000005</v>
      </c>
      <c r="D313" s="4">
        <v>-1.0651999999999999</v>
      </c>
      <c r="E313" s="22">
        <f t="shared" si="16"/>
        <v>-1.0681999999999998</v>
      </c>
      <c r="F313">
        <f t="shared" si="17"/>
        <v>-0.70086259555785158</v>
      </c>
      <c r="G313">
        <f t="shared" si="18"/>
        <v>-0.26843740444214848</v>
      </c>
      <c r="H313">
        <f t="shared" si="19"/>
        <v>35.534115315565217</v>
      </c>
    </row>
    <row r="314" spans="1:8" hidden="1" x14ac:dyDescent="0.25">
      <c r="A314" s="2" t="s">
        <v>10</v>
      </c>
      <c r="B314" s="3">
        <v>42110</v>
      </c>
      <c r="C314" s="4">
        <v>0.80840000000000001</v>
      </c>
      <c r="D314" s="4">
        <v>1.2170000000000001</v>
      </c>
      <c r="E314" s="22">
        <f t="shared" si="16"/>
        <v>1.2140000000000002</v>
      </c>
      <c r="F314">
        <f t="shared" si="17"/>
        <v>0.82433209011869102</v>
      </c>
      <c r="G314">
        <f t="shared" si="18"/>
        <v>-1.5932090118691011E-2</v>
      </c>
      <c r="H314">
        <f t="shared" si="19"/>
        <v>35.518183225446528</v>
      </c>
    </row>
    <row r="315" spans="1:8" hidden="1" x14ac:dyDescent="0.25">
      <c r="A315" s="2" t="s">
        <v>10</v>
      </c>
      <c r="B315" s="3">
        <v>42111</v>
      </c>
      <c r="C315" s="4">
        <v>0.6421</v>
      </c>
      <c r="D315" s="4">
        <v>-0.89390000000000003</v>
      </c>
      <c r="E315" s="22">
        <f t="shared" si="16"/>
        <v>-0.89690000000000003</v>
      </c>
      <c r="F315">
        <f t="shared" si="17"/>
        <v>-0.5863827736069307</v>
      </c>
      <c r="G315">
        <f t="shared" si="18"/>
        <v>1.2284827736069306</v>
      </c>
      <c r="H315">
        <f t="shared" si="19"/>
        <v>36.746665999053455</v>
      </c>
    </row>
    <row r="316" spans="1:8" hidden="1" x14ac:dyDescent="0.25">
      <c r="A316" s="2" t="s">
        <v>10</v>
      </c>
      <c r="B316" s="3">
        <v>42114</v>
      </c>
      <c r="C316" s="4">
        <v>-3.4177</v>
      </c>
      <c r="D316" s="4">
        <v>-0.18909999999999999</v>
      </c>
      <c r="E316" s="22">
        <f t="shared" si="16"/>
        <v>-0.19209999999999999</v>
      </c>
      <c r="F316">
        <f t="shared" si="17"/>
        <v>-0.1153648021474499</v>
      </c>
      <c r="G316">
        <f t="shared" si="18"/>
        <v>-3.3023351978525501</v>
      </c>
      <c r="H316">
        <f t="shared" si="19"/>
        <v>33.444330801200906</v>
      </c>
    </row>
    <row r="317" spans="1:8" hidden="1" x14ac:dyDescent="0.25">
      <c r="A317" s="2" t="s">
        <v>10</v>
      </c>
      <c r="B317" s="3">
        <v>42115</v>
      </c>
      <c r="C317" s="4">
        <v>-2.5148000000000001</v>
      </c>
      <c r="D317" s="4">
        <v>-0.19769999999999999</v>
      </c>
      <c r="E317" s="22">
        <f t="shared" si="16"/>
        <v>-0.20069999999999999</v>
      </c>
      <c r="F317">
        <f t="shared" si="17"/>
        <v>-0.12111218375152413</v>
      </c>
      <c r="G317">
        <f t="shared" si="18"/>
        <v>-2.3936878162484758</v>
      </c>
      <c r="H317">
        <f t="shared" si="19"/>
        <v>31.050642984952429</v>
      </c>
    </row>
    <row r="318" spans="1:8" hidden="1" x14ac:dyDescent="0.25">
      <c r="A318" s="2" t="s">
        <v>10</v>
      </c>
      <c r="B318" s="3">
        <v>42116</v>
      </c>
      <c r="C318" s="4">
        <v>3.0103</v>
      </c>
      <c r="D318" s="4">
        <v>0.82540000000000002</v>
      </c>
      <c r="E318" s="22">
        <f t="shared" si="16"/>
        <v>0.82240000000000002</v>
      </c>
      <c r="F318">
        <f t="shared" si="17"/>
        <v>0.56262573707735619</v>
      </c>
      <c r="G318">
        <f t="shared" si="18"/>
        <v>2.4476742629226438</v>
      </c>
      <c r="H318">
        <f t="shared" si="19"/>
        <v>33.498317247875072</v>
      </c>
    </row>
    <row r="319" spans="1:8" hidden="1" x14ac:dyDescent="0.25">
      <c r="A319" s="2" t="s">
        <v>10</v>
      </c>
      <c r="B319" s="3">
        <v>42117</v>
      </c>
      <c r="C319" s="4">
        <v>-0.33</v>
      </c>
      <c r="D319" s="4">
        <v>1.901</v>
      </c>
      <c r="E319" s="22">
        <f t="shared" si="16"/>
        <v>1.8980000000000001</v>
      </c>
      <c r="F319">
        <f t="shared" si="17"/>
        <v>1.2814494176985503</v>
      </c>
      <c r="G319">
        <f t="shared" si="18"/>
        <v>-1.6114494176985503</v>
      </c>
      <c r="H319">
        <f t="shared" si="19"/>
        <v>31.88686783017652</v>
      </c>
    </row>
    <row r="320" spans="1:8" hidden="1" x14ac:dyDescent="0.25">
      <c r="A320" s="2" t="s">
        <v>10</v>
      </c>
      <c r="B320" s="3">
        <v>42118</v>
      </c>
      <c r="C320" s="4">
        <v>0.33</v>
      </c>
      <c r="D320" s="4">
        <v>1.1749000000000001</v>
      </c>
      <c r="E320" s="22">
        <f t="shared" si="16"/>
        <v>1.1719000000000002</v>
      </c>
      <c r="F320">
        <f t="shared" si="17"/>
        <v>0.79619665226618797</v>
      </c>
      <c r="G320">
        <f t="shared" si="18"/>
        <v>-0.46619665226618795</v>
      </c>
      <c r="H320">
        <f t="shared" si="19"/>
        <v>31.420671177910332</v>
      </c>
    </row>
    <row r="321" spans="1:8" hidden="1" x14ac:dyDescent="0.25">
      <c r="A321" s="2" t="s">
        <v>10</v>
      </c>
      <c r="B321" s="3">
        <v>42121</v>
      </c>
      <c r="C321" s="4">
        <v>0.1646</v>
      </c>
      <c r="D321" s="4">
        <v>0.6018</v>
      </c>
      <c r="E321" s="22">
        <f t="shared" si="16"/>
        <v>0.5988</v>
      </c>
      <c r="F321">
        <f t="shared" si="17"/>
        <v>0.41319381537142552</v>
      </c>
      <c r="G321">
        <f t="shared" si="18"/>
        <v>-0.24859381537142552</v>
      </c>
      <c r="H321">
        <f t="shared" si="19"/>
        <v>31.172077362538907</v>
      </c>
    </row>
    <row r="322" spans="1:8" hidden="1" x14ac:dyDescent="0.25">
      <c r="A322" s="2" t="s">
        <v>10</v>
      </c>
      <c r="B322" s="3">
        <v>42122</v>
      </c>
      <c r="C322" s="4">
        <v>0.1643</v>
      </c>
      <c r="D322" s="4">
        <v>-0.16350000000000001</v>
      </c>
      <c r="E322" s="22">
        <f t="shared" si="16"/>
        <v>-0.16650000000000001</v>
      </c>
      <c r="F322">
        <f t="shared" si="17"/>
        <v>-9.8256317372531182E-2</v>
      </c>
      <c r="G322">
        <f t="shared" si="18"/>
        <v>0.26255631737253116</v>
      </c>
      <c r="H322">
        <f t="shared" si="19"/>
        <v>31.434633679911439</v>
      </c>
    </row>
    <row r="323" spans="1:8" hidden="1" x14ac:dyDescent="0.25">
      <c r="A323" s="2" t="s">
        <v>10</v>
      </c>
      <c r="B323" s="3">
        <v>42123</v>
      </c>
      <c r="C323" s="4">
        <v>-0.32890000000000003</v>
      </c>
      <c r="D323" s="4">
        <v>-1.0399</v>
      </c>
      <c r="E323" s="22">
        <f t="shared" ref="E323:E386" si="20">D323-K$2</f>
        <v>-1.0428999999999999</v>
      </c>
      <c r="F323">
        <f t="shared" ref="F323:F386" si="21">K$3+K$4*E323</f>
        <v>-0.68395460083888893</v>
      </c>
      <c r="G323">
        <f t="shared" ref="G323:G386" si="22">C323-F323</f>
        <v>0.3550546008388889</v>
      </c>
      <c r="H323">
        <f t="shared" si="19"/>
        <v>31.78968828075033</v>
      </c>
    </row>
    <row r="324" spans="1:8" hidden="1" x14ac:dyDescent="0.25">
      <c r="A324" s="2" t="s">
        <v>10</v>
      </c>
      <c r="B324" s="3">
        <v>42124</v>
      </c>
      <c r="C324" s="4">
        <v>2.7622</v>
      </c>
      <c r="D324" s="4">
        <v>-0.34339999999999998</v>
      </c>
      <c r="E324" s="22">
        <f t="shared" si="20"/>
        <v>-0.34639999999999999</v>
      </c>
      <c r="F324">
        <f t="shared" si="21"/>
        <v>-0.21848352092752635</v>
      </c>
      <c r="G324">
        <f t="shared" si="22"/>
        <v>2.9806835209275264</v>
      </c>
      <c r="H324">
        <f t="shared" ref="H324:H387" si="23">H323+G324</f>
        <v>34.770371801677854</v>
      </c>
    </row>
    <row r="325" spans="1:8" hidden="1" x14ac:dyDescent="0.25">
      <c r="A325" s="2" t="s">
        <v>10</v>
      </c>
      <c r="B325" s="3">
        <v>42128</v>
      </c>
      <c r="C325" s="4">
        <v>-0.96619999999999995</v>
      </c>
      <c r="D325" s="4">
        <v>0.25419999999999998</v>
      </c>
      <c r="E325" s="22">
        <f t="shared" si="20"/>
        <v>0.25119999999999998</v>
      </c>
      <c r="F325">
        <f t="shared" si="21"/>
        <v>0.18089267053698235</v>
      </c>
      <c r="G325">
        <f t="shared" si="22"/>
        <v>-1.1470926705369824</v>
      </c>
      <c r="H325">
        <f t="shared" si="23"/>
        <v>33.623279131140869</v>
      </c>
    </row>
    <row r="326" spans="1:8" hidden="1" x14ac:dyDescent="0.25">
      <c r="A326" s="2" t="s">
        <v>10</v>
      </c>
      <c r="B326" s="3">
        <v>42129</v>
      </c>
      <c r="C326" s="4">
        <v>-0.81240000000000001</v>
      </c>
      <c r="D326" s="4">
        <v>-0.25330000000000003</v>
      </c>
      <c r="E326" s="22">
        <f t="shared" si="20"/>
        <v>-0.25630000000000003</v>
      </c>
      <c r="F326">
        <f t="shared" si="21"/>
        <v>-0.15826967412205076</v>
      </c>
      <c r="G326">
        <f t="shared" si="22"/>
        <v>-0.65413032587794928</v>
      </c>
      <c r="H326">
        <f t="shared" si="23"/>
        <v>32.969148805262918</v>
      </c>
    </row>
    <row r="327" spans="1:8" hidden="1" x14ac:dyDescent="0.25">
      <c r="A327" s="2" t="s">
        <v>10</v>
      </c>
      <c r="B327" s="3">
        <v>42130</v>
      </c>
      <c r="C327" s="4">
        <v>0.48820000000000002</v>
      </c>
      <c r="D327" s="4">
        <v>-1.9699999999999999E-2</v>
      </c>
      <c r="E327" s="22">
        <f t="shared" si="20"/>
        <v>-2.2699999999999998E-2</v>
      </c>
      <c r="F327">
        <f t="shared" si="21"/>
        <v>-2.15475055091747E-3</v>
      </c>
      <c r="G327">
        <f t="shared" si="22"/>
        <v>0.49035475055091748</v>
      </c>
      <c r="H327">
        <f t="shared" si="23"/>
        <v>33.459503555813839</v>
      </c>
    </row>
    <row r="328" spans="1:8" hidden="1" x14ac:dyDescent="0.25">
      <c r="A328" s="2" t="s">
        <v>10</v>
      </c>
      <c r="B328" s="3">
        <v>42131</v>
      </c>
      <c r="C328" s="4">
        <v>-1.4718</v>
      </c>
      <c r="D328" s="4">
        <v>-1.1688000000000001</v>
      </c>
      <c r="E328" s="22">
        <f t="shared" si="20"/>
        <v>-1.1718</v>
      </c>
      <c r="F328">
        <f t="shared" si="21"/>
        <v>-0.77009849488135074</v>
      </c>
      <c r="G328">
        <f t="shared" si="22"/>
        <v>-0.70170150511864926</v>
      </c>
      <c r="H328">
        <f t="shared" si="23"/>
        <v>32.75780205069519</v>
      </c>
    </row>
    <row r="329" spans="1:8" hidden="1" x14ac:dyDescent="0.25">
      <c r="A329" s="2" t="s">
        <v>10</v>
      </c>
      <c r="B329" s="3">
        <v>42132</v>
      </c>
      <c r="C329" s="4">
        <v>-1.8288</v>
      </c>
      <c r="D329" s="4">
        <v>-0.1249</v>
      </c>
      <c r="E329" s="22">
        <f t="shared" si="20"/>
        <v>-0.12789999999999999</v>
      </c>
      <c r="F329">
        <f t="shared" si="21"/>
        <v>-7.2459930172849046E-2</v>
      </c>
      <c r="G329">
        <f t="shared" si="22"/>
        <v>-1.756340069827151</v>
      </c>
      <c r="H329">
        <f t="shared" si="23"/>
        <v>31.00146198086804</v>
      </c>
    </row>
    <row r="330" spans="1:8" hidden="1" x14ac:dyDescent="0.25">
      <c r="A330" s="2" t="s">
        <v>10</v>
      </c>
      <c r="B330" s="3">
        <v>42135</v>
      </c>
      <c r="C330" s="4">
        <v>0.33500000000000002</v>
      </c>
      <c r="D330" s="4">
        <v>-0.29220000000000002</v>
      </c>
      <c r="E330" s="22">
        <f t="shared" si="20"/>
        <v>-0.29520000000000002</v>
      </c>
      <c r="F330">
        <f t="shared" si="21"/>
        <v>-0.18426655137768894</v>
      </c>
      <c r="G330">
        <f t="shared" si="22"/>
        <v>0.51926655137768896</v>
      </c>
      <c r="H330">
        <f t="shared" si="23"/>
        <v>31.52072853224573</v>
      </c>
    </row>
    <row r="331" spans="1:8" hidden="1" x14ac:dyDescent="0.25">
      <c r="A331" s="2" t="s">
        <v>10</v>
      </c>
      <c r="B331" s="3">
        <v>42136</v>
      </c>
      <c r="C331" s="4">
        <v>0.99829999999999997</v>
      </c>
      <c r="D331" s="4">
        <v>0.1759</v>
      </c>
      <c r="E331" s="22">
        <f t="shared" si="20"/>
        <v>0.1729</v>
      </c>
      <c r="F331">
        <f t="shared" si="21"/>
        <v>0.12856476593244581</v>
      </c>
      <c r="G331">
        <f t="shared" si="22"/>
        <v>0.86973523406755415</v>
      </c>
      <c r="H331">
        <f t="shared" si="23"/>
        <v>32.390463766313282</v>
      </c>
    </row>
    <row r="332" spans="1:8" hidden="1" x14ac:dyDescent="0.25">
      <c r="A332" s="2" t="s">
        <v>10</v>
      </c>
      <c r="B332" s="3">
        <v>42137</v>
      </c>
      <c r="C332" s="4">
        <v>1.3158000000000001</v>
      </c>
      <c r="D332" s="4">
        <v>0.4471</v>
      </c>
      <c r="E332" s="22">
        <f t="shared" si="20"/>
        <v>0.44409999999999999</v>
      </c>
      <c r="F332">
        <f t="shared" si="21"/>
        <v>0.30980777651674096</v>
      </c>
      <c r="G332">
        <f t="shared" si="22"/>
        <v>1.005992223483259</v>
      </c>
      <c r="H332">
        <f t="shared" si="23"/>
        <v>33.396455989796543</v>
      </c>
    </row>
    <row r="333" spans="1:8" hidden="1" x14ac:dyDescent="0.25">
      <c r="A333" s="2" t="s">
        <v>10</v>
      </c>
      <c r="B333" s="3">
        <v>42138</v>
      </c>
      <c r="C333" s="4">
        <v>0.81369999999999998</v>
      </c>
      <c r="D333" s="4">
        <v>-1.1718</v>
      </c>
      <c r="E333" s="22">
        <f t="shared" si="20"/>
        <v>-1.1747999999999998</v>
      </c>
      <c r="F333">
        <f t="shared" si="21"/>
        <v>-0.77210339544091144</v>
      </c>
      <c r="G333">
        <f t="shared" si="22"/>
        <v>1.5858033954409114</v>
      </c>
      <c r="H333">
        <f t="shared" si="23"/>
        <v>34.982259385237455</v>
      </c>
    </row>
    <row r="334" spans="1:8" hidden="1" x14ac:dyDescent="0.25">
      <c r="A334" s="2" t="s">
        <v>10</v>
      </c>
      <c r="B334" s="3">
        <v>42139</v>
      </c>
      <c r="C334" s="4">
        <v>-0.16220000000000001</v>
      </c>
      <c r="D334" s="4">
        <v>-0.32669999999999999</v>
      </c>
      <c r="E334" s="22">
        <f t="shared" si="20"/>
        <v>-0.32969999999999999</v>
      </c>
      <c r="F334">
        <f t="shared" si="21"/>
        <v>-0.20732290781263799</v>
      </c>
      <c r="G334">
        <f t="shared" si="22"/>
        <v>4.5122907812637975E-2</v>
      </c>
      <c r="H334">
        <f t="shared" si="23"/>
        <v>35.027382293050096</v>
      </c>
    </row>
    <row r="335" spans="1:8" hidden="1" x14ac:dyDescent="0.25">
      <c r="A335" s="2" t="s">
        <v>10</v>
      </c>
      <c r="B335" s="3">
        <v>42142</v>
      </c>
      <c r="C335" s="4">
        <v>0.48580000000000001</v>
      </c>
      <c r="D335" s="4">
        <v>0.27750000000000002</v>
      </c>
      <c r="E335" s="22">
        <f t="shared" si="20"/>
        <v>0.27450000000000002</v>
      </c>
      <c r="F335">
        <f t="shared" si="21"/>
        <v>0.19646406488290449</v>
      </c>
      <c r="G335">
        <f t="shared" si="22"/>
        <v>0.28933593511709554</v>
      </c>
      <c r="H335">
        <f t="shared" si="23"/>
        <v>35.31671822816719</v>
      </c>
    </row>
    <row r="336" spans="1:8" hidden="1" x14ac:dyDescent="0.25">
      <c r="A336" s="2" t="s">
        <v>10</v>
      </c>
      <c r="B336" s="3">
        <v>42143</v>
      </c>
      <c r="C336" s="4">
        <v>5.3472</v>
      </c>
      <c r="D336" s="4">
        <v>1.1455</v>
      </c>
      <c r="E336" s="22">
        <f t="shared" si="20"/>
        <v>1.1425000000000001</v>
      </c>
      <c r="F336">
        <f t="shared" si="21"/>
        <v>0.77654862678249215</v>
      </c>
      <c r="G336">
        <f t="shared" si="22"/>
        <v>4.5706513732175083</v>
      </c>
      <c r="H336">
        <f t="shared" si="23"/>
        <v>39.887369601384698</v>
      </c>
    </row>
    <row r="337" spans="1:8" hidden="1" x14ac:dyDescent="0.25">
      <c r="A337" s="2" t="s">
        <v>10</v>
      </c>
      <c r="B337" s="3">
        <v>42144</v>
      </c>
      <c r="C337" s="4">
        <v>-0.15329999999999999</v>
      </c>
      <c r="D337" s="4">
        <v>-0.32429999999999998</v>
      </c>
      <c r="E337" s="22">
        <f t="shared" si="20"/>
        <v>-0.32729999999999998</v>
      </c>
      <c r="F337">
        <f t="shared" si="21"/>
        <v>-0.20571898736498934</v>
      </c>
      <c r="G337">
        <f t="shared" si="22"/>
        <v>5.2418987364989345E-2</v>
      </c>
      <c r="H337">
        <f t="shared" si="23"/>
        <v>39.939788588749686</v>
      </c>
    </row>
    <row r="338" spans="1:8" hidden="1" x14ac:dyDescent="0.25">
      <c r="A338" s="2" t="s">
        <v>10</v>
      </c>
      <c r="B338" s="3">
        <v>42145</v>
      </c>
      <c r="C338" s="4">
        <v>2.2745000000000002</v>
      </c>
      <c r="D338" s="4">
        <v>-1.1083000000000001</v>
      </c>
      <c r="E338" s="22">
        <f t="shared" si="20"/>
        <v>-1.1113</v>
      </c>
      <c r="F338">
        <f t="shared" si="21"/>
        <v>-0.72966633359687494</v>
      </c>
      <c r="G338">
        <f t="shared" si="22"/>
        <v>3.0041663335968751</v>
      </c>
      <c r="H338">
        <f t="shared" si="23"/>
        <v>42.943954922346563</v>
      </c>
    </row>
    <row r="339" spans="1:8" hidden="1" x14ac:dyDescent="0.25">
      <c r="A339" s="2" t="s">
        <v>10</v>
      </c>
      <c r="B339" s="3">
        <v>42146</v>
      </c>
      <c r="C339" s="4">
        <v>-0.30030000000000001</v>
      </c>
      <c r="D339" s="4">
        <v>0.62690000000000001</v>
      </c>
      <c r="E339" s="22">
        <f t="shared" si="20"/>
        <v>0.62390000000000001</v>
      </c>
      <c r="F339">
        <f t="shared" si="21"/>
        <v>0.42996815005308409</v>
      </c>
      <c r="G339">
        <f t="shared" si="22"/>
        <v>-0.7302681500530841</v>
      </c>
      <c r="H339">
        <f t="shared" si="23"/>
        <v>42.213686772293478</v>
      </c>
    </row>
    <row r="340" spans="1:8" hidden="1" x14ac:dyDescent="0.25">
      <c r="A340" s="2" t="s">
        <v>10</v>
      </c>
      <c r="B340" s="3">
        <v>42149</v>
      </c>
      <c r="C340" s="4">
        <v>-1.6679999999999999</v>
      </c>
      <c r="D340" s="4">
        <v>6.6100000000000006E-2</v>
      </c>
      <c r="E340" s="22">
        <f t="shared" si="20"/>
        <v>6.3100000000000003E-2</v>
      </c>
      <c r="F340">
        <f t="shared" si="21"/>
        <v>5.5185405452521034E-2</v>
      </c>
      <c r="G340">
        <f t="shared" si="22"/>
        <v>-1.7231854054525209</v>
      </c>
      <c r="H340">
        <f t="shared" si="23"/>
        <v>40.490501366840959</v>
      </c>
    </row>
    <row r="341" spans="1:8" hidden="1" x14ac:dyDescent="0.25">
      <c r="A341" s="2" t="s">
        <v>10</v>
      </c>
      <c r="B341" s="3">
        <v>42150</v>
      </c>
      <c r="C341" s="4">
        <v>-1.3856999999999999</v>
      </c>
      <c r="D341" s="4">
        <v>0.251</v>
      </c>
      <c r="E341" s="22">
        <f t="shared" si="20"/>
        <v>0.248</v>
      </c>
      <c r="F341">
        <f t="shared" si="21"/>
        <v>0.17875410994011751</v>
      </c>
      <c r="G341">
        <f t="shared" si="22"/>
        <v>-1.5644541099401175</v>
      </c>
      <c r="H341">
        <f t="shared" si="23"/>
        <v>38.926047256900844</v>
      </c>
    </row>
    <row r="342" spans="1:8" hidden="1" x14ac:dyDescent="0.25">
      <c r="A342" s="2" t="s">
        <v>10</v>
      </c>
      <c r="B342" s="3">
        <v>42151</v>
      </c>
      <c r="C342" s="4">
        <v>3.3540000000000001</v>
      </c>
      <c r="D342" s="4">
        <v>0.2492</v>
      </c>
      <c r="E342" s="22">
        <f t="shared" si="20"/>
        <v>0.2462</v>
      </c>
      <c r="F342">
        <f t="shared" si="21"/>
        <v>0.17755116960438105</v>
      </c>
      <c r="G342">
        <f t="shared" si="22"/>
        <v>3.1764488303956191</v>
      </c>
      <c r="H342">
        <f t="shared" si="23"/>
        <v>42.102496087296466</v>
      </c>
    </row>
    <row r="343" spans="1:8" hidden="1" x14ac:dyDescent="0.25">
      <c r="A343" s="2" t="s">
        <v>10</v>
      </c>
      <c r="B343" s="3">
        <v>42152</v>
      </c>
      <c r="C343" s="4">
        <v>-0.45079999999999998</v>
      </c>
      <c r="D343" s="4">
        <v>0.19889999999999999</v>
      </c>
      <c r="E343" s="22">
        <f t="shared" si="20"/>
        <v>0.19589999999999999</v>
      </c>
      <c r="F343">
        <f t="shared" si="21"/>
        <v>0.14393567022241185</v>
      </c>
      <c r="G343">
        <f t="shared" si="22"/>
        <v>-0.59473567022241181</v>
      </c>
      <c r="H343">
        <f t="shared" si="23"/>
        <v>41.507760417074053</v>
      </c>
    </row>
    <row r="344" spans="1:8" hidden="1" x14ac:dyDescent="0.25">
      <c r="A344" s="2" t="s">
        <v>10</v>
      </c>
      <c r="B344" s="3">
        <v>42153</v>
      </c>
      <c r="C344" s="4">
        <v>1.7910999999999999</v>
      </c>
      <c r="D344" s="4">
        <v>-0.12130000000000001</v>
      </c>
      <c r="E344" s="22">
        <f t="shared" si="20"/>
        <v>-0.12430000000000001</v>
      </c>
      <c r="F344">
        <f t="shared" si="21"/>
        <v>-7.0054049501376114E-2</v>
      </c>
      <c r="G344">
        <f t="shared" si="22"/>
        <v>1.8611540495013761</v>
      </c>
      <c r="H344">
        <f t="shared" si="23"/>
        <v>43.368914466575426</v>
      </c>
    </row>
    <row r="345" spans="1:8" hidden="1" x14ac:dyDescent="0.25">
      <c r="A345" s="2" t="s">
        <v>10</v>
      </c>
      <c r="B345" s="3">
        <v>42156</v>
      </c>
      <c r="C345" s="4">
        <v>6.0275999999999996</v>
      </c>
      <c r="D345" s="4">
        <v>-0.78010000000000002</v>
      </c>
      <c r="E345" s="22">
        <f t="shared" si="20"/>
        <v>-0.78310000000000002</v>
      </c>
      <c r="F345">
        <f t="shared" si="21"/>
        <v>-0.51033021238092491</v>
      </c>
      <c r="G345">
        <f t="shared" si="22"/>
        <v>6.5379302123809246</v>
      </c>
      <c r="H345">
        <f t="shared" si="23"/>
        <v>49.906844678956347</v>
      </c>
    </row>
    <row r="346" spans="1:8" hidden="1" x14ac:dyDescent="0.25">
      <c r="A346" s="2" t="s">
        <v>10</v>
      </c>
      <c r="B346" s="3">
        <v>42157</v>
      </c>
      <c r="C346" s="4">
        <v>-1.8271999999999999</v>
      </c>
      <c r="D346" s="4">
        <v>-0.1188</v>
      </c>
      <c r="E346" s="22">
        <f t="shared" si="20"/>
        <v>-0.12180000000000001</v>
      </c>
      <c r="F346">
        <f t="shared" si="21"/>
        <v>-6.8383299035075465E-2</v>
      </c>
      <c r="G346">
        <f t="shared" si="22"/>
        <v>-1.7588167009649245</v>
      </c>
      <c r="H346">
        <f t="shared" si="23"/>
        <v>48.148027977991426</v>
      </c>
    </row>
    <row r="347" spans="1:8" hidden="1" x14ac:dyDescent="0.25">
      <c r="A347" s="2" t="s">
        <v>10</v>
      </c>
      <c r="B347" s="3">
        <v>42158</v>
      </c>
      <c r="C347" s="4">
        <v>-3.4634999999999998</v>
      </c>
      <c r="D347" s="4">
        <v>-0.60240000000000005</v>
      </c>
      <c r="E347" s="22">
        <f t="shared" si="20"/>
        <v>-0.60540000000000005</v>
      </c>
      <c r="F347">
        <f t="shared" si="21"/>
        <v>-0.39157326923627434</v>
      </c>
      <c r="G347">
        <f t="shared" si="22"/>
        <v>-3.0719267307637255</v>
      </c>
      <c r="H347">
        <f t="shared" si="23"/>
        <v>45.076101247227697</v>
      </c>
    </row>
    <row r="348" spans="1:8" hidden="1" x14ac:dyDescent="0.25">
      <c r="A348" s="2" t="s">
        <v>10</v>
      </c>
      <c r="B348" s="3">
        <v>42159</v>
      </c>
      <c r="C348" s="4">
        <v>0.29330000000000001</v>
      </c>
      <c r="D348" s="4">
        <v>-2.1993999999999998</v>
      </c>
      <c r="E348" s="22">
        <f t="shared" si="20"/>
        <v>-2.2023999999999999</v>
      </c>
      <c r="F348">
        <f t="shared" si="21"/>
        <v>-1.458848667109133</v>
      </c>
      <c r="G348">
        <f t="shared" si="22"/>
        <v>1.7521486671091329</v>
      </c>
      <c r="H348">
        <f t="shared" si="23"/>
        <v>46.82824991433683</v>
      </c>
    </row>
    <row r="349" spans="1:8" hidden="1" x14ac:dyDescent="0.25">
      <c r="A349" s="2" t="s">
        <v>10</v>
      </c>
      <c r="B349" s="3">
        <v>42160</v>
      </c>
      <c r="C349" s="4">
        <v>1.4535</v>
      </c>
      <c r="D349" s="4">
        <v>-9.0999999999999998E-2</v>
      </c>
      <c r="E349" s="22">
        <f t="shared" si="20"/>
        <v>-9.4E-2</v>
      </c>
      <c r="F349">
        <f t="shared" si="21"/>
        <v>-4.9804553849812166E-2</v>
      </c>
      <c r="G349">
        <f t="shared" si="22"/>
        <v>1.5033045538498122</v>
      </c>
      <c r="H349">
        <f t="shared" si="23"/>
        <v>48.331554468186638</v>
      </c>
    </row>
    <row r="350" spans="1:8" hidden="1" x14ac:dyDescent="0.25">
      <c r="A350" s="2" t="s">
        <v>10</v>
      </c>
      <c r="B350" s="3">
        <v>42163</v>
      </c>
      <c r="C350" s="4">
        <v>0.28820000000000001</v>
      </c>
      <c r="D350" s="4">
        <v>0.30249999999999999</v>
      </c>
      <c r="E350" s="22">
        <f t="shared" si="20"/>
        <v>0.29949999999999999</v>
      </c>
      <c r="F350">
        <f t="shared" si="21"/>
        <v>0.21317156954591102</v>
      </c>
      <c r="G350">
        <f t="shared" si="22"/>
        <v>7.5028430454088996E-2</v>
      </c>
      <c r="H350">
        <f t="shared" si="23"/>
        <v>48.406582898640728</v>
      </c>
    </row>
    <row r="351" spans="1:8" hidden="1" x14ac:dyDescent="0.25">
      <c r="A351" s="2" t="s">
        <v>10</v>
      </c>
      <c r="B351" s="3">
        <v>42164</v>
      </c>
      <c r="C351" s="4">
        <v>-3.2166999999999999</v>
      </c>
      <c r="D351" s="4">
        <v>-1.9026000000000001</v>
      </c>
      <c r="E351" s="22">
        <f t="shared" si="20"/>
        <v>-1.9056</v>
      </c>
      <c r="F351">
        <f t="shared" si="21"/>
        <v>-1.2604971717499192</v>
      </c>
      <c r="G351">
        <f t="shared" si="22"/>
        <v>-1.9562028282500807</v>
      </c>
      <c r="H351">
        <f t="shared" si="23"/>
        <v>46.450380070390651</v>
      </c>
    </row>
    <row r="352" spans="1:8" hidden="1" x14ac:dyDescent="0.25">
      <c r="A352" s="2" t="s">
        <v>10</v>
      </c>
      <c r="B352" s="3">
        <v>42165</v>
      </c>
      <c r="C352" s="4">
        <v>2.9285000000000001</v>
      </c>
      <c r="D352" s="4">
        <v>1.1534</v>
      </c>
      <c r="E352" s="22">
        <f t="shared" si="20"/>
        <v>1.1504000000000001</v>
      </c>
      <c r="F352">
        <f t="shared" si="21"/>
        <v>0.78182819825600225</v>
      </c>
      <c r="G352">
        <f t="shared" si="22"/>
        <v>2.1466718017439979</v>
      </c>
      <c r="H352">
        <f t="shared" si="23"/>
        <v>48.597051872134649</v>
      </c>
    </row>
    <row r="353" spans="1:8" hidden="1" x14ac:dyDescent="0.25">
      <c r="A353" s="2" t="s">
        <v>10</v>
      </c>
      <c r="B353" s="3">
        <v>42166</v>
      </c>
      <c r="C353" s="4">
        <v>0</v>
      </c>
      <c r="D353" s="4">
        <v>4.2900000000000001E-2</v>
      </c>
      <c r="E353" s="22">
        <f t="shared" si="20"/>
        <v>3.9899999999999998E-2</v>
      </c>
      <c r="F353">
        <f t="shared" si="21"/>
        <v>3.9680841125250943E-2</v>
      </c>
      <c r="G353">
        <f t="shared" si="22"/>
        <v>-3.9680841125250943E-2</v>
      </c>
      <c r="H353">
        <f t="shared" si="23"/>
        <v>48.557371031009396</v>
      </c>
    </row>
    <row r="354" spans="1:8" hidden="1" x14ac:dyDescent="0.25">
      <c r="A354" s="2" t="s">
        <v>10</v>
      </c>
      <c r="B354" s="3">
        <v>42167</v>
      </c>
      <c r="C354" s="4">
        <v>-0.72409999999999997</v>
      </c>
      <c r="D354" s="4">
        <v>-6.0000000000000001E-3</v>
      </c>
      <c r="E354" s="22">
        <f t="shared" si="20"/>
        <v>-9.0000000000000011E-3</v>
      </c>
      <c r="F354">
        <f t="shared" si="21"/>
        <v>7.000962004410121E-3</v>
      </c>
      <c r="G354">
        <f t="shared" si="22"/>
        <v>-0.7311009620044101</v>
      </c>
      <c r="H354">
        <f t="shared" si="23"/>
        <v>47.826270069004984</v>
      </c>
    </row>
    <row r="355" spans="1:8" hidden="1" x14ac:dyDescent="0.25">
      <c r="A355" s="2" t="s">
        <v>10</v>
      </c>
      <c r="B355" s="3">
        <v>42170</v>
      </c>
      <c r="C355" s="4">
        <v>3.9891000000000001</v>
      </c>
      <c r="D355" s="4">
        <v>-0.45739999999999997</v>
      </c>
      <c r="E355" s="22">
        <f t="shared" si="20"/>
        <v>-0.46039999999999998</v>
      </c>
      <c r="F355">
        <f t="shared" si="21"/>
        <v>-0.29466974219083625</v>
      </c>
      <c r="G355">
        <f t="shared" si="22"/>
        <v>4.2837697421908363</v>
      </c>
      <c r="H355">
        <f t="shared" si="23"/>
        <v>52.110039811195819</v>
      </c>
    </row>
    <row r="356" spans="1:8" hidden="1" x14ac:dyDescent="0.25">
      <c r="A356" s="2" t="s">
        <v>10</v>
      </c>
      <c r="B356" s="3">
        <v>42171</v>
      </c>
      <c r="C356" s="4">
        <v>0</v>
      </c>
      <c r="D356" s="4">
        <v>-0.50560000000000005</v>
      </c>
      <c r="E356" s="22">
        <f t="shared" si="20"/>
        <v>-0.50860000000000005</v>
      </c>
      <c r="F356">
        <f t="shared" si="21"/>
        <v>-0.32688181118111292</v>
      </c>
      <c r="G356">
        <f t="shared" si="22"/>
        <v>0.32688181118111292</v>
      </c>
      <c r="H356">
        <f t="shared" si="23"/>
        <v>52.436921622376929</v>
      </c>
    </row>
    <row r="357" spans="1:8" hidden="1" x14ac:dyDescent="0.25">
      <c r="A357" s="2" t="s">
        <v>10</v>
      </c>
      <c r="B357" s="3">
        <v>42172</v>
      </c>
      <c r="C357" s="4">
        <v>0.69589999999999996</v>
      </c>
      <c r="D357" s="4">
        <v>-0.24940000000000001</v>
      </c>
      <c r="E357" s="22">
        <f t="shared" si="20"/>
        <v>-0.25240000000000001</v>
      </c>
      <c r="F357">
        <f t="shared" si="21"/>
        <v>-0.15566330339462173</v>
      </c>
      <c r="G357">
        <f t="shared" si="22"/>
        <v>0.85156330339462172</v>
      </c>
      <c r="H357">
        <f t="shared" si="23"/>
        <v>53.288484925771549</v>
      </c>
    </row>
    <row r="358" spans="1:8" hidden="1" x14ac:dyDescent="0.25">
      <c r="A358" s="2" t="s">
        <v>10</v>
      </c>
      <c r="B358" s="3">
        <v>42173</v>
      </c>
      <c r="C358" s="4">
        <v>-0.5917</v>
      </c>
      <c r="D358" s="4">
        <v>0.31009999999999999</v>
      </c>
      <c r="E358" s="22">
        <f t="shared" si="20"/>
        <v>0.30709999999999998</v>
      </c>
      <c r="F358">
        <f t="shared" si="21"/>
        <v>0.21825065096346499</v>
      </c>
      <c r="G358">
        <f t="shared" si="22"/>
        <v>-0.80995065096346497</v>
      </c>
      <c r="H358">
        <f t="shared" si="23"/>
        <v>52.478534274808084</v>
      </c>
    </row>
    <row r="359" spans="1:8" hidden="1" x14ac:dyDescent="0.25">
      <c r="A359" s="2" t="s">
        <v>10</v>
      </c>
      <c r="B359" s="3">
        <v>42177</v>
      </c>
      <c r="C359" s="4">
        <v>0.29630000000000001</v>
      </c>
      <c r="D359" s="4">
        <v>1.3298000000000001</v>
      </c>
      <c r="E359" s="22">
        <f t="shared" si="20"/>
        <v>1.3268000000000002</v>
      </c>
      <c r="F359">
        <f t="shared" si="21"/>
        <v>0.89971635115817661</v>
      </c>
      <c r="G359">
        <f t="shared" si="22"/>
        <v>-0.6034163511581766</v>
      </c>
      <c r="H359">
        <f t="shared" si="23"/>
        <v>51.87511792364991</v>
      </c>
    </row>
    <row r="360" spans="1:8" hidden="1" x14ac:dyDescent="0.25">
      <c r="A360" s="2" t="s">
        <v>10</v>
      </c>
      <c r="B360" s="3">
        <v>42178</v>
      </c>
      <c r="C360" s="4">
        <v>0.14779999999999999</v>
      </c>
      <c r="D360" s="4">
        <v>0.52710000000000001</v>
      </c>
      <c r="E360" s="22">
        <f t="shared" si="20"/>
        <v>0.52410000000000001</v>
      </c>
      <c r="F360">
        <f t="shared" si="21"/>
        <v>0.36327179143836191</v>
      </c>
      <c r="G360">
        <f t="shared" si="22"/>
        <v>-0.21547179143836193</v>
      </c>
      <c r="H360">
        <f t="shared" si="23"/>
        <v>51.659646132211549</v>
      </c>
    </row>
    <row r="361" spans="1:8" hidden="1" x14ac:dyDescent="0.25">
      <c r="A361" s="2" t="s">
        <v>10</v>
      </c>
      <c r="B361" s="3">
        <v>42179</v>
      </c>
      <c r="C361" s="4">
        <v>3.6261999999999999</v>
      </c>
      <c r="D361" s="4">
        <v>6.5699999999999995E-2</v>
      </c>
      <c r="E361" s="22">
        <f t="shared" si="20"/>
        <v>6.2699999999999992E-2</v>
      </c>
      <c r="F361">
        <f t="shared" si="21"/>
        <v>5.4918085377912922E-2</v>
      </c>
      <c r="G361">
        <f t="shared" si="22"/>
        <v>3.5712819146220869</v>
      </c>
      <c r="H361">
        <f t="shared" si="23"/>
        <v>55.230928046833633</v>
      </c>
    </row>
    <row r="362" spans="1:8" hidden="1" x14ac:dyDescent="0.25">
      <c r="A362" s="2" t="s">
        <v>10</v>
      </c>
      <c r="B362" s="3">
        <v>42180</v>
      </c>
      <c r="C362" s="4">
        <v>-0.57140000000000002</v>
      </c>
      <c r="D362" s="4">
        <v>0.83750000000000002</v>
      </c>
      <c r="E362" s="22">
        <f t="shared" si="20"/>
        <v>0.83450000000000002</v>
      </c>
      <c r="F362">
        <f t="shared" si="21"/>
        <v>0.57071216933425128</v>
      </c>
      <c r="G362">
        <f t="shared" si="22"/>
        <v>-1.1421121693342513</v>
      </c>
      <c r="H362">
        <f t="shared" si="23"/>
        <v>54.088815877499378</v>
      </c>
    </row>
    <row r="363" spans="1:8" hidden="1" x14ac:dyDescent="0.25">
      <c r="A363" s="2" t="s">
        <v>10</v>
      </c>
      <c r="B363" s="3">
        <v>42181</v>
      </c>
      <c r="C363" s="4">
        <v>0.4289</v>
      </c>
      <c r="D363" s="4">
        <v>-0.1454</v>
      </c>
      <c r="E363" s="22">
        <f t="shared" si="20"/>
        <v>-0.1484</v>
      </c>
      <c r="F363">
        <f t="shared" si="21"/>
        <v>-8.6160083996514439E-2</v>
      </c>
      <c r="G363">
        <f t="shared" si="22"/>
        <v>0.51506008399651448</v>
      </c>
      <c r="H363">
        <f t="shared" si="23"/>
        <v>54.603875961495895</v>
      </c>
    </row>
    <row r="364" spans="1:8" hidden="1" x14ac:dyDescent="0.25">
      <c r="A364" s="2" t="s">
        <v>10</v>
      </c>
      <c r="B364" s="3">
        <v>42184</v>
      </c>
      <c r="C364" s="4">
        <v>-2.3089</v>
      </c>
      <c r="D364" s="4">
        <v>-2.4224000000000001</v>
      </c>
      <c r="E364" s="22">
        <f t="shared" si="20"/>
        <v>-2.4254000000000002</v>
      </c>
      <c r="F364">
        <f t="shared" si="21"/>
        <v>-1.6078796087031517</v>
      </c>
      <c r="G364">
        <f t="shared" si="22"/>
        <v>-0.70102039129684823</v>
      </c>
      <c r="H364">
        <f t="shared" si="23"/>
        <v>53.902855570199044</v>
      </c>
    </row>
    <row r="365" spans="1:8" hidden="1" x14ac:dyDescent="0.25">
      <c r="A365" s="2" t="s">
        <v>10</v>
      </c>
      <c r="B365" s="3">
        <v>42185</v>
      </c>
      <c r="C365" s="4">
        <v>-1.0271999999999999</v>
      </c>
      <c r="D365" s="4">
        <v>0.93669999999999998</v>
      </c>
      <c r="E365" s="22">
        <f t="shared" si="20"/>
        <v>0.93369999999999997</v>
      </c>
      <c r="F365">
        <f t="shared" si="21"/>
        <v>0.63700754783706137</v>
      </c>
      <c r="G365">
        <f t="shared" si="22"/>
        <v>-1.6642075478370613</v>
      </c>
      <c r="H365">
        <f t="shared" si="23"/>
        <v>52.238648022361986</v>
      </c>
    </row>
    <row r="366" spans="1:8" hidden="1" x14ac:dyDescent="0.25">
      <c r="A366" s="2" t="s">
        <v>10</v>
      </c>
      <c r="B366" s="3">
        <v>42186</v>
      </c>
      <c r="C366" s="4">
        <v>4.8930999999999996</v>
      </c>
      <c r="D366" s="4">
        <v>0.55840000000000001</v>
      </c>
      <c r="E366" s="22">
        <f t="shared" si="20"/>
        <v>0.5554</v>
      </c>
      <c r="F366">
        <f t="shared" si="21"/>
        <v>0.38418958727644614</v>
      </c>
      <c r="G366">
        <f t="shared" si="22"/>
        <v>4.5089104127235533</v>
      </c>
      <c r="H366">
        <f t="shared" si="23"/>
        <v>56.747558435085537</v>
      </c>
    </row>
    <row r="367" spans="1:8" hidden="1" x14ac:dyDescent="0.25">
      <c r="A367" s="2" t="s">
        <v>10</v>
      </c>
      <c r="B367" s="3">
        <v>42187</v>
      </c>
      <c r="C367" s="4">
        <v>-0.98799999999999999</v>
      </c>
      <c r="D367" s="4">
        <v>4.2799999999999998E-2</v>
      </c>
      <c r="E367" s="22">
        <f t="shared" si="20"/>
        <v>3.9799999999999995E-2</v>
      </c>
      <c r="F367">
        <f t="shared" si="21"/>
        <v>3.9614011106598915E-2</v>
      </c>
      <c r="G367">
        <f t="shared" si="22"/>
        <v>-1.027614011106599</v>
      </c>
      <c r="H367">
        <f t="shared" si="23"/>
        <v>55.719944423978937</v>
      </c>
    </row>
    <row r="368" spans="1:8" hidden="1" x14ac:dyDescent="0.25">
      <c r="A368" s="2" t="s">
        <v>10</v>
      </c>
      <c r="B368" s="3">
        <v>42188</v>
      </c>
      <c r="C368" s="4">
        <v>-6.5957999999999997</v>
      </c>
      <c r="D368" s="4">
        <v>-0.2243</v>
      </c>
      <c r="E368" s="22">
        <f t="shared" si="20"/>
        <v>-0.2273</v>
      </c>
      <c r="F368">
        <f t="shared" si="21"/>
        <v>-0.13888896871296313</v>
      </c>
      <c r="G368">
        <f t="shared" si="22"/>
        <v>-6.4569110312870368</v>
      </c>
      <c r="H368">
        <f t="shared" si="23"/>
        <v>49.263033392691902</v>
      </c>
    </row>
    <row r="369" spans="1:8" hidden="1" x14ac:dyDescent="0.25">
      <c r="A369" s="2" t="s">
        <v>10</v>
      </c>
      <c r="B369" s="3">
        <v>42191</v>
      </c>
      <c r="C369" s="4">
        <v>0.15140000000000001</v>
      </c>
      <c r="D369" s="4">
        <v>-1.0989</v>
      </c>
      <c r="E369" s="22">
        <f t="shared" si="20"/>
        <v>-1.1018999999999999</v>
      </c>
      <c r="F369">
        <f t="shared" si="21"/>
        <v>-0.72338431184358443</v>
      </c>
      <c r="G369">
        <f t="shared" si="22"/>
        <v>0.87478431184358441</v>
      </c>
      <c r="H369">
        <f t="shared" si="23"/>
        <v>50.137817704535486</v>
      </c>
    </row>
    <row r="370" spans="1:8" hidden="1" x14ac:dyDescent="0.25">
      <c r="A370" s="2" t="s">
        <v>10</v>
      </c>
      <c r="B370" s="3">
        <v>42192</v>
      </c>
      <c r="C370" s="4">
        <v>2.8338999999999999</v>
      </c>
      <c r="D370" s="4">
        <v>-6.2700000000000006E-2</v>
      </c>
      <c r="E370" s="22">
        <f t="shared" si="20"/>
        <v>-6.5700000000000008E-2</v>
      </c>
      <c r="F370">
        <f t="shared" si="21"/>
        <v>-3.0891658571288755E-2</v>
      </c>
      <c r="G370">
        <f t="shared" si="22"/>
        <v>2.8647916585712885</v>
      </c>
      <c r="H370">
        <f t="shared" si="23"/>
        <v>53.002609363106771</v>
      </c>
    </row>
    <row r="371" spans="1:8" hidden="1" x14ac:dyDescent="0.25">
      <c r="A371" s="2" t="s">
        <v>10</v>
      </c>
      <c r="B371" s="3">
        <v>42193</v>
      </c>
      <c r="C371" s="4">
        <v>-1.4815</v>
      </c>
      <c r="D371" s="4">
        <v>-3.0074000000000001</v>
      </c>
      <c r="E371" s="22">
        <f t="shared" si="20"/>
        <v>-3.0104000000000002</v>
      </c>
      <c r="F371">
        <f t="shared" si="21"/>
        <v>-1.9988352178175053</v>
      </c>
      <c r="G371">
        <f t="shared" si="22"/>
        <v>0.51733521781750524</v>
      </c>
      <c r="H371">
        <f t="shared" si="23"/>
        <v>53.519944580924275</v>
      </c>
    </row>
    <row r="372" spans="1:8" hidden="1" x14ac:dyDescent="0.25">
      <c r="A372" s="2" t="s">
        <v>10</v>
      </c>
      <c r="B372" s="3">
        <v>42194</v>
      </c>
      <c r="C372" s="4">
        <v>-2.1116999999999999</v>
      </c>
      <c r="D372" s="4">
        <v>-0.69289999999999996</v>
      </c>
      <c r="E372" s="22">
        <f t="shared" si="20"/>
        <v>-0.69589999999999996</v>
      </c>
      <c r="F372">
        <f t="shared" si="21"/>
        <v>-0.45205443611635798</v>
      </c>
      <c r="G372">
        <f t="shared" si="22"/>
        <v>-1.6596455638836418</v>
      </c>
      <c r="H372">
        <f t="shared" si="23"/>
        <v>51.860299017040631</v>
      </c>
    </row>
    <row r="373" spans="1:8" hidden="1" x14ac:dyDescent="0.25">
      <c r="A373" s="2" t="s">
        <v>10</v>
      </c>
      <c r="B373" s="3">
        <v>42198</v>
      </c>
      <c r="C373" s="4">
        <v>0</v>
      </c>
      <c r="D373" s="4">
        <v>1.3349</v>
      </c>
      <c r="E373" s="22">
        <f t="shared" si="20"/>
        <v>1.3319000000000001</v>
      </c>
      <c r="F373">
        <f t="shared" si="21"/>
        <v>0.90312468210942987</v>
      </c>
      <c r="G373">
        <f t="shared" si="22"/>
        <v>-0.90312468210942987</v>
      </c>
      <c r="H373">
        <f t="shared" si="23"/>
        <v>50.957174334931203</v>
      </c>
    </row>
    <row r="374" spans="1:8" hidden="1" x14ac:dyDescent="0.25">
      <c r="A374" s="2" t="s">
        <v>10</v>
      </c>
      <c r="B374" s="3">
        <v>42199</v>
      </c>
      <c r="C374" s="4">
        <v>-4.5213999999999999</v>
      </c>
      <c r="D374" s="4">
        <v>8.6699999999999999E-2</v>
      </c>
      <c r="E374" s="22">
        <f t="shared" si="20"/>
        <v>8.3699999999999997E-2</v>
      </c>
      <c r="F374">
        <f t="shared" si="21"/>
        <v>6.8952389294838434E-2</v>
      </c>
      <c r="G374">
        <f t="shared" si="22"/>
        <v>-4.5903523892948384</v>
      </c>
      <c r="H374">
        <f t="shared" si="23"/>
        <v>46.366821945636367</v>
      </c>
    </row>
    <row r="375" spans="1:8" hidden="1" x14ac:dyDescent="0.25">
      <c r="A375" s="2" t="s">
        <v>10</v>
      </c>
      <c r="B375" s="3">
        <v>42200</v>
      </c>
      <c r="C375" s="4">
        <v>1.4252</v>
      </c>
      <c r="D375" s="4">
        <v>0.13750000000000001</v>
      </c>
      <c r="E375" s="22">
        <f t="shared" si="20"/>
        <v>0.13450000000000001</v>
      </c>
      <c r="F375">
        <f t="shared" si="21"/>
        <v>0.10290203877006776</v>
      </c>
      <c r="G375">
        <f t="shared" si="22"/>
        <v>1.3222979612299324</v>
      </c>
      <c r="H375">
        <f t="shared" si="23"/>
        <v>47.689119906866303</v>
      </c>
    </row>
    <row r="376" spans="1:8" hidden="1" x14ac:dyDescent="0.25">
      <c r="A376" s="2" t="s">
        <v>10</v>
      </c>
      <c r="B376" s="3">
        <v>42201</v>
      </c>
      <c r="C376" s="4">
        <v>-1.5848</v>
      </c>
      <c r="D376" s="4">
        <v>-0.13250000000000001</v>
      </c>
      <c r="E376" s="22">
        <f t="shared" si="20"/>
        <v>-0.13550000000000001</v>
      </c>
      <c r="F376">
        <f t="shared" si="21"/>
        <v>-7.7539011590403051E-2</v>
      </c>
      <c r="G376">
        <f t="shared" si="22"/>
        <v>-1.5072609884095969</v>
      </c>
      <c r="H376">
        <f t="shared" si="23"/>
        <v>46.181858918456705</v>
      </c>
    </row>
    <row r="377" spans="1:8" hidden="1" x14ac:dyDescent="0.25">
      <c r="A377" s="2" t="s">
        <v>10</v>
      </c>
      <c r="B377" s="3">
        <v>42202</v>
      </c>
      <c r="C377" s="4">
        <v>-8.8465000000000007</v>
      </c>
      <c r="D377" s="4">
        <v>4.1700000000000001E-2</v>
      </c>
      <c r="E377" s="22">
        <f t="shared" si="20"/>
        <v>3.8699999999999998E-2</v>
      </c>
      <c r="F377">
        <f t="shared" si="21"/>
        <v>3.8878880901426632E-2</v>
      </c>
      <c r="G377">
        <f t="shared" si="22"/>
        <v>-8.8853788809014276</v>
      </c>
      <c r="H377">
        <f t="shared" si="23"/>
        <v>37.296480037555277</v>
      </c>
    </row>
    <row r="378" spans="1:8" hidden="1" x14ac:dyDescent="0.25">
      <c r="A378" s="2" t="s">
        <v>10</v>
      </c>
      <c r="B378" s="3">
        <v>42205</v>
      </c>
      <c r="C378" s="4">
        <v>-0.52490000000000003</v>
      </c>
      <c r="D378" s="4">
        <v>-0.78779999999999994</v>
      </c>
      <c r="E378" s="22">
        <f t="shared" si="20"/>
        <v>-0.79079999999999995</v>
      </c>
      <c r="F378">
        <f t="shared" si="21"/>
        <v>-0.51547612381713082</v>
      </c>
      <c r="G378">
        <f t="shared" si="22"/>
        <v>-9.4238761828692175E-3</v>
      </c>
      <c r="H378">
        <f t="shared" si="23"/>
        <v>37.287056161372405</v>
      </c>
    </row>
    <row r="379" spans="1:8" hidden="1" x14ac:dyDescent="0.25">
      <c r="A379" s="2" t="s">
        <v>10</v>
      </c>
      <c r="B379" s="3">
        <v>42206</v>
      </c>
      <c r="C379" s="4">
        <v>-1.4135</v>
      </c>
      <c r="D379" s="4">
        <v>0.34439999999999998</v>
      </c>
      <c r="E379" s="22">
        <f t="shared" si="20"/>
        <v>0.34139999999999998</v>
      </c>
      <c r="F379">
        <f t="shared" si="21"/>
        <v>0.24117334736110999</v>
      </c>
      <c r="G379">
        <f t="shared" si="22"/>
        <v>-1.6546733473611099</v>
      </c>
      <c r="H379">
        <f t="shared" si="23"/>
        <v>35.632382814011294</v>
      </c>
    </row>
    <row r="380" spans="1:8" hidden="1" x14ac:dyDescent="0.25">
      <c r="A380" s="2" t="s">
        <v>10</v>
      </c>
      <c r="B380" s="3">
        <v>42207</v>
      </c>
      <c r="C380" s="4">
        <v>-2.3403</v>
      </c>
      <c r="D380" s="4">
        <v>-0.97360000000000002</v>
      </c>
      <c r="E380" s="22">
        <f t="shared" si="20"/>
        <v>-0.97660000000000002</v>
      </c>
      <c r="F380">
        <f t="shared" si="21"/>
        <v>-0.63964629847259569</v>
      </c>
      <c r="G380">
        <f t="shared" si="22"/>
        <v>-1.7006537015274044</v>
      </c>
      <c r="H380">
        <f t="shared" si="23"/>
        <v>33.931729112483886</v>
      </c>
    </row>
    <row r="381" spans="1:8" hidden="1" x14ac:dyDescent="0.25">
      <c r="A381" s="2" t="s">
        <v>10</v>
      </c>
      <c r="B381" s="3">
        <v>42208</v>
      </c>
      <c r="C381" s="4">
        <v>-2.024</v>
      </c>
      <c r="D381" s="4">
        <v>-1.4408000000000001</v>
      </c>
      <c r="E381" s="22">
        <f t="shared" si="20"/>
        <v>-1.4438</v>
      </c>
      <c r="F381">
        <f t="shared" si="21"/>
        <v>-0.95187614561486211</v>
      </c>
      <c r="G381">
        <f t="shared" si="22"/>
        <v>-1.0721238543851379</v>
      </c>
      <c r="H381">
        <f t="shared" si="23"/>
        <v>32.859605258098746</v>
      </c>
    </row>
    <row r="382" spans="1:8" hidden="1" x14ac:dyDescent="0.25">
      <c r="A382" s="2" t="s">
        <v>10</v>
      </c>
      <c r="B382" s="3">
        <v>42209</v>
      </c>
      <c r="C382" s="4">
        <v>-1.8762000000000001</v>
      </c>
      <c r="D382" s="4">
        <v>-0.26490000000000002</v>
      </c>
      <c r="E382" s="22">
        <f t="shared" si="20"/>
        <v>-0.26790000000000003</v>
      </c>
      <c r="F382">
        <f t="shared" si="21"/>
        <v>-0.16602195628568578</v>
      </c>
      <c r="G382">
        <f t="shared" si="22"/>
        <v>-1.7101780437143144</v>
      </c>
      <c r="H382">
        <f t="shared" si="23"/>
        <v>31.149427214384431</v>
      </c>
    </row>
    <row r="383" spans="1:8" hidden="1" x14ac:dyDescent="0.25">
      <c r="A383" s="2" t="s">
        <v>10</v>
      </c>
      <c r="B383" s="3">
        <v>42212</v>
      </c>
      <c r="C383" s="4">
        <v>0.37809999999999999</v>
      </c>
      <c r="D383" s="4">
        <v>-2.4380000000000002</v>
      </c>
      <c r="E383" s="22">
        <f t="shared" si="20"/>
        <v>-2.4410000000000003</v>
      </c>
      <c r="F383">
        <f t="shared" si="21"/>
        <v>-1.6183050916128678</v>
      </c>
      <c r="G383">
        <f t="shared" si="22"/>
        <v>1.9964050916128677</v>
      </c>
      <c r="H383">
        <f t="shared" si="23"/>
        <v>33.145832305997303</v>
      </c>
    </row>
    <row r="384" spans="1:8" hidden="1" x14ac:dyDescent="0.25">
      <c r="A384" s="2" t="s">
        <v>10</v>
      </c>
      <c r="B384" s="3">
        <v>42213</v>
      </c>
      <c r="C384" s="4">
        <v>5.1482000000000001</v>
      </c>
      <c r="D384" s="4">
        <v>0.30120000000000002</v>
      </c>
      <c r="E384" s="22">
        <f t="shared" si="20"/>
        <v>0.29820000000000002</v>
      </c>
      <c r="F384">
        <f t="shared" si="21"/>
        <v>0.21230277930343469</v>
      </c>
      <c r="G384">
        <f t="shared" si="22"/>
        <v>4.9358972206965657</v>
      </c>
      <c r="H384">
        <f t="shared" si="23"/>
        <v>38.08172952669387</v>
      </c>
    </row>
    <row r="385" spans="1:8" hidden="1" x14ac:dyDescent="0.25">
      <c r="A385" s="2" t="s">
        <v>10</v>
      </c>
      <c r="B385" s="3">
        <v>42214</v>
      </c>
      <c r="C385" s="4">
        <v>-2.3573</v>
      </c>
      <c r="D385" s="4">
        <v>-0.22170000000000001</v>
      </c>
      <c r="E385" s="22">
        <f t="shared" si="20"/>
        <v>-0.22470000000000001</v>
      </c>
      <c r="F385">
        <f t="shared" si="21"/>
        <v>-0.13715138822801046</v>
      </c>
      <c r="G385">
        <f t="shared" si="22"/>
        <v>-2.2201486117719895</v>
      </c>
      <c r="H385">
        <f t="shared" si="23"/>
        <v>35.86158091492188</v>
      </c>
    </row>
    <row r="386" spans="1:8" hidden="1" x14ac:dyDescent="0.25">
      <c r="A386" s="2" t="s">
        <v>10</v>
      </c>
      <c r="B386" s="3">
        <v>42215</v>
      </c>
      <c r="C386" s="4">
        <v>0</v>
      </c>
      <c r="D386" s="4">
        <v>1.0225</v>
      </c>
      <c r="E386" s="22">
        <f t="shared" si="20"/>
        <v>1.0195000000000001</v>
      </c>
      <c r="F386">
        <f t="shared" si="21"/>
        <v>0.69434770384049993</v>
      </c>
      <c r="G386">
        <f t="shared" si="22"/>
        <v>-0.69434770384049993</v>
      </c>
      <c r="H386">
        <f t="shared" si="23"/>
        <v>35.167233211081381</v>
      </c>
    </row>
    <row r="387" spans="1:8" hidden="1" x14ac:dyDescent="0.25">
      <c r="A387" s="2" t="s">
        <v>10</v>
      </c>
      <c r="B387" s="3">
        <v>42216</v>
      </c>
      <c r="C387" s="4">
        <v>2.1779000000000002</v>
      </c>
      <c r="D387" s="4">
        <v>0.16</v>
      </c>
      <c r="E387" s="22">
        <f t="shared" ref="E387:E450" si="24">D387-K$2</f>
        <v>0.157</v>
      </c>
      <c r="F387">
        <f t="shared" ref="F387:F450" si="25">K$3+K$4*E387</f>
        <v>0.11793879296677365</v>
      </c>
      <c r="G387">
        <f t="shared" ref="G387:G450" si="26">C387-F387</f>
        <v>2.0599612070332265</v>
      </c>
      <c r="H387">
        <f t="shared" si="23"/>
        <v>37.227194418114607</v>
      </c>
    </row>
    <row r="388" spans="1:8" hidden="1" x14ac:dyDescent="0.25">
      <c r="A388" s="2" t="s">
        <v>10</v>
      </c>
      <c r="B388" s="3">
        <v>42219</v>
      </c>
      <c r="C388" s="4">
        <v>-6.2984</v>
      </c>
      <c r="D388" s="4">
        <v>-1.6396999999999999</v>
      </c>
      <c r="E388" s="22">
        <f t="shared" si="24"/>
        <v>-1.6426999999999998</v>
      </c>
      <c r="F388">
        <f t="shared" si="25"/>
        <v>-1.0848010527137422</v>
      </c>
      <c r="G388">
        <f t="shared" si="26"/>
        <v>-5.2135989472862576</v>
      </c>
      <c r="H388">
        <f t="shared" ref="H388:H451" si="27">H387+G388</f>
        <v>32.013595470828349</v>
      </c>
    </row>
    <row r="389" spans="1:8" hidden="1" x14ac:dyDescent="0.25">
      <c r="A389" s="2" t="s">
        <v>10</v>
      </c>
      <c r="B389" s="3">
        <v>42220</v>
      </c>
      <c r="C389" s="4">
        <v>-2.7132999999999998</v>
      </c>
      <c r="D389" s="4">
        <v>-0.15909999999999999</v>
      </c>
      <c r="E389" s="22">
        <f t="shared" si="24"/>
        <v>-0.16209999999999999</v>
      </c>
      <c r="F389">
        <f t="shared" si="25"/>
        <v>-9.5315796551842025E-2</v>
      </c>
      <c r="G389">
        <f t="shared" si="26"/>
        <v>-2.6179842034481577</v>
      </c>
      <c r="H389">
        <f t="shared" si="27"/>
        <v>29.39561126738019</v>
      </c>
    </row>
    <row r="390" spans="1:8" hidden="1" x14ac:dyDescent="0.25">
      <c r="A390" s="2" t="s">
        <v>10</v>
      </c>
      <c r="B390" s="3">
        <v>42221</v>
      </c>
      <c r="C390" s="4">
        <v>0.1963</v>
      </c>
      <c r="D390" s="4">
        <v>0.36840000000000001</v>
      </c>
      <c r="E390" s="22">
        <f t="shared" si="24"/>
        <v>0.3654</v>
      </c>
      <c r="F390">
        <f t="shared" si="25"/>
        <v>0.25721255183759628</v>
      </c>
      <c r="G390">
        <f t="shared" si="26"/>
        <v>-6.0912551837596279E-2</v>
      </c>
      <c r="H390">
        <f t="shared" si="27"/>
        <v>29.334698715542594</v>
      </c>
    </row>
    <row r="391" spans="1:8" hidden="1" x14ac:dyDescent="0.25">
      <c r="A391" s="2" t="s">
        <v>10</v>
      </c>
      <c r="B391" s="3">
        <v>42222</v>
      </c>
      <c r="C391" s="4">
        <v>0</v>
      </c>
      <c r="D391" s="4">
        <v>-1.0911999999999999</v>
      </c>
      <c r="E391" s="22">
        <f t="shared" si="24"/>
        <v>-1.0941999999999998</v>
      </c>
      <c r="F391">
        <f t="shared" si="25"/>
        <v>-0.71823840040737841</v>
      </c>
      <c r="G391">
        <f t="shared" si="26"/>
        <v>0.71823840040737841</v>
      </c>
      <c r="H391">
        <f t="shared" si="27"/>
        <v>30.052937115949973</v>
      </c>
    </row>
    <row r="392" spans="1:8" hidden="1" x14ac:dyDescent="0.25">
      <c r="A392" s="2" t="s">
        <v>10</v>
      </c>
      <c r="B392" s="3">
        <v>42223</v>
      </c>
      <c r="C392" s="4">
        <v>0.19589999999999999</v>
      </c>
      <c r="D392" s="4">
        <v>-8.6099999999999996E-2</v>
      </c>
      <c r="E392" s="22">
        <f t="shared" si="24"/>
        <v>-8.9099999999999999E-2</v>
      </c>
      <c r="F392">
        <f t="shared" si="25"/>
        <v>-4.6529882935862882E-2</v>
      </c>
      <c r="G392">
        <f t="shared" si="26"/>
        <v>0.24242988293586287</v>
      </c>
      <c r="H392">
        <f t="shared" si="27"/>
        <v>30.295366998885836</v>
      </c>
    </row>
    <row r="393" spans="1:8" hidden="1" x14ac:dyDescent="0.25">
      <c r="A393" s="2" t="s">
        <v>10</v>
      </c>
      <c r="B393" s="3">
        <v>42226</v>
      </c>
      <c r="C393" s="4">
        <v>1.7459</v>
      </c>
      <c r="D393" s="4">
        <v>0.29039999999999999</v>
      </c>
      <c r="E393" s="22">
        <f t="shared" si="24"/>
        <v>0.28739999999999999</v>
      </c>
      <c r="F393">
        <f t="shared" si="25"/>
        <v>0.20508513728901584</v>
      </c>
      <c r="G393">
        <f t="shared" si="26"/>
        <v>1.5408148627109841</v>
      </c>
      <c r="H393">
        <f t="shared" si="27"/>
        <v>31.83618186159682</v>
      </c>
    </row>
    <row r="394" spans="1:8" hidden="1" x14ac:dyDescent="0.25">
      <c r="A394" s="2" t="s">
        <v>10</v>
      </c>
      <c r="B394" s="3">
        <v>42227</v>
      </c>
      <c r="C394" s="4">
        <v>0</v>
      </c>
      <c r="D394" s="4">
        <v>-0.86240000000000006</v>
      </c>
      <c r="E394" s="22">
        <f t="shared" si="24"/>
        <v>-0.86540000000000006</v>
      </c>
      <c r="F394">
        <f t="shared" si="25"/>
        <v>-0.56533131773154255</v>
      </c>
      <c r="G394">
        <f t="shared" si="26"/>
        <v>0.56533131773154255</v>
      </c>
      <c r="H394">
        <f t="shared" si="27"/>
        <v>32.401513179328362</v>
      </c>
    </row>
    <row r="395" spans="1:8" hidden="1" x14ac:dyDescent="0.25">
      <c r="A395" s="2" t="s">
        <v>10</v>
      </c>
      <c r="B395" s="3">
        <v>42228</v>
      </c>
      <c r="C395" s="4">
        <v>0.95689999999999997</v>
      </c>
      <c r="D395" s="4">
        <v>-1.3283</v>
      </c>
      <c r="E395" s="22">
        <f t="shared" si="24"/>
        <v>-1.3312999999999999</v>
      </c>
      <c r="F395">
        <f t="shared" si="25"/>
        <v>-0.87669237463133254</v>
      </c>
      <c r="G395">
        <f t="shared" si="26"/>
        <v>1.8335923746313325</v>
      </c>
      <c r="H395">
        <f t="shared" si="27"/>
        <v>34.235105553959691</v>
      </c>
    </row>
    <row r="396" spans="1:8" hidden="1" x14ac:dyDescent="0.25">
      <c r="A396" s="2" t="s">
        <v>10</v>
      </c>
      <c r="B396" s="3">
        <v>42229</v>
      </c>
      <c r="C396" s="4">
        <v>-0.38169999999999998</v>
      </c>
      <c r="D396" s="4">
        <v>0.34179999999999999</v>
      </c>
      <c r="E396" s="22">
        <f t="shared" si="24"/>
        <v>0.33879999999999999</v>
      </c>
      <c r="F396">
        <f t="shared" si="25"/>
        <v>0.23943576687615734</v>
      </c>
      <c r="G396">
        <f t="shared" si="26"/>
        <v>-0.62113576687615735</v>
      </c>
      <c r="H396">
        <f t="shared" si="27"/>
        <v>33.613969787083533</v>
      </c>
    </row>
    <row r="397" spans="1:8" hidden="1" x14ac:dyDescent="0.25">
      <c r="A397" s="2" t="s">
        <v>10</v>
      </c>
      <c r="B397" s="3">
        <v>42230</v>
      </c>
      <c r="C397" s="4">
        <v>0.38169999999999998</v>
      </c>
      <c r="D397" s="4">
        <v>-7.3400000000000007E-2</v>
      </c>
      <c r="E397" s="22">
        <f t="shared" si="24"/>
        <v>-7.640000000000001E-2</v>
      </c>
      <c r="F397">
        <f t="shared" si="25"/>
        <v>-3.8042470567055557E-2</v>
      </c>
      <c r="G397">
        <f t="shared" si="26"/>
        <v>0.41974247056705555</v>
      </c>
      <c r="H397">
        <f t="shared" si="27"/>
        <v>34.033712257650592</v>
      </c>
    </row>
    <row r="398" spans="1:8" hidden="1" x14ac:dyDescent="0.25">
      <c r="A398" s="2" t="s">
        <v>10</v>
      </c>
      <c r="B398" s="3">
        <v>42233</v>
      </c>
      <c r="C398" s="4">
        <v>-3.0950000000000002</v>
      </c>
      <c r="D398" s="4">
        <v>-1.1165</v>
      </c>
      <c r="E398" s="22">
        <f t="shared" si="24"/>
        <v>-1.1194999999999999</v>
      </c>
      <c r="F398">
        <f t="shared" si="25"/>
        <v>-0.73514639512634106</v>
      </c>
      <c r="G398">
        <f t="shared" si="26"/>
        <v>-2.3598536048736589</v>
      </c>
      <c r="H398">
        <f t="shared" si="27"/>
        <v>31.673858652776932</v>
      </c>
    </row>
    <row r="399" spans="1:8" hidden="1" x14ac:dyDescent="0.25">
      <c r="A399" s="2" t="s">
        <v>10</v>
      </c>
      <c r="B399" s="3">
        <v>42234</v>
      </c>
      <c r="C399" s="4">
        <v>-2.2852000000000001</v>
      </c>
      <c r="D399" s="4">
        <v>-0.44169999999999998</v>
      </c>
      <c r="E399" s="22">
        <f t="shared" si="24"/>
        <v>-0.44469999999999998</v>
      </c>
      <c r="F399">
        <f t="shared" si="25"/>
        <v>-0.28417742926246814</v>
      </c>
      <c r="G399">
        <f t="shared" si="26"/>
        <v>-2.0010225707375318</v>
      </c>
      <c r="H399">
        <f t="shared" si="27"/>
        <v>29.672836082039399</v>
      </c>
    </row>
    <row r="400" spans="1:8" hidden="1" x14ac:dyDescent="0.25">
      <c r="A400" s="2" t="s">
        <v>10</v>
      </c>
      <c r="B400" s="3">
        <v>42235</v>
      </c>
      <c r="C400" s="4">
        <v>-5.05</v>
      </c>
      <c r="D400" s="4">
        <v>-1.9184000000000001</v>
      </c>
      <c r="E400" s="22">
        <f t="shared" si="24"/>
        <v>-1.9214</v>
      </c>
      <c r="F400">
        <f t="shared" si="25"/>
        <v>-1.2710563146969394</v>
      </c>
      <c r="G400">
        <f t="shared" si="26"/>
        <v>-3.7789436853030605</v>
      </c>
      <c r="H400">
        <f t="shared" si="27"/>
        <v>25.893892396736341</v>
      </c>
    </row>
    <row r="401" spans="1:8" hidden="1" x14ac:dyDescent="0.25">
      <c r="A401" s="2" t="s">
        <v>10</v>
      </c>
      <c r="B401" s="3">
        <v>42236</v>
      </c>
      <c r="C401" s="4">
        <v>6.5462999999999996</v>
      </c>
      <c r="D401" s="4">
        <v>9.9299999999999999E-2</v>
      </c>
      <c r="E401" s="22">
        <f t="shared" si="24"/>
        <v>9.6299999999999997E-2</v>
      </c>
      <c r="F401">
        <f t="shared" si="25"/>
        <v>7.7372971644993738E-2</v>
      </c>
      <c r="G401">
        <f t="shared" si="26"/>
        <v>6.4689270283550062</v>
      </c>
      <c r="H401">
        <f t="shared" si="27"/>
        <v>32.362819425091345</v>
      </c>
    </row>
    <row r="402" spans="1:8" hidden="1" x14ac:dyDescent="0.25">
      <c r="A402" s="2" t="s">
        <v>10</v>
      </c>
      <c r="B402" s="3">
        <v>42237</v>
      </c>
      <c r="C402" s="4">
        <v>-2.4049</v>
      </c>
      <c r="D402" s="4">
        <v>-3.0714999999999999</v>
      </c>
      <c r="E402" s="22">
        <f t="shared" si="24"/>
        <v>-3.0745</v>
      </c>
      <c r="F402">
        <f t="shared" si="25"/>
        <v>-2.0416732597734537</v>
      </c>
      <c r="G402">
        <f t="shared" si="26"/>
        <v>-0.36322674022654633</v>
      </c>
      <c r="H402">
        <f t="shared" si="27"/>
        <v>31.999592684864798</v>
      </c>
    </row>
    <row r="403" spans="1:8" hidden="1" x14ac:dyDescent="0.25">
      <c r="A403" s="2" t="s">
        <v>10</v>
      </c>
      <c r="B403" s="3">
        <v>42240</v>
      </c>
      <c r="C403" s="4">
        <v>-2.0493000000000001</v>
      </c>
      <c r="D403" s="4">
        <v>-4.9569000000000001</v>
      </c>
      <c r="E403" s="22">
        <f t="shared" si="24"/>
        <v>-4.9599000000000002</v>
      </c>
      <c r="F403">
        <f t="shared" si="25"/>
        <v>-3.301686431438756</v>
      </c>
      <c r="G403">
        <f t="shared" si="26"/>
        <v>1.2523864314387558</v>
      </c>
      <c r="H403">
        <f t="shared" si="27"/>
        <v>33.251979116303552</v>
      </c>
    </row>
    <row r="404" spans="1:8" hidden="1" x14ac:dyDescent="0.25">
      <c r="A404" s="2" t="s">
        <v>10</v>
      </c>
      <c r="B404" s="3">
        <v>42241</v>
      </c>
      <c r="C404" s="4">
        <v>4.0574000000000003</v>
      </c>
      <c r="D404" s="4">
        <v>3.5175000000000001</v>
      </c>
      <c r="E404" s="22">
        <f t="shared" si="24"/>
        <v>3.5145</v>
      </c>
      <c r="F404">
        <f t="shared" si="25"/>
        <v>2.3617566692085541</v>
      </c>
      <c r="G404">
        <f t="shared" si="26"/>
        <v>1.6956433307914462</v>
      </c>
      <c r="H404">
        <f t="shared" si="27"/>
        <v>34.947622447095</v>
      </c>
    </row>
    <row r="405" spans="1:8" hidden="1" x14ac:dyDescent="0.25">
      <c r="A405" s="2" t="s">
        <v>10</v>
      </c>
      <c r="B405" s="3">
        <v>42242</v>
      </c>
      <c r="C405" s="4">
        <v>2.1633</v>
      </c>
      <c r="D405" s="4">
        <v>0.51910000000000001</v>
      </c>
      <c r="E405" s="22">
        <f t="shared" si="24"/>
        <v>0.5161</v>
      </c>
      <c r="F405">
        <f t="shared" si="25"/>
        <v>0.35792538994619982</v>
      </c>
      <c r="G405">
        <f t="shared" si="26"/>
        <v>1.8053746100538002</v>
      </c>
      <c r="H405">
        <f t="shared" si="27"/>
        <v>36.752997057148804</v>
      </c>
    </row>
    <row r="406" spans="1:8" hidden="1" x14ac:dyDescent="0.25">
      <c r="A406" s="2" t="s">
        <v>10</v>
      </c>
      <c r="B406" s="3">
        <v>42243</v>
      </c>
      <c r="C406" s="4">
        <v>2.4977</v>
      </c>
      <c r="D406" s="4">
        <v>1.4023000000000001</v>
      </c>
      <c r="E406" s="22">
        <f t="shared" si="24"/>
        <v>1.3993000000000002</v>
      </c>
      <c r="F406">
        <f t="shared" si="25"/>
        <v>0.94816811468089557</v>
      </c>
      <c r="G406">
        <f t="shared" si="26"/>
        <v>1.5495318853191045</v>
      </c>
      <c r="H406">
        <f t="shared" si="27"/>
        <v>38.302528942467909</v>
      </c>
    </row>
    <row r="407" spans="1:8" hidden="1" x14ac:dyDescent="0.25">
      <c r="A407" s="2" t="s">
        <v>10</v>
      </c>
      <c r="B407" s="3">
        <v>42244</v>
      </c>
      <c r="C407" s="4">
        <v>-2.3033999999999999</v>
      </c>
      <c r="D407" s="4">
        <v>2.4569999999999999</v>
      </c>
      <c r="E407" s="22">
        <f t="shared" si="24"/>
        <v>2.4539999999999997</v>
      </c>
      <c r="F407">
        <f t="shared" si="25"/>
        <v>1.6530243214038158</v>
      </c>
      <c r="G407">
        <f t="shared" si="26"/>
        <v>-3.9564243214038157</v>
      </c>
      <c r="H407">
        <f t="shared" si="27"/>
        <v>34.346104621064093</v>
      </c>
    </row>
    <row r="408" spans="1:8" hidden="1" x14ac:dyDescent="0.25">
      <c r="A408" s="2" t="s">
        <v>10</v>
      </c>
      <c r="B408" s="3">
        <v>42247</v>
      </c>
      <c r="C408" s="4">
        <v>0.77370000000000005</v>
      </c>
      <c r="D408" s="4">
        <v>1.9235</v>
      </c>
      <c r="E408" s="22">
        <f t="shared" si="24"/>
        <v>1.9205000000000001</v>
      </c>
      <c r="F408">
        <f t="shared" si="25"/>
        <v>1.2964861718952563</v>
      </c>
      <c r="G408">
        <f t="shared" si="26"/>
        <v>-0.52278617189525622</v>
      </c>
      <c r="H408">
        <f t="shared" si="27"/>
        <v>33.823318449168838</v>
      </c>
    </row>
    <row r="409" spans="1:8" hidden="1" x14ac:dyDescent="0.25">
      <c r="A409" s="2" t="s">
        <v>10</v>
      </c>
      <c r="B409" s="3">
        <v>42248</v>
      </c>
      <c r="C409" s="4">
        <v>-0.77370000000000005</v>
      </c>
      <c r="D409" s="4">
        <v>-1.9437</v>
      </c>
      <c r="E409" s="22">
        <f t="shared" si="24"/>
        <v>-1.9466999999999999</v>
      </c>
      <c r="F409">
        <f t="shared" si="25"/>
        <v>-1.2879643094159019</v>
      </c>
      <c r="G409">
        <f t="shared" si="26"/>
        <v>0.51426430941590184</v>
      </c>
      <c r="H409">
        <f t="shared" si="27"/>
        <v>34.337582758584738</v>
      </c>
    </row>
    <row r="410" spans="1:8" hidden="1" x14ac:dyDescent="0.25">
      <c r="A410" s="2" t="s">
        <v>10</v>
      </c>
      <c r="B410" s="3">
        <v>42249</v>
      </c>
      <c r="C410" s="4">
        <v>0.96619999999999995</v>
      </c>
      <c r="D410" s="4">
        <v>0.22090000000000001</v>
      </c>
      <c r="E410" s="22">
        <f t="shared" si="24"/>
        <v>0.21790000000000001</v>
      </c>
      <c r="F410">
        <f t="shared" si="25"/>
        <v>0.15863827432585764</v>
      </c>
      <c r="G410">
        <f t="shared" si="26"/>
        <v>0.80756172567414231</v>
      </c>
      <c r="H410">
        <f t="shared" si="27"/>
        <v>35.145144484258878</v>
      </c>
    </row>
    <row r="411" spans="1:8" hidden="1" x14ac:dyDescent="0.25">
      <c r="A411" s="2" t="s">
        <v>10</v>
      </c>
      <c r="B411" s="3">
        <v>42250</v>
      </c>
      <c r="C411" s="4">
        <v>-0.38540000000000002</v>
      </c>
      <c r="D411" s="4">
        <v>0.75209999999999999</v>
      </c>
      <c r="E411" s="22">
        <f t="shared" si="24"/>
        <v>0.74909999999999999</v>
      </c>
      <c r="F411">
        <f t="shared" si="25"/>
        <v>0.51363933340542089</v>
      </c>
      <c r="G411">
        <f t="shared" si="26"/>
        <v>-0.89903933340542097</v>
      </c>
      <c r="H411">
        <f t="shared" si="27"/>
        <v>34.24610515085346</v>
      </c>
    </row>
    <row r="412" spans="1:8" hidden="1" x14ac:dyDescent="0.25">
      <c r="A412" s="2" t="s">
        <v>10</v>
      </c>
      <c r="B412" s="3">
        <v>42251</v>
      </c>
      <c r="C412" s="4">
        <v>-3.5367000000000002</v>
      </c>
      <c r="D412" s="4">
        <v>-1.1847000000000001</v>
      </c>
      <c r="E412" s="22">
        <f t="shared" si="24"/>
        <v>-1.1877</v>
      </c>
      <c r="F412">
        <f t="shared" si="25"/>
        <v>-0.78072446784702298</v>
      </c>
      <c r="G412">
        <f t="shared" si="26"/>
        <v>-2.7559755321529771</v>
      </c>
      <c r="H412">
        <f t="shared" si="27"/>
        <v>31.490129618700482</v>
      </c>
    </row>
    <row r="413" spans="1:8" hidden="1" x14ac:dyDescent="0.25">
      <c r="A413" s="2" t="s">
        <v>10</v>
      </c>
      <c r="B413" s="3">
        <v>42254</v>
      </c>
      <c r="C413" s="4">
        <v>0.995</v>
      </c>
      <c r="D413" s="4">
        <v>-0.17560000000000001</v>
      </c>
      <c r="E413" s="22">
        <f t="shared" si="24"/>
        <v>-0.17860000000000001</v>
      </c>
      <c r="F413">
        <f t="shared" si="25"/>
        <v>-0.10634274962942636</v>
      </c>
      <c r="G413">
        <f t="shared" si="26"/>
        <v>1.1013427496294264</v>
      </c>
      <c r="H413">
        <f t="shared" si="27"/>
        <v>32.59147236832991</v>
      </c>
    </row>
    <row r="414" spans="1:8" hidden="1" x14ac:dyDescent="0.25">
      <c r="A414" s="2" t="s">
        <v>10</v>
      </c>
      <c r="B414" s="3">
        <v>42255</v>
      </c>
      <c r="C414" s="4">
        <v>0.78900000000000003</v>
      </c>
      <c r="D414" s="4">
        <v>0.18690000000000001</v>
      </c>
      <c r="E414" s="22">
        <f t="shared" si="24"/>
        <v>0.18390000000000001</v>
      </c>
      <c r="F414">
        <f t="shared" si="25"/>
        <v>0.13591606798416872</v>
      </c>
      <c r="G414">
        <f t="shared" si="26"/>
        <v>0.65308393201583126</v>
      </c>
      <c r="H414">
        <f t="shared" si="27"/>
        <v>33.244556300345742</v>
      </c>
    </row>
    <row r="415" spans="1:8" hidden="1" x14ac:dyDescent="0.25">
      <c r="A415" s="2" t="s">
        <v>10</v>
      </c>
      <c r="B415" s="3">
        <v>42256</v>
      </c>
      <c r="C415" s="4">
        <v>2.7132999999999998</v>
      </c>
      <c r="D415" s="4">
        <v>3.5049000000000001</v>
      </c>
      <c r="E415" s="22">
        <f t="shared" si="24"/>
        <v>3.5019</v>
      </c>
      <c r="F415">
        <f t="shared" si="25"/>
        <v>2.3533360868583992</v>
      </c>
      <c r="G415">
        <f t="shared" si="26"/>
        <v>0.35996391314160059</v>
      </c>
      <c r="H415">
        <f t="shared" si="27"/>
        <v>33.604520213487341</v>
      </c>
    </row>
    <row r="416" spans="1:8" hidden="1" x14ac:dyDescent="0.25">
      <c r="A416" s="2" t="s">
        <v>10</v>
      </c>
      <c r="B416" s="3">
        <v>42257</v>
      </c>
      <c r="C416" s="4">
        <v>1.1407</v>
      </c>
      <c r="D416" s="4">
        <v>-0.2203</v>
      </c>
      <c r="E416" s="22">
        <f t="shared" si="24"/>
        <v>-0.2233</v>
      </c>
      <c r="F416">
        <f t="shared" si="25"/>
        <v>-0.13621576796688206</v>
      </c>
      <c r="G416">
        <f t="shared" si="26"/>
        <v>1.2769157679668821</v>
      </c>
      <c r="H416">
        <f t="shared" si="27"/>
        <v>34.881435981454224</v>
      </c>
    </row>
    <row r="417" spans="1:8" hidden="1" x14ac:dyDescent="0.25">
      <c r="A417" s="2" t="s">
        <v>10</v>
      </c>
      <c r="B417" s="3">
        <v>42258</v>
      </c>
      <c r="C417" s="4">
        <v>-0.56869999999999998</v>
      </c>
      <c r="D417" s="4">
        <v>0.44819999999999999</v>
      </c>
      <c r="E417" s="22">
        <f t="shared" si="24"/>
        <v>0.44519999999999998</v>
      </c>
      <c r="F417">
        <f t="shared" si="25"/>
        <v>0.3105429067219132</v>
      </c>
      <c r="G417">
        <f t="shared" si="26"/>
        <v>-0.87924290672191319</v>
      </c>
      <c r="H417">
        <f t="shared" si="27"/>
        <v>34.002193074732311</v>
      </c>
    </row>
    <row r="418" spans="1:8" hidden="1" x14ac:dyDescent="0.25">
      <c r="A418" s="2" t="s">
        <v>10</v>
      </c>
      <c r="B418" s="3">
        <v>42261</v>
      </c>
      <c r="C418" s="4">
        <v>2.6267999999999998</v>
      </c>
      <c r="D418" s="4">
        <v>1.77E-2</v>
      </c>
      <c r="E418" s="22">
        <f t="shared" si="24"/>
        <v>1.4700000000000001E-2</v>
      </c>
      <c r="F418">
        <f t="shared" si="25"/>
        <v>2.2839676424940336E-2</v>
      </c>
      <c r="G418">
        <f t="shared" si="26"/>
        <v>2.6039603235750595</v>
      </c>
      <c r="H418">
        <f t="shared" si="27"/>
        <v>36.60615339830737</v>
      </c>
    </row>
    <row r="419" spans="1:8" hidden="1" x14ac:dyDescent="0.25">
      <c r="A419" s="2" t="s">
        <v>10</v>
      </c>
      <c r="B419" s="3">
        <v>42262</v>
      </c>
      <c r="C419" s="4">
        <v>-0.74350000000000005</v>
      </c>
      <c r="D419" s="4">
        <v>-0.57099999999999995</v>
      </c>
      <c r="E419" s="22">
        <f t="shared" si="24"/>
        <v>-0.57399999999999995</v>
      </c>
      <c r="F419">
        <f t="shared" si="25"/>
        <v>-0.37058864337953801</v>
      </c>
      <c r="G419">
        <f t="shared" si="26"/>
        <v>-0.37291135662046204</v>
      </c>
      <c r="H419">
        <f t="shared" si="27"/>
        <v>36.233242041686907</v>
      </c>
    </row>
    <row r="420" spans="1:8" hidden="1" x14ac:dyDescent="0.25">
      <c r="A420" s="2" t="s">
        <v>10</v>
      </c>
      <c r="B420" s="3">
        <v>42263</v>
      </c>
      <c r="C420" s="4">
        <v>0.18640000000000001</v>
      </c>
      <c r="D420" s="4">
        <v>0.88349999999999995</v>
      </c>
      <c r="E420" s="22">
        <f t="shared" si="24"/>
        <v>0.88049999999999995</v>
      </c>
      <c r="F420">
        <f t="shared" si="25"/>
        <v>0.60145397791418331</v>
      </c>
      <c r="G420">
        <f t="shared" si="26"/>
        <v>-0.4150539779141833</v>
      </c>
      <c r="H420">
        <f t="shared" si="27"/>
        <v>35.818188063772723</v>
      </c>
    </row>
    <row r="421" spans="1:8" hidden="1" x14ac:dyDescent="0.25">
      <c r="A421" s="2" t="s">
        <v>10</v>
      </c>
      <c r="B421" s="3">
        <v>42264</v>
      </c>
      <c r="C421" s="4">
        <v>1.4787999999999999</v>
      </c>
      <c r="D421" s="4">
        <v>1.3374999999999999</v>
      </c>
      <c r="E421" s="22">
        <f t="shared" si="24"/>
        <v>1.3345</v>
      </c>
      <c r="F421">
        <f t="shared" si="25"/>
        <v>0.9048622625943824</v>
      </c>
      <c r="G421">
        <f t="shared" si="26"/>
        <v>0.57393773740561749</v>
      </c>
      <c r="H421">
        <f t="shared" si="27"/>
        <v>36.392125801178338</v>
      </c>
    </row>
    <row r="422" spans="1:8" hidden="1" x14ac:dyDescent="0.25">
      <c r="A422" s="2" t="s">
        <v>10</v>
      </c>
      <c r="B422" s="3">
        <v>42265</v>
      </c>
      <c r="C422" s="4">
        <v>2.7151000000000001</v>
      </c>
      <c r="D422" s="4">
        <v>0.1968</v>
      </c>
      <c r="E422" s="22">
        <f t="shared" si="24"/>
        <v>0.1938</v>
      </c>
      <c r="F422">
        <f t="shared" si="25"/>
        <v>0.1425322398307193</v>
      </c>
      <c r="G422">
        <f t="shared" si="26"/>
        <v>2.5725677601692807</v>
      </c>
      <c r="H422">
        <f t="shared" si="27"/>
        <v>38.964693561347616</v>
      </c>
    </row>
    <row r="423" spans="1:8" hidden="1" x14ac:dyDescent="0.25">
      <c r="A423" s="2" t="s">
        <v>10</v>
      </c>
      <c r="B423" s="3">
        <v>42268</v>
      </c>
      <c r="C423" s="4">
        <v>-3.6368</v>
      </c>
      <c r="D423" s="4">
        <v>-1.8499000000000001</v>
      </c>
      <c r="E423" s="22">
        <f t="shared" si="24"/>
        <v>-1.8529</v>
      </c>
      <c r="F423">
        <f t="shared" si="25"/>
        <v>-1.2252777519203015</v>
      </c>
      <c r="G423">
        <f t="shared" si="26"/>
        <v>-2.4115222480796987</v>
      </c>
      <c r="H423">
        <f t="shared" si="27"/>
        <v>36.553171313267917</v>
      </c>
    </row>
    <row r="424" spans="1:8" hidden="1" x14ac:dyDescent="0.25">
      <c r="A424" s="2" t="s">
        <v>10</v>
      </c>
      <c r="B424" s="3">
        <v>42269</v>
      </c>
      <c r="C424" s="4">
        <v>0.92169999999999996</v>
      </c>
      <c r="D424" s="4">
        <v>0.70630000000000004</v>
      </c>
      <c r="E424" s="22">
        <f t="shared" si="24"/>
        <v>0.70330000000000004</v>
      </c>
      <c r="F424">
        <f t="shared" si="25"/>
        <v>0.48303118486279295</v>
      </c>
      <c r="G424">
        <f t="shared" si="26"/>
        <v>0.43866881513720701</v>
      </c>
      <c r="H424">
        <f t="shared" si="27"/>
        <v>36.991840128405123</v>
      </c>
    </row>
    <row r="425" spans="1:8" hidden="1" x14ac:dyDescent="0.25">
      <c r="A425" s="2" t="s">
        <v>10</v>
      </c>
      <c r="B425" s="3">
        <v>42270</v>
      </c>
      <c r="C425" s="4">
        <v>-3.3584999999999998</v>
      </c>
      <c r="D425" s="4">
        <v>-2.0834999999999999</v>
      </c>
      <c r="E425" s="22">
        <f t="shared" si="24"/>
        <v>-2.0865</v>
      </c>
      <c r="F425">
        <f t="shared" si="25"/>
        <v>-1.3813926754914347</v>
      </c>
      <c r="G425">
        <f t="shared" si="26"/>
        <v>-1.9771073245085651</v>
      </c>
      <c r="H425">
        <f t="shared" si="27"/>
        <v>35.014732803896557</v>
      </c>
    </row>
    <row r="426" spans="1:8" hidden="1" x14ac:dyDescent="0.25">
      <c r="A426" s="2" t="s">
        <v>10</v>
      </c>
      <c r="B426" s="3">
        <v>42271</v>
      </c>
      <c r="C426" s="4">
        <v>-2.1093999999999999</v>
      </c>
      <c r="D426" s="4">
        <v>-0.86199999999999999</v>
      </c>
      <c r="E426" s="22">
        <f t="shared" si="24"/>
        <v>-0.86499999999999999</v>
      </c>
      <c r="F426">
        <f t="shared" si="25"/>
        <v>-0.56506399765693438</v>
      </c>
      <c r="G426">
        <f t="shared" si="26"/>
        <v>-1.5443360023430657</v>
      </c>
      <c r="H426">
        <f t="shared" si="27"/>
        <v>33.470396801553491</v>
      </c>
    </row>
    <row r="427" spans="1:8" hidden="1" x14ac:dyDescent="0.25">
      <c r="A427" s="2" t="s">
        <v>10</v>
      </c>
      <c r="B427" s="3">
        <v>42272</v>
      </c>
      <c r="C427" s="4">
        <v>3.8027000000000002</v>
      </c>
      <c r="D427" s="4">
        <v>0.1138</v>
      </c>
      <c r="E427" s="22">
        <f t="shared" si="24"/>
        <v>0.1108</v>
      </c>
      <c r="F427">
        <f t="shared" si="25"/>
        <v>8.7063324349537535E-2</v>
      </c>
      <c r="G427">
        <f t="shared" si="26"/>
        <v>3.7156366756504626</v>
      </c>
      <c r="H427">
        <f t="shared" si="27"/>
        <v>37.186033477203956</v>
      </c>
    </row>
    <row r="428" spans="1:8" hidden="1" x14ac:dyDescent="0.25">
      <c r="A428" s="2" t="s">
        <v>10</v>
      </c>
      <c r="B428" s="3">
        <v>42277</v>
      </c>
      <c r="C428" s="4">
        <v>-2.2642000000000002</v>
      </c>
      <c r="D428" s="4">
        <v>0.59940000000000004</v>
      </c>
      <c r="E428" s="22">
        <f t="shared" si="24"/>
        <v>0.59640000000000004</v>
      </c>
      <c r="F428">
        <f t="shared" si="25"/>
        <v>0.4115898949237769</v>
      </c>
      <c r="G428">
        <f t="shared" si="26"/>
        <v>-2.6757898949237773</v>
      </c>
      <c r="H428">
        <f t="shared" si="27"/>
        <v>34.510243582280182</v>
      </c>
    </row>
    <row r="429" spans="1:8" hidden="1" x14ac:dyDescent="0.25">
      <c r="A429" s="2" t="s">
        <v>10</v>
      </c>
      <c r="B429" s="3">
        <v>42278</v>
      </c>
      <c r="C429" s="4">
        <v>1.1385000000000001</v>
      </c>
      <c r="D429" s="4">
        <v>1.3923000000000001</v>
      </c>
      <c r="E429" s="22">
        <f t="shared" si="24"/>
        <v>1.3893000000000002</v>
      </c>
      <c r="F429">
        <f t="shared" si="25"/>
        <v>0.94148511281569291</v>
      </c>
      <c r="G429">
        <f t="shared" si="26"/>
        <v>0.19701488718430715</v>
      </c>
      <c r="H429">
        <f t="shared" si="27"/>
        <v>34.707258469464492</v>
      </c>
    </row>
    <row r="430" spans="1:8" hidden="1" x14ac:dyDescent="0.25">
      <c r="A430" s="2" t="s">
        <v>10</v>
      </c>
      <c r="B430" s="3">
        <v>42279</v>
      </c>
      <c r="C430" s="4">
        <v>1.3121</v>
      </c>
      <c r="D430" s="4">
        <v>0.1095</v>
      </c>
      <c r="E430" s="22">
        <f t="shared" si="24"/>
        <v>0.1065</v>
      </c>
      <c r="F430">
        <f t="shared" si="25"/>
        <v>8.4189633547500406E-2</v>
      </c>
      <c r="G430">
        <f t="shared" si="26"/>
        <v>1.2279103664524997</v>
      </c>
      <c r="H430">
        <f t="shared" si="27"/>
        <v>35.93516883591699</v>
      </c>
    </row>
    <row r="431" spans="1:8" hidden="1" x14ac:dyDescent="0.25">
      <c r="A431" s="2" t="s">
        <v>10</v>
      </c>
      <c r="B431" s="3">
        <v>42282</v>
      </c>
      <c r="C431" s="4">
        <v>0.92679999999999996</v>
      </c>
      <c r="D431" s="4">
        <v>0.56830000000000003</v>
      </c>
      <c r="E431" s="22">
        <f t="shared" si="24"/>
        <v>0.56530000000000002</v>
      </c>
      <c r="F431">
        <f t="shared" si="25"/>
        <v>0.39080575912299675</v>
      </c>
      <c r="G431">
        <f t="shared" si="26"/>
        <v>0.5359942408770032</v>
      </c>
      <c r="H431">
        <f t="shared" si="27"/>
        <v>36.471163076793992</v>
      </c>
    </row>
    <row r="432" spans="1:8" hidden="1" x14ac:dyDescent="0.25">
      <c r="A432" s="2" t="s">
        <v>10</v>
      </c>
      <c r="B432" s="3">
        <v>42283</v>
      </c>
      <c r="C432" s="4">
        <v>7.6345999999999998</v>
      </c>
      <c r="D432" s="4">
        <v>0.4985</v>
      </c>
      <c r="E432" s="22">
        <f t="shared" si="24"/>
        <v>0.4955</v>
      </c>
      <c r="F432">
        <f t="shared" si="25"/>
        <v>0.34415840610388243</v>
      </c>
      <c r="G432">
        <f t="shared" si="26"/>
        <v>7.2904415938961176</v>
      </c>
      <c r="H432">
        <f t="shared" si="27"/>
        <v>43.761604670690112</v>
      </c>
    </row>
    <row r="433" spans="1:8" hidden="1" x14ac:dyDescent="0.25">
      <c r="A433" s="2" t="s">
        <v>10</v>
      </c>
      <c r="B433" s="3">
        <v>42284</v>
      </c>
      <c r="C433" s="4">
        <v>0</v>
      </c>
      <c r="D433" s="4">
        <v>1.1976</v>
      </c>
      <c r="E433" s="22">
        <f t="shared" si="24"/>
        <v>1.1946000000000001</v>
      </c>
      <c r="F433">
        <f t="shared" si="25"/>
        <v>0.81136706650019785</v>
      </c>
      <c r="G433">
        <f t="shared" si="26"/>
        <v>-0.81136706650019785</v>
      </c>
      <c r="H433">
        <f t="shared" si="27"/>
        <v>42.950237604189915</v>
      </c>
    </row>
    <row r="434" spans="1:8" hidden="1" x14ac:dyDescent="0.25">
      <c r="A434" s="2" t="s">
        <v>10</v>
      </c>
      <c r="B434" s="3">
        <v>42285</v>
      </c>
      <c r="C434" s="4">
        <v>-2.4222999999999999</v>
      </c>
      <c r="D434" s="4">
        <v>-0.58169999999999999</v>
      </c>
      <c r="E434" s="22">
        <f t="shared" si="24"/>
        <v>-0.5847</v>
      </c>
      <c r="F434">
        <f t="shared" si="25"/>
        <v>-0.37773945537530484</v>
      </c>
      <c r="G434">
        <f t="shared" si="26"/>
        <v>-2.0445605446246953</v>
      </c>
      <c r="H434">
        <f t="shared" si="27"/>
        <v>40.905677059565221</v>
      </c>
    </row>
    <row r="435" spans="1:8" hidden="1" x14ac:dyDescent="0.25">
      <c r="A435" s="2" t="s">
        <v>10</v>
      </c>
      <c r="B435" s="3">
        <v>42289</v>
      </c>
      <c r="C435" s="4">
        <v>-1.2335</v>
      </c>
      <c r="D435" s="4">
        <v>1.5013000000000001</v>
      </c>
      <c r="E435" s="22">
        <f t="shared" si="24"/>
        <v>1.4983000000000002</v>
      </c>
      <c r="F435">
        <f t="shared" si="25"/>
        <v>1.0143298331464015</v>
      </c>
      <c r="G435">
        <f t="shared" si="26"/>
        <v>-2.2478298331464015</v>
      </c>
      <c r="H435">
        <f t="shared" si="27"/>
        <v>38.657847226418816</v>
      </c>
    </row>
    <row r="436" spans="1:8" hidden="1" x14ac:dyDescent="0.25">
      <c r="A436" s="2" t="s">
        <v>10</v>
      </c>
      <c r="B436" s="3">
        <v>42290</v>
      </c>
      <c r="C436" s="4">
        <v>0.70669999999999999</v>
      </c>
      <c r="D436" s="4">
        <v>-6.7699999999999996E-2</v>
      </c>
      <c r="E436" s="22">
        <f t="shared" si="24"/>
        <v>-7.0699999999999999E-2</v>
      </c>
      <c r="F436">
        <f t="shared" si="25"/>
        <v>-3.4233159503890061E-2</v>
      </c>
      <c r="G436">
        <f t="shared" si="26"/>
        <v>0.74093315950389005</v>
      </c>
      <c r="H436">
        <f t="shared" si="27"/>
        <v>39.398780385922706</v>
      </c>
    </row>
    <row r="437" spans="1:8" hidden="1" x14ac:dyDescent="0.25">
      <c r="A437" s="2" t="s">
        <v>10</v>
      </c>
      <c r="B437" s="3">
        <v>42291</v>
      </c>
      <c r="C437" s="4">
        <v>0.52680000000000005</v>
      </c>
      <c r="D437" s="4">
        <v>-0.53139999999999998</v>
      </c>
      <c r="E437" s="22">
        <f t="shared" si="24"/>
        <v>-0.53439999999999999</v>
      </c>
      <c r="F437">
        <f t="shared" si="25"/>
        <v>-0.34412395599333567</v>
      </c>
      <c r="G437">
        <f t="shared" si="26"/>
        <v>0.87092395599333572</v>
      </c>
      <c r="H437">
        <f t="shared" si="27"/>
        <v>40.269704341916039</v>
      </c>
    </row>
    <row r="438" spans="1:8" hidden="1" x14ac:dyDescent="0.25">
      <c r="A438" s="2" t="s">
        <v>10</v>
      </c>
      <c r="B438" s="3">
        <v>42292</v>
      </c>
      <c r="C438" s="4">
        <v>-1.7667999999999999</v>
      </c>
      <c r="D438" s="4">
        <v>0.92279999999999995</v>
      </c>
      <c r="E438" s="22">
        <f t="shared" si="24"/>
        <v>0.91979999999999995</v>
      </c>
      <c r="F438">
        <f t="shared" si="25"/>
        <v>0.62771817524442963</v>
      </c>
      <c r="G438">
        <f t="shared" si="26"/>
        <v>-2.3945181752444293</v>
      </c>
      <c r="H438">
        <f t="shared" si="27"/>
        <v>37.875186166671611</v>
      </c>
    </row>
    <row r="439" spans="1:8" hidden="1" x14ac:dyDescent="0.25">
      <c r="A439" s="2" t="s">
        <v>10</v>
      </c>
      <c r="B439" s="3">
        <v>42293</v>
      </c>
      <c r="C439" s="4">
        <v>4.7005999999999997</v>
      </c>
      <c r="D439" s="4">
        <v>3.9899999999999998E-2</v>
      </c>
      <c r="E439" s="22">
        <f t="shared" si="24"/>
        <v>3.6899999999999995E-2</v>
      </c>
      <c r="F439">
        <f t="shared" si="25"/>
        <v>3.7675940565690152E-2</v>
      </c>
      <c r="G439">
        <f t="shared" si="26"/>
        <v>4.6629240594343093</v>
      </c>
      <c r="H439">
        <f t="shared" si="27"/>
        <v>42.538110226105921</v>
      </c>
    </row>
    <row r="440" spans="1:8" hidden="1" x14ac:dyDescent="0.25">
      <c r="A440" s="2" t="s">
        <v>10</v>
      </c>
      <c r="B440" s="3">
        <v>42296</v>
      </c>
      <c r="C440" s="4">
        <v>0</v>
      </c>
      <c r="D440" s="4">
        <v>0.30809999999999998</v>
      </c>
      <c r="E440" s="22">
        <f t="shared" si="24"/>
        <v>0.30509999999999998</v>
      </c>
      <c r="F440">
        <f t="shared" si="25"/>
        <v>0.21691405059042448</v>
      </c>
      <c r="G440">
        <f t="shared" si="26"/>
        <v>-0.21691405059042448</v>
      </c>
      <c r="H440">
        <f t="shared" si="27"/>
        <v>42.321196175515496</v>
      </c>
    </row>
    <row r="441" spans="1:8" hidden="1" x14ac:dyDescent="0.25">
      <c r="A441" s="2" t="s">
        <v>10</v>
      </c>
      <c r="B441" s="3">
        <v>42297</v>
      </c>
      <c r="C441" s="4">
        <v>-0.68259999999999998</v>
      </c>
      <c r="D441" s="4">
        <v>0.25569999999999998</v>
      </c>
      <c r="E441" s="22">
        <f t="shared" si="24"/>
        <v>0.25269999999999998</v>
      </c>
      <c r="F441">
        <f t="shared" si="25"/>
        <v>0.18189512081676273</v>
      </c>
      <c r="G441">
        <f t="shared" si="26"/>
        <v>-0.86449512081676272</v>
      </c>
      <c r="H441">
        <f t="shared" si="27"/>
        <v>41.456701054698733</v>
      </c>
    </row>
    <row r="442" spans="1:8" hidden="1" x14ac:dyDescent="0.25">
      <c r="A442" s="2" t="s">
        <v>10</v>
      </c>
      <c r="B442" s="3">
        <v>42298</v>
      </c>
      <c r="C442" s="4">
        <v>-0.34310000000000002</v>
      </c>
      <c r="D442" s="4">
        <v>-0.5141</v>
      </c>
      <c r="E442" s="22">
        <f t="shared" si="24"/>
        <v>-0.5171</v>
      </c>
      <c r="F442">
        <f t="shared" si="25"/>
        <v>-0.33256236276653511</v>
      </c>
      <c r="G442">
        <f t="shared" si="26"/>
        <v>-1.0537637233464903E-2</v>
      </c>
      <c r="H442">
        <f t="shared" si="27"/>
        <v>41.446163417465272</v>
      </c>
    </row>
    <row r="443" spans="1:8" hidden="1" x14ac:dyDescent="0.25">
      <c r="A443" s="2" t="s">
        <v>10</v>
      </c>
      <c r="B443" s="3">
        <v>42299</v>
      </c>
      <c r="C443" s="4">
        <v>3.5447000000000002</v>
      </c>
      <c r="D443" s="4">
        <v>-8.8999999999999999E-3</v>
      </c>
      <c r="E443" s="22">
        <f t="shared" si="24"/>
        <v>-1.1900000000000001E-2</v>
      </c>
      <c r="F443">
        <f t="shared" si="25"/>
        <v>5.0628914635013605E-3</v>
      </c>
      <c r="G443">
        <f t="shared" si="26"/>
        <v>3.5396371085364988</v>
      </c>
      <c r="H443">
        <f t="shared" si="27"/>
        <v>44.985800526001768</v>
      </c>
    </row>
    <row r="444" spans="1:8" hidden="1" x14ac:dyDescent="0.25">
      <c r="A444" s="2" t="s">
        <v>10</v>
      </c>
      <c r="B444" s="3">
        <v>42300</v>
      </c>
      <c r="C444" s="4">
        <v>-1.3355999999999999</v>
      </c>
      <c r="D444" s="4">
        <v>0.75629999999999997</v>
      </c>
      <c r="E444" s="22">
        <f t="shared" si="24"/>
        <v>0.75329999999999997</v>
      </c>
      <c r="F444">
        <f t="shared" si="25"/>
        <v>0.516446194188806</v>
      </c>
      <c r="G444">
        <f t="shared" si="26"/>
        <v>-1.852046194188806</v>
      </c>
      <c r="H444">
        <f t="shared" si="27"/>
        <v>43.133754331812959</v>
      </c>
    </row>
    <row r="445" spans="1:8" hidden="1" x14ac:dyDescent="0.25">
      <c r="A445" s="2" t="s">
        <v>10</v>
      </c>
      <c r="B445" s="3">
        <v>42303</v>
      </c>
      <c r="C445" s="4">
        <v>0</v>
      </c>
      <c r="D445" s="4">
        <v>0.82150000000000001</v>
      </c>
      <c r="E445" s="22">
        <f t="shared" si="24"/>
        <v>0.81850000000000001</v>
      </c>
      <c r="F445">
        <f t="shared" si="25"/>
        <v>0.56001936634992711</v>
      </c>
      <c r="G445">
        <f t="shared" si="26"/>
        <v>-0.56001936634992711</v>
      </c>
      <c r="H445">
        <f t="shared" si="27"/>
        <v>42.573734965463032</v>
      </c>
    </row>
    <row r="446" spans="1:8" hidden="1" x14ac:dyDescent="0.25">
      <c r="A446" s="2" t="s">
        <v>10</v>
      </c>
      <c r="B446" s="3">
        <v>42304</v>
      </c>
      <c r="C446" s="4">
        <v>-0.67449999999999999</v>
      </c>
      <c r="D446" s="4">
        <v>-0.50490000000000002</v>
      </c>
      <c r="E446" s="22">
        <f t="shared" si="24"/>
        <v>-0.50790000000000002</v>
      </c>
      <c r="F446">
        <f t="shared" si="25"/>
        <v>-0.32641400105054874</v>
      </c>
      <c r="G446">
        <f t="shared" si="26"/>
        <v>-0.34808599894945125</v>
      </c>
      <c r="H446">
        <f t="shared" si="27"/>
        <v>42.225648966513582</v>
      </c>
    </row>
    <row r="447" spans="1:8" hidden="1" x14ac:dyDescent="0.25">
      <c r="A447" s="2" t="s">
        <v>10</v>
      </c>
      <c r="B447" s="3">
        <v>42305</v>
      </c>
      <c r="C447" s="4">
        <v>0.1691</v>
      </c>
      <c r="D447" s="4">
        <v>-0.40689999999999998</v>
      </c>
      <c r="E447" s="22">
        <f t="shared" si="24"/>
        <v>-0.40989999999999999</v>
      </c>
      <c r="F447">
        <f t="shared" si="25"/>
        <v>-0.26092058277156299</v>
      </c>
      <c r="G447">
        <f t="shared" si="26"/>
        <v>0.43002058277156296</v>
      </c>
      <c r="H447">
        <f t="shared" si="27"/>
        <v>42.655669549285143</v>
      </c>
    </row>
    <row r="448" spans="1:8" hidden="1" x14ac:dyDescent="0.25">
      <c r="A448" s="2" t="s">
        <v>10</v>
      </c>
      <c r="B448" s="3">
        <v>42306</v>
      </c>
      <c r="C448" s="4">
        <v>-2.0478999999999998</v>
      </c>
      <c r="D448" s="4">
        <v>-1.1012</v>
      </c>
      <c r="E448" s="22">
        <f t="shared" si="24"/>
        <v>-1.1041999999999998</v>
      </c>
      <c r="F448">
        <f t="shared" si="25"/>
        <v>-0.72492140227258095</v>
      </c>
      <c r="G448">
        <f t="shared" si="26"/>
        <v>-1.3229785977274189</v>
      </c>
      <c r="H448">
        <f t="shared" si="27"/>
        <v>41.332690951557723</v>
      </c>
    </row>
    <row r="449" spans="1:8" hidden="1" x14ac:dyDescent="0.25">
      <c r="A449" s="2" t="s">
        <v>10</v>
      </c>
      <c r="B449" s="3">
        <v>42307</v>
      </c>
      <c r="C449" s="4">
        <v>-1.5639000000000001</v>
      </c>
      <c r="D449" s="4">
        <v>-0.1958</v>
      </c>
      <c r="E449" s="22">
        <f t="shared" si="24"/>
        <v>-0.1988</v>
      </c>
      <c r="F449">
        <f t="shared" si="25"/>
        <v>-0.11984241339713567</v>
      </c>
      <c r="G449">
        <f t="shared" si="26"/>
        <v>-1.4440575866028644</v>
      </c>
      <c r="H449">
        <f t="shared" si="27"/>
        <v>39.888633364954856</v>
      </c>
    </row>
    <row r="450" spans="1:8" hidden="1" x14ac:dyDescent="0.25">
      <c r="A450" s="2" t="s">
        <v>10</v>
      </c>
      <c r="B450" s="3">
        <v>42310</v>
      </c>
      <c r="C450" s="4">
        <v>1.9080999999999999</v>
      </c>
      <c r="D450" s="4">
        <v>0.70430000000000004</v>
      </c>
      <c r="E450" s="22">
        <f t="shared" si="24"/>
        <v>0.70130000000000003</v>
      </c>
      <c r="F450">
        <f t="shared" si="25"/>
        <v>0.48169458448975244</v>
      </c>
      <c r="G450">
        <f t="shared" si="26"/>
        <v>1.4264054155102475</v>
      </c>
      <c r="H450">
        <f t="shared" si="27"/>
        <v>41.315038780465102</v>
      </c>
    </row>
    <row r="451" spans="1:8" hidden="1" x14ac:dyDescent="0.25">
      <c r="A451" s="2" t="s">
        <v>10</v>
      </c>
      <c r="B451" s="3">
        <v>42311</v>
      </c>
      <c r="C451" s="4">
        <v>0.85540000000000005</v>
      </c>
      <c r="D451" s="4">
        <v>1.1359999999999999</v>
      </c>
      <c r="E451" s="22">
        <f t="shared" ref="E451:E514" si="28">D451-K$2</f>
        <v>1.133</v>
      </c>
      <c r="F451">
        <f t="shared" ref="F451:F514" si="29">K$3+K$4*E451</f>
        <v>0.77019977501054959</v>
      </c>
      <c r="G451">
        <f t="shared" ref="G451:G514" si="30">C451-F451</f>
        <v>8.5200224989450457E-2</v>
      </c>
      <c r="H451">
        <f t="shared" si="27"/>
        <v>41.400239005454551</v>
      </c>
    </row>
    <row r="452" spans="1:8" hidden="1" x14ac:dyDescent="0.25">
      <c r="A452" s="2" t="s">
        <v>10</v>
      </c>
      <c r="B452" s="3">
        <v>42312</v>
      </c>
      <c r="C452" s="4">
        <v>-3.2902999999999998</v>
      </c>
      <c r="D452" s="4">
        <v>1.6372</v>
      </c>
      <c r="E452" s="22">
        <f t="shared" si="28"/>
        <v>1.6342000000000001</v>
      </c>
      <c r="F452">
        <f t="shared" si="29"/>
        <v>1.105151828494505</v>
      </c>
      <c r="G452">
        <f t="shared" si="30"/>
        <v>-4.3954518284945046</v>
      </c>
      <c r="H452">
        <f t="shared" ref="H452:H515" si="31">H451+G452</f>
        <v>37.00478717696005</v>
      </c>
    </row>
    <row r="453" spans="1:8" hidden="1" x14ac:dyDescent="0.25">
      <c r="A453" s="2" t="s">
        <v>10</v>
      </c>
      <c r="B453" s="3">
        <v>42313</v>
      </c>
      <c r="C453" s="4">
        <v>-0.35270000000000001</v>
      </c>
      <c r="D453" s="4">
        <v>-7.7299999999999994E-2</v>
      </c>
      <c r="E453" s="22">
        <f t="shared" si="28"/>
        <v>-8.0299999999999996E-2</v>
      </c>
      <c r="F453">
        <f t="shared" si="29"/>
        <v>-4.0648841294484574E-2</v>
      </c>
      <c r="G453">
        <f t="shared" si="30"/>
        <v>-0.31205115870551542</v>
      </c>
      <c r="H453">
        <f t="shared" si="31"/>
        <v>36.692736018254536</v>
      </c>
    </row>
    <row r="454" spans="1:8" hidden="1" x14ac:dyDescent="0.25">
      <c r="A454" s="2" t="s">
        <v>10</v>
      </c>
      <c r="B454" s="3">
        <v>42314</v>
      </c>
      <c r="C454" s="4">
        <v>0.35270000000000001</v>
      </c>
      <c r="D454" s="4">
        <v>-1.7854000000000001</v>
      </c>
      <c r="E454" s="22">
        <f t="shared" si="28"/>
        <v>-1.7884</v>
      </c>
      <c r="F454">
        <f t="shared" si="29"/>
        <v>-1.1821723898897445</v>
      </c>
      <c r="G454">
        <f t="shared" si="30"/>
        <v>1.5348723898897445</v>
      </c>
      <c r="H454">
        <f t="shared" si="31"/>
        <v>38.227608408144278</v>
      </c>
    </row>
    <row r="455" spans="1:8" hidden="1" x14ac:dyDescent="0.25">
      <c r="A455" s="2" t="s">
        <v>10</v>
      </c>
      <c r="B455" s="3">
        <v>42317</v>
      </c>
      <c r="C455" s="4">
        <v>-3.2202999999999999</v>
      </c>
      <c r="D455" s="4">
        <v>-0.58940000000000003</v>
      </c>
      <c r="E455" s="22">
        <f t="shared" si="28"/>
        <v>-0.59240000000000004</v>
      </c>
      <c r="F455">
        <f t="shared" si="29"/>
        <v>-0.38288536681151092</v>
      </c>
      <c r="G455">
        <f t="shared" si="30"/>
        <v>-2.8374146331884891</v>
      </c>
      <c r="H455">
        <f t="shared" si="31"/>
        <v>35.39019377495579</v>
      </c>
    </row>
    <row r="456" spans="1:8" hidden="1" x14ac:dyDescent="0.25">
      <c r="A456" s="2" t="s">
        <v>10</v>
      </c>
      <c r="B456" s="3">
        <v>42318</v>
      </c>
      <c r="C456" s="4">
        <v>-0.91320000000000001</v>
      </c>
      <c r="D456" s="4">
        <v>-1.2292000000000001</v>
      </c>
      <c r="E456" s="22">
        <f t="shared" si="28"/>
        <v>-1.2322</v>
      </c>
      <c r="F456">
        <f t="shared" si="29"/>
        <v>-0.8104638261471746</v>
      </c>
      <c r="G456">
        <f t="shared" si="30"/>
        <v>-0.10273617385282541</v>
      </c>
      <c r="H456">
        <f t="shared" si="31"/>
        <v>35.287457601102965</v>
      </c>
    </row>
    <row r="457" spans="1:8" hidden="1" x14ac:dyDescent="0.25">
      <c r="A457" s="2" t="s">
        <v>10</v>
      </c>
      <c r="B457" s="3">
        <v>42319</v>
      </c>
      <c r="C457" s="4">
        <v>-0.92169999999999996</v>
      </c>
      <c r="D457" s="4">
        <v>-1.4380999999999999</v>
      </c>
      <c r="E457" s="22">
        <f t="shared" si="28"/>
        <v>-1.4410999999999998</v>
      </c>
      <c r="F457">
        <f t="shared" si="29"/>
        <v>-0.95007173511125731</v>
      </c>
      <c r="G457">
        <f t="shared" si="30"/>
        <v>2.8371735111257346E-2</v>
      </c>
      <c r="H457">
        <f t="shared" si="31"/>
        <v>35.315829336214222</v>
      </c>
    </row>
    <row r="458" spans="1:8" hidden="1" x14ac:dyDescent="0.25">
      <c r="A458" s="2" t="s">
        <v>10</v>
      </c>
      <c r="B458" s="3">
        <v>42320</v>
      </c>
      <c r="C458" s="4">
        <v>-1.4925999999999999</v>
      </c>
      <c r="D458" s="4">
        <v>0.15529999999999999</v>
      </c>
      <c r="E458" s="22">
        <f t="shared" si="28"/>
        <v>0.15229999999999999</v>
      </c>
      <c r="F458">
        <f t="shared" si="29"/>
        <v>0.11479778209012842</v>
      </c>
      <c r="G458">
        <f t="shared" si="30"/>
        <v>-1.6073977820901284</v>
      </c>
      <c r="H458">
        <f t="shared" si="31"/>
        <v>33.70843155412409</v>
      </c>
    </row>
    <row r="459" spans="1:8" hidden="1" x14ac:dyDescent="0.25">
      <c r="A459" s="2" t="s">
        <v>10</v>
      </c>
      <c r="B459" s="3">
        <v>42321</v>
      </c>
      <c r="C459" s="4">
        <v>0</v>
      </c>
      <c r="D459" s="4">
        <v>-1.1767000000000001</v>
      </c>
      <c r="E459" s="22">
        <f t="shared" si="28"/>
        <v>-1.1797</v>
      </c>
      <c r="F459">
        <f t="shared" si="29"/>
        <v>-0.77537806635486084</v>
      </c>
      <c r="G459">
        <f t="shared" si="30"/>
        <v>0.77537806635486084</v>
      </c>
      <c r="H459">
        <f t="shared" si="31"/>
        <v>34.483809620478951</v>
      </c>
    </row>
    <row r="460" spans="1:8" hidden="1" x14ac:dyDescent="0.25">
      <c r="A460" s="2" t="s">
        <v>10</v>
      </c>
      <c r="B460" s="3">
        <v>42324</v>
      </c>
      <c r="C460" s="4">
        <v>-1.3245</v>
      </c>
      <c r="D460" s="4">
        <v>-0.41020000000000001</v>
      </c>
      <c r="E460" s="22">
        <f t="shared" si="28"/>
        <v>-0.41320000000000001</v>
      </c>
      <c r="F460">
        <f t="shared" si="29"/>
        <v>-0.26312597338707988</v>
      </c>
      <c r="G460">
        <f t="shared" si="30"/>
        <v>-1.0613740266129201</v>
      </c>
      <c r="H460">
        <f t="shared" si="31"/>
        <v>33.422435593866034</v>
      </c>
    </row>
    <row r="461" spans="1:8" hidden="1" x14ac:dyDescent="0.25">
      <c r="A461" s="2" t="s">
        <v>10</v>
      </c>
      <c r="B461" s="3">
        <v>42325</v>
      </c>
      <c r="C461" s="4">
        <v>1.5123</v>
      </c>
      <c r="D461" s="4">
        <v>1.484</v>
      </c>
      <c r="E461" s="22">
        <f t="shared" si="28"/>
        <v>1.4810000000000001</v>
      </c>
      <c r="F461">
        <f t="shared" si="29"/>
        <v>1.002768239919601</v>
      </c>
      <c r="G461">
        <f t="shared" si="30"/>
        <v>0.50953176008039902</v>
      </c>
      <c r="H461">
        <f t="shared" si="31"/>
        <v>33.931967353946433</v>
      </c>
    </row>
    <row r="462" spans="1:8" hidden="1" x14ac:dyDescent="0.25">
      <c r="A462" s="2" t="s">
        <v>10</v>
      </c>
      <c r="B462" s="3">
        <v>42326</v>
      </c>
      <c r="C462" s="4">
        <v>0.18740000000000001</v>
      </c>
      <c r="D462" s="4">
        <v>-0.94210000000000005</v>
      </c>
      <c r="E462" s="22">
        <f t="shared" si="28"/>
        <v>-0.94510000000000005</v>
      </c>
      <c r="F462">
        <f t="shared" si="29"/>
        <v>-0.61859484259720743</v>
      </c>
      <c r="G462">
        <f t="shared" si="30"/>
        <v>0.80599484259720744</v>
      </c>
      <c r="H462">
        <f t="shared" si="31"/>
        <v>34.737962196543641</v>
      </c>
    </row>
    <row r="463" spans="1:8" hidden="1" x14ac:dyDescent="0.25">
      <c r="A463" s="2" t="s">
        <v>10</v>
      </c>
      <c r="B463" s="3">
        <v>42327</v>
      </c>
      <c r="C463" s="4">
        <v>-0.37519999999999998</v>
      </c>
      <c r="D463" s="4">
        <v>1.6261000000000001</v>
      </c>
      <c r="E463" s="22">
        <f t="shared" si="28"/>
        <v>1.6231000000000002</v>
      </c>
      <c r="F463">
        <f t="shared" si="29"/>
        <v>1.0977336964241302</v>
      </c>
      <c r="G463">
        <f t="shared" si="30"/>
        <v>-1.4729336964241302</v>
      </c>
      <c r="H463">
        <f t="shared" si="31"/>
        <v>33.265028500119513</v>
      </c>
    </row>
    <row r="464" spans="1:8" hidden="1" x14ac:dyDescent="0.25">
      <c r="A464" s="2" t="s">
        <v>10</v>
      </c>
      <c r="B464" s="3">
        <v>42328</v>
      </c>
      <c r="C464" s="4">
        <v>0</v>
      </c>
      <c r="D464" s="4">
        <v>-0.13869999999999999</v>
      </c>
      <c r="E464" s="22">
        <f t="shared" si="28"/>
        <v>-0.14169999999999999</v>
      </c>
      <c r="F464">
        <f t="shared" si="29"/>
        <v>-8.1682472746828674E-2</v>
      </c>
      <c r="G464">
        <f t="shared" si="30"/>
        <v>8.1682472746828674E-2</v>
      </c>
      <c r="H464">
        <f t="shared" si="31"/>
        <v>33.34671097286634</v>
      </c>
    </row>
    <row r="465" spans="1:8" hidden="1" x14ac:dyDescent="0.25">
      <c r="A465" s="2" t="s">
        <v>10</v>
      </c>
      <c r="B465" s="3">
        <v>42331</v>
      </c>
      <c r="C465" s="4">
        <v>-0.94430000000000003</v>
      </c>
      <c r="D465" s="4">
        <v>0.23930000000000001</v>
      </c>
      <c r="E465" s="22">
        <f t="shared" si="28"/>
        <v>0.23630000000000001</v>
      </c>
      <c r="F465">
        <f t="shared" si="29"/>
        <v>0.17093499775783044</v>
      </c>
      <c r="G465">
        <f t="shared" si="30"/>
        <v>-1.1152349977578304</v>
      </c>
      <c r="H465">
        <f t="shared" si="31"/>
        <v>32.231475975108509</v>
      </c>
    </row>
    <row r="466" spans="1:8" hidden="1" x14ac:dyDescent="0.25">
      <c r="A466" s="2" t="s">
        <v>10</v>
      </c>
      <c r="B466" s="3">
        <v>42332</v>
      </c>
      <c r="C466" s="4">
        <v>-1.3371999999999999</v>
      </c>
      <c r="D466" s="4">
        <v>-1.0138</v>
      </c>
      <c r="E466" s="22">
        <f t="shared" si="28"/>
        <v>-1.0167999999999999</v>
      </c>
      <c r="F466">
        <f t="shared" si="29"/>
        <v>-0.66651196597071016</v>
      </c>
      <c r="G466">
        <f t="shared" si="30"/>
        <v>-0.67068803402928978</v>
      </c>
      <c r="H466">
        <f t="shared" si="31"/>
        <v>31.560787941079219</v>
      </c>
    </row>
    <row r="467" spans="1:8" hidden="1" x14ac:dyDescent="0.25">
      <c r="A467" s="2" t="s">
        <v>10</v>
      </c>
      <c r="B467" s="3">
        <v>42333</v>
      </c>
      <c r="C467" s="4">
        <v>-0.96619999999999995</v>
      </c>
      <c r="D467" s="4">
        <v>-0.16689999999999999</v>
      </c>
      <c r="E467" s="22">
        <f t="shared" si="28"/>
        <v>-0.1699</v>
      </c>
      <c r="F467">
        <f t="shared" si="29"/>
        <v>-0.10052853800670007</v>
      </c>
      <c r="G467">
        <f t="shared" si="30"/>
        <v>-0.86567146199329992</v>
      </c>
      <c r="H467">
        <f t="shared" si="31"/>
        <v>30.695116479085918</v>
      </c>
    </row>
    <row r="468" spans="1:8" hidden="1" x14ac:dyDescent="0.25">
      <c r="A468" s="2" t="s">
        <v>10</v>
      </c>
      <c r="B468" s="3">
        <v>42334</v>
      </c>
      <c r="C468" s="4">
        <v>0.96619999999999995</v>
      </c>
      <c r="D468" s="4">
        <v>1.1709000000000001</v>
      </c>
      <c r="E468" s="22">
        <f t="shared" si="28"/>
        <v>1.1679000000000002</v>
      </c>
      <c r="F468">
        <f t="shared" si="29"/>
        <v>0.79352345152010684</v>
      </c>
      <c r="G468">
        <f t="shared" si="30"/>
        <v>0.17267654847989311</v>
      </c>
      <c r="H468">
        <f t="shared" si="31"/>
        <v>30.86779302756581</v>
      </c>
    </row>
    <row r="469" spans="1:8" hidden="1" x14ac:dyDescent="0.25">
      <c r="A469" s="2" t="s">
        <v>10</v>
      </c>
      <c r="B469" s="3">
        <v>42335</v>
      </c>
      <c r="C469" s="4">
        <v>0.57530000000000003</v>
      </c>
      <c r="D469" s="4">
        <v>-1.0246999999999999</v>
      </c>
      <c r="E469" s="22">
        <f t="shared" si="28"/>
        <v>-1.0276999999999998</v>
      </c>
      <c r="F469">
        <f t="shared" si="29"/>
        <v>-0.67379643800378086</v>
      </c>
      <c r="G469">
        <f t="shared" si="30"/>
        <v>1.249096438003781</v>
      </c>
      <c r="H469">
        <f t="shared" si="31"/>
        <v>32.116889465569592</v>
      </c>
    </row>
    <row r="470" spans="1:8" hidden="1" x14ac:dyDescent="0.25">
      <c r="A470" s="2" t="s">
        <v>10</v>
      </c>
      <c r="B470" s="3">
        <v>42338</v>
      </c>
      <c r="C470" s="4">
        <v>-0.57530000000000003</v>
      </c>
      <c r="D470" s="4">
        <v>-0.93059999999999998</v>
      </c>
      <c r="E470" s="22">
        <f t="shared" si="28"/>
        <v>-0.93359999999999999</v>
      </c>
      <c r="F470">
        <f t="shared" si="29"/>
        <v>-0.61090939045222437</v>
      </c>
      <c r="G470">
        <f t="shared" si="30"/>
        <v>3.5609390452224332E-2</v>
      </c>
      <c r="H470">
        <f t="shared" si="31"/>
        <v>32.152498856021815</v>
      </c>
    </row>
    <row r="471" spans="1:8" hidden="1" x14ac:dyDescent="0.25">
      <c r="A471" s="2" t="s">
        <v>10</v>
      </c>
      <c r="B471" s="3">
        <v>42339</v>
      </c>
      <c r="C471" s="4">
        <v>1.5266999999999999</v>
      </c>
      <c r="D471" s="4">
        <v>1.7003999999999999</v>
      </c>
      <c r="E471" s="22">
        <f t="shared" si="28"/>
        <v>1.6974</v>
      </c>
      <c r="F471">
        <f t="shared" si="29"/>
        <v>1.1473884002825856</v>
      </c>
      <c r="G471">
        <f t="shared" si="30"/>
        <v>0.37931159971741435</v>
      </c>
      <c r="H471">
        <f t="shared" si="31"/>
        <v>32.531810455739226</v>
      </c>
    </row>
    <row r="472" spans="1:8" hidden="1" x14ac:dyDescent="0.25">
      <c r="A472" s="2" t="s">
        <v>10</v>
      </c>
      <c r="B472" s="3">
        <v>42340</v>
      </c>
      <c r="C472" s="4">
        <v>-1.5266999999999999</v>
      </c>
      <c r="D472" s="4">
        <v>-6.9699999999999998E-2</v>
      </c>
      <c r="E472" s="22">
        <f t="shared" si="28"/>
        <v>-7.2700000000000001E-2</v>
      </c>
      <c r="F472">
        <f t="shared" si="29"/>
        <v>-3.5569759876930583E-2</v>
      </c>
      <c r="G472">
        <f t="shared" si="30"/>
        <v>-1.4911302401230693</v>
      </c>
      <c r="H472">
        <f t="shared" si="31"/>
        <v>31.040680215616156</v>
      </c>
    </row>
    <row r="473" spans="1:8" hidden="1" x14ac:dyDescent="0.25">
      <c r="A473" s="2" t="s">
        <v>10</v>
      </c>
      <c r="B473" s="3">
        <v>42341</v>
      </c>
      <c r="C473" s="4">
        <v>0.38390000000000002</v>
      </c>
      <c r="D473" s="4">
        <v>-1.5800000000000002E-2</v>
      </c>
      <c r="E473" s="22">
        <f t="shared" si="28"/>
        <v>-1.8800000000000001E-2</v>
      </c>
      <c r="F473">
        <f t="shared" si="29"/>
        <v>4.516201765115517E-4</v>
      </c>
      <c r="G473">
        <f t="shared" si="30"/>
        <v>0.38344837982348845</v>
      </c>
      <c r="H473">
        <f t="shared" si="31"/>
        <v>31.424128595439644</v>
      </c>
    </row>
    <row r="474" spans="1:8" hidden="1" x14ac:dyDescent="0.25">
      <c r="A474" s="2" t="s">
        <v>10</v>
      </c>
      <c r="B474" s="3">
        <v>42342</v>
      </c>
      <c r="C474" s="4">
        <v>0.95330000000000004</v>
      </c>
      <c r="D474" s="4">
        <v>-0.68179999999999996</v>
      </c>
      <c r="E474" s="22">
        <f t="shared" si="28"/>
        <v>-0.68479999999999996</v>
      </c>
      <c r="F474">
        <f t="shared" si="29"/>
        <v>-0.44463630404598309</v>
      </c>
      <c r="G474">
        <f t="shared" si="30"/>
        <v>1.3979363040459831</v>
      </c>
      <c r="H474">
        <f t="shared" si="31"/>
        <v>32.822064899485625</v>
      </c>
    </row>
    <row r="475" spans="1:8" hidden="1" x14ac:dyDescent="0.25">
      <c r="A475" s="2" t="s">
        <v>10</v>
      </c>
      <c r="B475" s="3">
        <v>42345</v>
      </c>
      <c r="C475" s="4">
        <v>-1.7224999999999999</v>
      </c>
      <c r="D475" s="4">
        <v>0.66069999999999995</v>
      </c>
      <c r="E475" s="22">
        <f t="shared" si="28"/>
        <v>0.65769999999999995</v>
      </c>
      <c r="F475">
        <f t="shared" si="29"/>
        <v>0.45255669635746892</v>
      </c>
      <c r="G475">
        <f t="shared" si="30"/>
        <v>-2.1750566963574687</v>
      </c>
      <c r="H475">
        <f t="shared" si="31"/>
        <v>30.647008203128156</v>
      </c>
    </row>
    <row r="476" spans="1:8" hidden="1" x14ac:dyDescent="0.25">
      <c r="A476" s="2" t="s">
        <v>10</v>
      </c>
      <c r="B476" s="3">
        <v>42346</v>
      </c>
      <c r="C476" s="4">
        <v>-0.7752</v>
      </c>
      <c r="D476" s="4">
        <v>-1.3146</v>
      </c>
      <c r="E476" s="22">
        <f t="shared" si="28"/>
        <v>-1.3175999999999999</v>
      </c>
      <c r="F476">
        <f t="shared" si="29"/>
        <v>-0.86753666207600499</v>
      </c>
      <c r="G476">
        <f t="shared" si="30"/>
        <v>9.2336662076004994E-2</v>
      </c>
      <c r="H476">
        <f t="shared" si="31"/>
        <v>30.73934486520416</v>
      </c>
    </row>
    <row r="477" spans="1:8" hidden="1" x14ac:dyDescent="0.25">
      <c r="A477" s="2" t="s">
        <v>10</v>
      </c>
      <c r="B477" s="3">
        <v>42347</v>
      </c>
      <c r="C477" s="4">
        <v>-2.5617000000000001</v>
      </c>
      <c r="D477" s="4">
        <v>-1.3786</v>
      </c>
      <c r="E477" s="22">
        <f t="shared" si="28"/>
        <v>-1.3815999999999999</v>
      </c>
      <c r="F477">
        <f t="shared" si="29"/>
        <v>-0.91030787401330182</v>
      </c>
      <c r="G477">
        <f t="shared" si="30"/>
        <v>-1.6513921259866984</v>
      </c>
      <c r="H477">
        <f t="shared" si="31"/>
        <v>29.08795273921746</v>
      </c>
    </row>
    <row r="478" spans="1:8" hidden="1" x14ac:dyDescent="0.25">
      <c r="A478" s="2" t="s">
        <v>10</v>
      </c>
      <c r="B478" s="3">
        <v>42348</v>
      </c>
      <c r="C478" s="4">
        <v>-0.4</v>
      </c>
      <c r="D478" s="4">
        <v>-0.1636</v>
      </c>
      <c r="E478" s="22">
        <f t="shared" si="28"/>
        <v>-0.1666</v>
      </c>
      <c r="F478">
        <f t="shared" si="29"/>
        <v>-9.832314739118321E-2</v>
      </c>
      <c r="G478">
        <f t="shared" si="30"/>
        <v>-0.30167685260881683</v>
      </c>
      <c r="H478">
        <f t="shared" si="31"/>
        <v>28.786275886608642</v>
      </c>
    </row>
    <row r="479" spans="1:8" hidden="1" x14ac:dyDescent="0.25">
      <c r="A479" s="2" t="s">
        <v>10</v>
      </c>
      <c r="B479" s="3">
        <v>42349</v>
      </c>
      <c r="C479" s="4">
        <v>-1.0071000000000001</v>
      </c>
      <c r="D479" s="4">
        <v>-1.228</v>
      </c>
      <c r="E479" s="22">
        <f t="shared" si="28"/>
        <v>-1.2309999999999999</v>
      </c>
      <c r="F479">
        <f t="shared" si="29"/>
        <v>-0.80966186592335021</v>
      </c>
      <c r="G479">
        <f t="shared" si="30"/>
        <v>-0.1974381340766499</v>
      </c>
      <c r="H479">
        <f t="shared" si="31"/>
        <v>28.588837752531994</v>
      </c>
    </row>
    <row r="480" spans="1:8" hidden="1" x14ac:dyDescent="0.25">
      <c r="A480" s="2" t="s">
        <v>10</v>
      </c>
      <c r="B480" s="3">
        <v>42352</v>
      </c>
      <c r="C480" s="4">
        <v>-1.222</v>
      </c>
      <c r="D480" s="4">
        <v>-0.9375</v>
      </c>
      <c r="E480" s="22">
        <f t="shared" si="28"/>
        <v>-0.9405</v>
      </c>
      <c r="F480">
        <f t="shared" si="29"/>
        <v>-0.61552066173921416</v>
      </c>
      <c r="G480">
        <f t="shared" si="30"/>
        <v>-0.60647933826078582</v>
      </c>
      <c r="H480">
        <f t="shared" si="31"/>
        <v>27.982358414271207</v>
      </c>
    </row>
    <row r="481" spans="1:8" hidden="1" x14ac:dyDescent="0.25">
      <c r="A481" s="2" t="s">
        <v>10</v>
      </c>
      <c r="B481" s="3">
        <v>42353</v>
      </c>
      <c r="C481" s="4">
        <v>0.7147</v>
      </c>
      <c r="D481" s="4">
        <v>0.41199999999999998</v>
      </c>
      <c r="E481" s="22">
        <f t="shared" si="28"/>
        <v>0.40899999999999997</v>
      </c>
      <c r="F481">
        <f t="shared" si="29"/>
        <v>0.28635043996987974</v>
      </c>
      <c r="G481">
        <f t="shared" si="30"/>
        <v>0.42834956003012026</v>
      </c>
      <c r="H481">
        <f t="shared" si="31"/>
        <v>28.410707974301328</v>
      </c>
    </row>
    <row r="482" spans="1:8" hidden="1" x14ac:dyDescent="0.25">
      <c r="A482" s="2" t="s">
        <v>10</v>
      </c>
      <c r="B482" s="3">
        <v>42354</v>
      </c>
      <c r="C482" s="4">
        <v>0.60850000000000004</v>
      </c>
      <c r="D482" s="4">
        <v>1.3693</v>
      </c>
      <c r="E482" s="22">
        <f t="shared" si="28"/>
        <v>1.3663000000000001</v>
      </c>
      <c r="F482">
        <f t="shared" si="29"/>
        <v>0.92611420852572679</v>
      </c>
      <c r="G482">
        <f t="shared" si="30"/>
        <v>-0.31761420852572675</v>
      </c>
      <c r="H482">
        <f t="shared" si="31"/>
        <v>28.093093765775603</v>
      </c>
    </row>
    <row r="483" spans="1:8" hidden="1" x14ac:dyDescent="0.25">
      <c r="A483" s="2" t="s">
        <v>10</v>
      </c>
      <c r="B483" s="3">
        <v>42355</v>
      </c>
      <c r="C483" s="4">
        <v>1.1061000000000001</v>
      </c>
      <c r="D483" s="4">
        <v>1.6361000000000001</v>
      </c>
      <c r="E483" s="22">
        <f t="shared" si="28"/>
        <v>1.6331000000000002</v>
      </c>
      <c r="F483">
        <f t="shared" si="29"/>
        <v>1.1044166982893329</v>
      </c>
      <c r="G483">
        <f t="shared" si="30"/>
        <v>1.6833017106672177E-3</v>
      </c>
      <c r="H483">
        <f t="shared" si="31"/>
        <v>28.09477706748627</v>
      </c>
    </row>
    <row r="484" spans="1:8" hidden="1" x14ac:dyDescent="0.25">
      <c r="A484" s="2" t="s">
        <v>10</v>
      </c>
      <c r="B484" s="3">
        <v>42356</v>
      </c>
      <c r="C484" s="4">
        <v>-0.40079999999999999</v>
      </c>
      <c r="D484" s="4">
        <v>-0.75229999999999997</v>
      </c>
      <c r="E484" s="22">
        <f t="shared" si="28"/>
        <v>-0.75529999999999997</v>
      </c>
      <c r="F484">
        <f t="shared" si="29"/>
        <v>-0.49175146719566154</v>
      </c>
      <c r="G484">
        <f t="shared" si="30"/>
        <v>9.0951467195661551E-2</v>
      </c>
      <c r="H484">
        <f t="shared" si="31"/>
        <v>28.185728534681932</v>
      </c>
    </row>
    <row r="485" spans="1:8" hidden="1" x14ac:dyDescent="0.25">
      <c r="A485" s="2" t="s">
        <v>10</v>
      </c>
      <c r="B485" s="3">
        <v>42359</v>
      </c>
      <c r="C485" s="4">
        <v>-0.70530000000000004</v>
      </c>
      <c r="D485" s="4">
        <v>0.30049999999999999</v>
      </c>
      <c r="E485" s="22">
        <f t="shared" si="28"/>
        <v>0.29749999999999999</v>
      </c>
      <c r="F485">
        <f t="shared" si="29"/>
        <v>0.21183496917287048</v>
      </c>
      <c r="G485">
        <f t="shared" si="30"/>
        <v>-0.91713496917287052</v>
      </c>
      <c r="H485">
        <f t="shared" si="31"/>
        <v>27.268593565509061</v>
      </c>
    </row>
    <row r="486" spans="1:8" hidden="1" x14ac:dyDescent="0.25">
      <c r="A486" s="2" t="s">
        <v>10</v>
      </c>
      <c r="B486" s="3">
        <v>42360</v>
      </c>
      <c r="C486" s="4">
        <v>1.7042999999999999</v>
      </c>
      <c r="D486" s="4">
        <v>0.1275</v>
      </c>
      <c r="E486" s="22">
        <f t="shared" si="28"/>
        <v>0.1245</v>
      </c>
      <c r="F486">
        <f t="shared" si="29"/>
        <v>9.6219036904865135E-2</v>
      </c>
      <c r="G486">
        <f t="shared" si="30"/>
        <v>1.6080809630951347</v>
      </c>
      <c r="H486">
        <f t="shared" si="31"/>
        <v>28.876674528604195</v>
      </c>
    </row>
    <row r="487" spans="1:8" hidden="1" x14ac:dyDescent="0.25">
      <c r="A487" s="2" t="s">
        <v>10</v>
      </c>
      <c r="B487" s="3">
        <v>42361</v>
      </c>
      <c r="C487" s="4">
        <v>-0.89870000000000005</v>
      </c>
      <c r="D487" s="4">
        <v>0.27650000000000002</v>
      </c>
      <c r="E487" s="22">
        <f t="shared" si="28"/>
        <v>0.27350000000000002</v>
      </c>
      <c r="F487">
        <f t="shared" si="29"/>
        <v>0.19579576469638421</v>
      </c>
      <c r="G487">
        <f t="shared" si="30"/>
        <v>-1.0944957646963842</v>
      </c>
      <c r="H487">
        <f t="shared" si="31"/>
        <v>27.782178763907812</v>
      </c>
    </row>
    <row r="488" spans="1:8" hidden="1" x14ac:dyDescent="0.25">
      <c r="A488" s="2" t="s">
        <v>10</v>
      </c>
      <c r="B488" s="3">
        <v>42362</v>
      </c>
      <c r="C488" s="4">
        <v>0</v>
      </c>
      <c r="D488" s="4">
        <v>0.1041</v>
      </c>
      <c r="E488" s="22">
        <f t="shared" si="28"/>
        <v>0.1011</v>
      </c>
      <c r="F488">
        <f t="shared" si="29"/>
        <v>8.0580812540290994E-2</v>
      </c>
      <c r="G488">
        <f t="shared" si="30"/>
        <v>-8.0580812540290994E-2</v>
      </c>
      <c r="H488">
        <f t="shared" si="31"/>
        <v>27.701597951367521</v>
      </c>
    </row>
    <row r="489" spans="1:8" hidden="1" x14ac:dyDescent="0.25">
      <c r="A489" s="2" t="s">
        <v>10</v>
      </c>
      <c r="B489" s="3">
        <v>42363</v>
      </c>
      <c r="C489" s="4">
        <v>-0.60360000000000003</v>
      </c>
      <c r="D489" s="4">
        <v>0.46650000000000003</v>
      </c>
      <c r="E489" s="22">
        <f t="shared" si="28"/>
        <v>0.46350000000000002</v>
      </c>
      <c r="F489">
        <f t="shared" si="29"/>
        <v>0.32277280013523407</v>
      </c>
      <c r="G489">
        <f t="shared" si="30"/>
        <v>-0.92637280013523404</v>
      </c>
      <c r="H489">
        <f t="shared" si="31"/>
        <v>26.775225151232288</v>
      </c>
    </row>
    <row r="490" spans="1:8" hidden="1" x14ac:dyDescent="0.25">
      <c r="A490" s="2" t="s">
        <v>10</v>
      </c>
      <c r="B490" s="3">
        <v>42366</v>
      </c>
      <c r="C490" s="4">
        <v>-0.9123</v>
      </c>
      <c r="D490" s="4">
        <v>-5.7299999999999997E-2</v>
      </c>
      <c r="E490" s="22">
        <f t="shared" si="28"/>
        <v>-6.0299999999999999E-2</v>
      </c>
      <c r="F490">
        <f t="shared" si="29"/>
        <v>-2.7282837564079329E-2</v>
      </c>
      <c r="G490">
        <f t="shared" si="30"/>
        <v>-0.88501716243592066</v>
      </c>
      <c r="H490">
        <f t="shared" si="31"/>
        <v>25.890207988796366</v>
      </c>
    </row>
    <row r="491" spans="1:8" hidden="1" x14ac:dyDescent="0.25">
      <c r="A491" s="2" t="s">
        <v>10</v>
      </c>
      <c r="B491" s="3">
        <v>42367</v>
      </c>
      <c r="C491" s="4">
        <v>0.1018</v>
      </c>
      <c r="D491" s="4">
        <v>-0.77559999999999996</v>
      </c>
      <c r="E491" s="22">
        <f t="shared" si="28"/>
        <v>-0.77859999999999996</v>
      </c>
      <c r="F491">
        <f t="shared" si="29"/>
        <v>-0.50732286154158368</v>
      </c>
      <c r="G491">
        <f t="shared" si="30"/>
        <v>0.60912286154158368</v>
      </c>
      <c r="H491">
        <f t="shared" si="31"/>
        <v>26.499330850337948</v>
      </c>
    </row>
    <row r="492" spans="1:8" hidden="1" x14ac:dyDescent="0.25">
      <c r="A492" s="2" t="s">
        <v>10</v>
      </c>
      <c r="B492" s="3">
        <v>42368</v>
      </c>
      <c r="C492" s="4">
        <v>0</v>
      </c>
      <c r="D492" s="4">
        <v>-0.16800000000000001</v>
      </c>
      <c r="E492" s="22">
        <f t="shared" si="28"/>
        <v>-0.17100000000000001</v>
      </c>
      <c r="F492">
        <f t="shared" si="29"/>
        <v>-0.10126366821187237</v>
      </c>
      <c r="G492">
        <f t="shared" si="30"/>
        <v>0.10126366821187237</v>
      </c>
      <c r="H492">
        <f t="shared" si="31"/>
        <v>26.600594518549819</v>
      </c>
    </row>
    <row r="493" spans="1:8" hidden="1" x14ac:dyDescent="0.25">
      <c r="A493" s="2" t="s">
        <v>10</v>
      </c>
      <c r="B493" s="3">
        <v>42369</v>
      </c>
      <c r="C493" s="4">
        <v>-0.30570000000000003</v>
      </c>
      <c r="D493" s="4">
        <v>0.69889999999999997</v>
      </c>
      <c r="E493" s="22">
        <f t="shared" si="28"/>
        <v>0.69589999999999996</v>
      </c>
      <c r="F493">
        <f t="shared" si="29"/>
        <v>0.47808576348254295</v>
      </c>
      <c r="G493">
        <f t="shared" si="30"/>
        <v>-0.78378576348254292</v>
      </c>
      <c r="H493">
        <f t="shared" si="31"/>
        <v>25.816808755067278</v>
      </c>
    </row>
    <row r="494" spans="1:8" hidden="1" x14ac:dyDescent="0.25">
      <c r="A494" s="2" t="s">
        <v>10</v>
      </c>
      <c r="B494" s="3">
        <v>42373</v>
      </c>
      <c r="C494" s="4">
        <v>-1.6460999999999999</v>
      </c>
      <c r="D494" s="4">
        <v>-2.7208000000000001</v>
      </c>
      <c r="E494" s="22">
        <f t="shared" si="28"/>
        <v>-2.7238000000000002</v>
      </c>
      <c r="F494">
        <f t="shared" si="29"/>
        <v>-1.807300384360798</v>
      </c>
      <c r="G494">
        <f t="shared" si="30"/>
        <v>0.16120038436079809</v>
      </c>
      <c r="H494">
        <f t="shared" si="31"/>
        <v>25.978009139428075</v>
      </c>
    </row>
    <row r="495" spans="1:8" hidden="1" x14ac:dyDescent="0.25">
      <c r="A495" s="2" t="s">
        <v>10</v>
      </c>
      <c r="B495" s="3">
        <v>42374</v>
      </c>
      <c r="C495" s="4">
        <v>-0.83330000000000004</v>
      </c>
      <c r="D495" s="4">
        <v>-0.48370000000000002</v>
      </c>
      <c r="E495" s="22">
        <f t="shared" si="28"/>
        <v>-0.48670000000000002</v>
      </c>
      <c r="F495">
        <f t="shared" si="29"/>
        <v>-0.31224603709631915</v>
      </c>
      <c r="G495">
        <f t="shared" si="30"/>
        <v>-0.52105396290368089</v>
      </c>
      <c r="H495">
        <f t="shared" si="31"/>
        <v>25.456955176524392</v>
      </c>
    </row>
    <row r="496" spans="1:8" hidden="1" x14ac:dyDescent="0.25">
      <c r="A496" s="2" t="s">
        <v>10</v>
      </c>
      <c r="B496" s="3">
        <v>42375</v>
      </c>
      <c r="C496" s="4">
        <v>-0.62960000000000005</v>
      </c>
      <c r="D496" s="4">
        <v>-1.0547</v>
      </c>
      <c r="E496" s="22">
        <f t="shared" si="28"/>
        <v>-1.0576999999999999</v>
      </c>
      <c r="F496">
        <f t="shared" si="29"/>
        <v>-0.69384544359938882</v>
      </c>
      <c r="G496">
        <f t="shared" si="30"/>
        <v>6.4245443599388774E-2</v>
      </c>
      <c r="H496">
        <f t="shared" si="31"/>
        <v>25.521200620123782</v>
      </c>
    </row>
    <row r="497" spans="1:8" hidden="1" x14ac:dyDescent="0.25">
      <c r="A497" s="2" t="s">
        <v>10</v>
      </c>
      <c r="B497" s="3">
        <v>42376</v>
      </c>
      <c r="C497" s="4">
        <v>-5.1847000000000003</v>
      </c>
      <c r="D497" s="4">
        <v>-1.7464</v>
      </c>
      <c r="E497" s="22">
        <f t="shared" si="28"/>
        <v>-1.7493999999999998</v>
      </c>
      <c r="F497">
        <f t="shared" si="29"/>
        <v>-1.1561086826154541</v>
      </c>
      <c r="G497">
        <f t="shared" si="30"/>
        <v>-4.0285913173845458</v>
      </c>
      <c r="H497">
        <f t="shared" si="31"/>
        <v>21.492609302739236</v>
      </c>
    </row>
    <row r="498" spans="1:8" hidden="1" x14ac:dyDescent="0.25">
      <c r="A498" s="2" t="s">
        <v>10</v>
      </c>
      <c r="B498" s="3">
        <v>42377</v>
      </c>
      <c r="C498" s="4">
        <v>2.3014999999999999</v>
      </c>
      <c r="D498" s="4">
        <v>0.5323</v>
      </c>
      <c r="E498" s="22">
        <f t="shared" si="28"/>
        <v>0.52929999999999999</v>
      </c>
      <c r="F498">
        <f t="shared" si="29"/>
        <v>0.36674695240826727</v>
      </c>
      <c r="G498">
        <f t="shared" si="30"/>
        <v>1.9347530475917325</v>
      </c>
      <c r="H498">
        <f t="shared" si="31"/>
        <v>23.42736235033097</v>
      </c>
    </row>
    <row r="499" spans="1:8" hidden="1" x14ac:dyDescent="0.25">
      <c r="A499" s="2" t="s">
        <v>10</v>
      </c>
      <c r="B499" s="3">
        <v>42380</v>
      </c>
      <c r="C499" s="4">
        <v>-1.859</v>
      </c>
      <c r="D499" s="4">
        <v>-1.3461000000000001</v>
      </c>
      <c r="E499" s="22">
        <f t="shared" si="28"/>
        <v>-1.3491</v>
      </c>
      <c r="F499">
        <f t="shared" si="29"/>
        <v>-0.88858811795139325</v>
      </c>
      <c r="G499">
        <f t="shared" si="30"/>
        <v>-0.97041188204860673</v>
      </c>
      <c r="H499">
        <f t="shared" si="31"/>
        <v>22.456950468282365</v>
      </c>
    </row>
    <row r="500" spans="1:8" hidden="1" x14ac:dyDescent="0.25">
      <c r="A500" s="2" t="s">
        <v>10</v>
      </c>
      <c r="B500" s="3">
        <v>42381</v>
      </c>
      <c r="C500" s="4">
        <v>-0.88690000000000002</v>
      </c>
      <c r="D500" s="4">
        <v>-0.25669999999999998</v>
      </c>
      <c r="E500" s="22">
        <f t="shared" si="28"/>
        <v>-0.25969999999999999</v>
      </c>
      <c r="F500">
        <f t="shared" si="29"/>
        <v>-0.16054189475621961</v>
      </c>
      <c r="G500">
        <f t="shared" si="30"/>
        <v>-0.72635810524378042</v>
      </c>
      <c r="H500">
        <f t="shared" si="31"/>
        <v>21.730592363038586</v>
      </c>
    </row>
    <row r="501" spans="1:8" hidden="1" x14ac:dyDescent="0.25">
      <c r="A501" s="2" t="s">
        <v>10</v>
      </c>
      <c r="B501" s="3">
        <v>42382</v>
      </c>
      <c r="C501" s="4">
        <v>-0.6704</v>
      </c>
      <c r="D501" s="4">
        <v>0.72030000000000005</v>
      </c>
      <c r="E501" s="22">
        <f t="shared" si="28"/>
        <v>0.71730000000000005</v>
      </c>
      <c r="F501">
        <f t="shared" si="29"/>
        <v>0.49238738747407662</v>
      </c>
      <c r="G501">
        <f t="shared" si="30"/>
        <v>-1.1627873874740766</v>
      </c>
      <c r="H501">
        <f t="shared" si="31"/>
        <v>20.56780497556451</v>
      </c>
    </row>
    <row r="502" spans="1:8" hidden="1" x14ac:dyDescent="0.25">
      <c r="A502" s="2" t="s">
        <v>10</v>
      </c>
      <c r="B502" s="3">
        <v>42383</v>
      </c>
      <c r="C502" s="4">
        <v>-2.1530999999999998</v>
      </c>
      <c r="D502" s="4">
        <v>-1.05</v>
      </c>
      <c r="E502" s="22">
        <f t="shared" si="28"/>
        <v>-1.0529999999999999</v>
      </c>
      <c r="F502">
        <f t="shared" si="29"/>
        <v>-0.69070443272274362</v>
      </c>
      <c r="G502">
        <f t="shared" si="30"/>
        <v>-1.4623955672772562</v>
      </c>
      <c r="H502">
        <f t="shared" si="31"/>
        <v>19.105409408287255</v>
      </c>
    </row>
    <row r="503" spans="1:8" hidden="1" x14ac:dyDescent="0.25">
      <c r="A503" s="2" t="s">
        <v>10</v>
      </c>
      <c r="B503" s="3">
        <v>42384</v>
      </c>
      <c r="C503" s="4">
        <v>0.57110000000000005</v>
      </c>
      <c r="D503" s="4">
        <v>0.24679999999999999</v>
      </c>
      <c r="E503" s="22">
        <f t="shared" si="28"/>
        <v>0.24379999999999999</v>
      </c>
      <c r="F503">
        <f t="shared" si="29"/>
        <v>0.1759472491567324</v>
      </c>
      <c r="G503">
        <f t="shared" si="30"/>
        <v>0.39515275084326762</v>
      </c>
      <c r="H503">
        <f t="shared" si="31"/>
        <v>19.500562159130521</v>
      </c>
    </row>
    <row r="504" spans="1:8" hidden="1" x14ac:dyDescent="0.25">
      <c r="A504" s="2" t="s">
        <v>10</v>
      </c>
      <c r="B504" s="3">
        <v>42387</v>
      </c>
      <c r="C504" s="4">
        <v>4.7812999999999999</v>
      </c>
      <c r="D504" s="4">
        <v>0.63149999999999995</v>
      </c>
      <c r="E504" s="22">
        <f t="shared" si="28"/>
        <v>0.62849999999999995</v>
      </c>
      <c r="F504">
        <f t="shared" si="29"/>
        <v>0.43304233091107724</v>
      </c>
      <c r="G504">
        <f t="shared" si="30"/>
        <v>4.3482576690889223</v>
      </c>
      <c r="H504">
        <f t="shared" si="31"/>
        <v>23.848819828219444</v>
      </c>
    </row>
    <row r="505" spans="1:8" hidden="1" x14ac:dyDescent="0.25">
      <c r="A505" s="2" t="s">
        <v>10</v>
      </c>
      <c r="B505" s="3">
        <v>42388</v>
      </c>
      <c r="C505" s="4">
        <v>-1.6420999999999999</v>
      </c>
      <c r="D505" s="4">
        <v>0.55789999999999995</v>
      </c>
      <c r="E505" s="22">
        <f t="shared" si="28"/>
        <v>0.55489999999999995</v>
      </c>
      <c r="F505">
        <f t="shared" si="29"/>
        <v>0.38385543718318599</v>
      </c>
      <c r="G505">
        <f t="shared" si="30"/>
        <v>-2.0259554371831858</v>
      </c>
      <c r="H505">
        <f t="shared" si="31"/>
        <v>21.822864391036259</v>
      </c>
    </row>
    <row r="506" spans="1:8" hidden="1" x14ac:dyDescent="0.25">
      <c r="A506" s="2" t="s">
        <v>10</v>
      </c>
      <c r="B506" s="3">
        <v>42389</v>
      </c>
      <c r="C506" s="4">
        <v>-1.4453</v>
      </c>
      <c r="D506" s="4">
        <v>-2.0028999999999999</v>
      </c>
      <c r="E506" s="22">
        <f t="shared" si="28"/>
        <v>-2.0059</v>
      </c>
      <c r="F506">
        <f t="shared" si="29"/>
        <v>-1.3275276804579015</v>
      </c>
      <c r="G506">
        <f t="shared" si="30"/>
        <v>-0.11777231954209855</v>
      </c>
      <c r="H506">
        <f t="shared" si="31"/>
        <v>21.70509207149416</v>
      </c>
    </row>
    <row r="507" spans="1:8" hidden="1" x14ac:dyDescent="0.25">
      <c r="A507" s="2" t="s">
        <v>10</v>
      </c>
      <c r="B507" s="3">
        <v>42390</v>
      </c>
      <c r="C507" s="4">
        <v>-1.4664999999999999</v>
      </c>
      <c r="D507" s="4">
        <v>-0.45710000000000001</v>
      </c>
      <c r="E507" s="22">
        <f t="shared" si="28"/>
        <v>-0.46010000000000001</v>
      </c>
      <c r="F507">
        <f t="shared" si="29"/>
        <v>-0.29446925213488018</v>
      </c>
      <c r="G507">
        <f t="shared" si="30"/>
        <v>-1.1720307478651197</v>
      </c>
      <c r="H507">
        <f t="shared" si="31"/>
        <v>20.533061323629042</v>
      </c>
    </row>
    <row r="508" spans="1:8" hidden="1" x14ac:dyDescent="0.25">
      <c r="A508" s="2" t="s">
        <v>10</v>
      </c>
      <c r="B508" s="3">
        <v>42391</v>
      </c>
      <c r="C508" s="4">
        <v>0.34029999999999999</v>
      </c>
      <c r="D508" s="4">
        <v>1.1955</v>
      </c>
      <c r="E508" s="22">
        <f t="shared" si="28"/>
        <v>1.1925000000000001</v>
      </c>
      <c r="F508">
        <f t="shared" si="29"/>
        <v>0.8099636361085053</v>
      </c>
      <c r="G508">
        <f t="shared" si="30"/>
        <v>-0.46966363610850531</v>
      </c>
      <c r="H508">
        <f t="shared" si="31"/>
        <v>20.063397687520535</v>
      </c>
    </row>
    <row r="509" spans="1:8" hidden="1" x14ac:dyDescent="0.25">
      <c r="A509" s="2" t="s">
        <v>10</v>
      </c>
      <c r="B509" s="3">
        <v>42394</v>
      </c>
      <c r="C509" s="4">
        <v>1.2381</v>
      </c>
      <c r="D509" s="4">
        <v>1.7632000000000001</v>
      </c>
      <c r="E509" s="22">
        <f t="shared" si="28"/>
        <v>1.7602000000000002</v>
      </c>
      <c r="F509">
        <f t="shared" si="29"/>
        <v>1.1893576519960583</v>
      </c>
      <c r="G509">
        <f t="shared" si="30"/>
        <v>4.8742348003941727E-2</v>
      </c>
      <c r="H509">
        <f t="shared" si="31"/>
        <v>20.112140035524476</v>
      </c>
    </row>
    <row r="510" spans="1:8" hidden="1" x14ac:dyDescent="0.25">
      <c r="A510" s="2" t="s">
        <v>10</v>
      </c>
      <c r="B510" s="3">
        <v>42395</v>
      </c>
      <c r="C510" s="4">
        <v>-1.1249</v>
      </c>
      <c r="D510" s="4">
        <v>-0.83289999999999997</v>
      </c>
      <c r="E510" s="22">
        <f t="shared" si="28"/>
        <v>-0.83589999999999998</v>
      </c>
      <c r="F510">
        <f t="shared" si="29"/>
        <v>-0.54561646222919469</v>
      </c>
      <c r="G510">
        <f t="shared" si="30"/>
        <v>-0.57928353777080532</v>
      </c>
      <c r="H510">
        <f t="shared" si="31"/>
        <v>19.53285649775367</v>
      </c>
    </row>
    <row r="511" spans="1:8" hidden="1" x14ac:dyDescent="0.25">
      <c r="A511" s="2" t="s">
        <v>10</v>
      </c>
      <c r="B511" s="3">
        <v>42396</v>
      </c>
      <c r="C511" s="4">
        <v>-0.79500000000000004</v>
      </c>
      <c r="D511" s="4">
        <v>0.26989999999999997</v>
      </c>
      <c r="E511" s="22">
        <f t="shared" si="28"/>
        <v>0.26689999999999997</v>
      </c>
      <c r="F511">
        <f t="shared" si="29"/>
        <v>0.19138498346535046</v>
      </c>
      <c r="G511">
        <f t="shared" si="30"/>
        <v>-0.98638498346535053</v>
      </c>
      <c r="H511">
        <f t="shared" si="31"/>
        <v>18.546471514288321</v>
      </c>
    </row>
    <row r="512" spans="1:8" hidden="1" x14ac:dyDescent="0.25">
      <c r="A512" s="2" t="s">
        <v>10</v>
      </c>
      <c r="B512" s="3">
        <v>42397</v>
      </c>
      <c r="C512" s="4">
        <v>-0.91639999999999999</v>
      </c>
      <c r="D512" s="4">
        <v>0.7016</v>
      </c>
      <c r="E512" s="22">
        <f t="shared" si="28"/>
        <v>0.6986</v>
      </c>
      <c r="F512">
        <f t="shared" si="29"/>
        <v>0.47989017398614769</v>
      </c>
      <c r="G512">
        <f t="shared" si="30"/>
        <v>-1.3962901739861477</v>
      </c>
      <c r="H512">
        <f t="shared" si="31"/>
        <v>17.150181340302172</v>
      </c>
    </row>
    <row r="513" spans="1:8" hidden="1" x14ac:dyDescent="0.25">
      <c r="A513" s="2" t="s">
        <v>10</v>
      </c>
      <c r="B513" s="3">
        <v>42398</v>
      </c>
      <c r="C513" s="4">
        <v>4.6101000000000001</v>
      </c>
      <c r="D513" s="4">
        <v>2.1958000000000002</v>
      </c>
      <c r="E513" s="22">
        <f t="shared" si="28"/>
        <v>2.1928000000000001</v>
      </c>
      <c r="F513">
        <f t="shared" si="29"/>
        <v>1.4784643126847237</v>
      </c>
      <c r="G513">
        <f t="shared" si="30"/>
        <v>3.1316356873152764</v>
      </c>
      <c r="H513">
        <f t="shared" si="31"/>
        <v>20.28181702761745</v>
      </c>
    </row>
    <row r="514" spans="1:8" hidden="1" x14ac:dyDescent="0.25">
      <c r="A514" s="2" t="s">
        <v>10</v>
      </c>
      <c r="B514" s="3">
        <v>42399</v>
      </c>
      <c r="C514" s="4">
        <v>1.9587000000000001</v>
      </c>
      <c r="D514" s="4">
        <v>0.7964</v>
      </c>
      <c r="E514" s="22">
        <f t="shared" si="28"/>
        <v>0.79339999999999999</v>
      </c>
      <c r="F514">
        <f t="shared" si="29"/>
        <v>0.54324503166826854</v>
      </c>
      <c r="G514">
        <f t="shared" si="30"/>
        <v>1.4154549683317317</v>
      </c>
      <c r="H514">
        <f t="shared" si="31"/>
        <v>21.69727199594918</v>
      </c>
    </row>
    <row r="515" spans="1:8" hidden="1" x14ac:dyDescent="0.25">
      <c r="A515" s="2" t="s">
        <v>10</v>
      </c>
      <c r="B515" s="3">
        <v>42401</v>
      </c>
      <c r="C515" s="4">
        <v>-1.5201</v>
      </c>
      <c r="D515" s="4">
        <v>0.14419999999999999</v>
      </c>
      <c r="E515" s="22">
        <f t="shared" ref="E515:E578" si="32">D515-K$2</f>
        <v>0.14119999999999999</v>
      </c>
      <c r="F515">
        <f t="shared" ref="F515:F578" si="33">K$3+K$4*E515</f>
        <v>0.10737965001975351</v>
      </c>
      <c r="G515">
        <f t="shared" ref="G515:G578" si="34">C515-F515</f>
        <v>-1.6274796500197535</v>
      </c>
      <c r="H515">
        <f t="shared" si="31"/>
        <v>20.069792345929425</v>
      </c>
    </row>
    <row r="516" spans="1:8" hidden="1" x14ac:dyDescent="0.25">
      <c r="A516" s="2" t="s">
        <v>10</v>
      </c>
      <c r="B516" s="3">
        <v>42402</v>
      </c>
      <c r="C516" s="4">
        <v>-2.6608999999999998</v>
      </c>
      <c r="D516" s="4">
        <v>-0.31580000000000003</v>
      </c>
      <c r="E516" s="22">
        <f t="shared" si="32"/>
        <v>-0.31880000000000003</v>
      </c>
      <c r="F516">
        <f t="shared" si="33"/>
        <v>-0.20003843577956715</v>
      </c>
      <c r="G516">
        <f t="shared" si="34"/>
        <v>-2.4608615642204326</v>
      </c>
      <c r="H516">
        <f t="shared" ref="H516:H579" si="35">H515+G516</f>
        <v>17.608930781708992</v>
      </c>
    </row>
    <row r="517" spans="1:8" hidden="1" x14ac:dyDescent="0.25">
      <c r="A517" s="2" t="s">
        <v>10</v>
      </c>
      <c r="B517" s="3">
        <v>42403</v>
      </c>
      <c r="C517" s="4">
        <v>-1.1299999999999999</v>
      </c>
      <c r="D517" s="4">
        <v>-0.84279999999999999</v>
      </c>
      <c r="E517" s="22">
        <f t="shared" si="32"/>
        <v>-0.8458</v>
      </c>
      <c r="F517">
        <f t="shared" si="33"/>
        <v>-0.5522326340757453</v>
      </c>
      <c r="G517">
        <f t="shared" si="34"/>
        <v>-0.57776736592425459</v>
      </c>
      <c r="H517">
        <f t="shared" si="35"/>
        <v>17.031163415784736</v>
      </c>
    </row>
    <row r="518" spans="1:8" hidden="1" x14ac:dyDescent="0.25">
      <c r="A518" s="2" t="s">
        <v>10</v>
      </c>
      <c r="B518" s="3">
        <v>42415</v>
      </c>
      <c r="C518" s="4">
        <v>-1.2579</v>
      </c>
      <c r="D518" s="4">
        <v>4.3499999999999997E-2</v>
      </c>
      <c r="E518" s="22">
        <f t="shared" si="32"/>
        <v>4.0499999999999994E-2</v>
      </c>
      <c r="F518">
        <f t="shared" si="33"/>
        <v>4.0081821237163098E-2</v>
      </c>
      <c r="G518">
        <f t="shared" si="34"/>
        <v>-1.2979818212371632</v>
      </c>
      <c r="H518">
        <f t="shared" si="35"/>
        <v>15.733181594547572</v>
      </c>
    </row>
    <row r="519" spans="1:8" hidden="1" x14ac:dyDescent="0.25">
      <c r="A519" s="2" t="s">
        <v>10</v>
      </c>
      <c r="B519" s="3">
        <v>42416</v>
      </c>
      <c r="C519" s="4">
        <v>1.2579</v>
      </c>
      <c r="D519" s="4">
        <v>1.7884</v>
      </c>
      <c r="E519" s="22">
        <f t="shared" si="32"/>
        <v>1.7854000000000001</v>
      </c>
      <c r="F519">
        <f t="shared" si="33"/>
        <v>1.2061988166963689</v>
      </c>
      <c r="G519">
        <f t="shared" si="34"/>
        <v>5.170118330363116E-2</v>
      </c>
      <c r="H519">
        <f t="shared" si="35"/>
        <v>15.784882777851204</v>
      </c>
    </row>
    <row r="520" spans="1:8" hidden="1" x14ac:dyDescent="0.25">
      <c r="A520" s="2" t="s">
        <v>10</v>
      </c>
      <c r="B520" s="3">
        <v>42417</v>
      </c>
      <c r="C520" s="4">
        <v>0.67949999999999999</v>
      </c>
      <c r="D520" s="4">
        <v>2.6499999999999999E-2</v>
      </c>
      <c r="E520" s="22">
        <f t="shared" si="32"/>
        <v>2.35E-2</v>
      </c>
      <c r="F520">
        <f t="shared" si="33"/>
        <v>2.8720718066318644E-2</v>
      </c>
      <c r="G520">
        <f t="shared" si="34"/>
        <v>0.6507792819336814</v>
      </c>
      <c r="H520">
        <f t="shared" si="35"/>
        <v>16.435662059784885</v>
      </c>
    </row>
    <row r="521" spans="1:8" hidden="1" x14ac:dyDescent="0.25">
      <c r="A521" s="2" t="s">
        <v>10</v>
      </c>
      <c r="B521" s="3">
        <v>42418</v>
      </c>
      <c r="C521" s="4">
        <v>0.1128</v>
      </c>
      <c r="D521" s="4">
        <v>1.2151000000000001</v>
      </c>
      <c r="E521" s="22">
        <f t="shared" si="32"/>
        <v>1.2121000000000002</v>
      </c>
      <c r="F521">
        <f t="shared" si="33"/>
        <v>0.82306231976430244</v>
      </c>
      <c r="G521">
        <f t="shared" si="34"/>
        <v>-0.71026231976430243</v>
      </c>
      <c r="H521">
        <f t="shared" si="35"/>
        <v>15.725399740020583</v>
      </c>
    </row>
    <row r="522" spans="1:8" hidden="1" x14ac:dyDescent="0.25">
      <c r="A522" s="2" t="s">
        <v>10</v>
      </c>
      <c r="B522" s="3">
        <v>42419</v>
      </c>
      <c r="C522" s="4">
        <v>-0.7923</v>
      </c>
      <c r="D522" s="4">
        <v>0.1246</v>
      </c>
      <c r="E522" s="22">
        <f t="shared" si="32"/>
        <v>0.1216</v>
      </c>
      <c r="F522">
        <f t="shared" si="33"/>
        <v>9.4280966363956373E-2</v>
      </c>
      <c r="G522">
        <f t="shared" si="34"/>
        <v>-0.88658096636395634</v>
      </c>
      <c r="H522">
        <f t="shared" si="35"/>
        <v>14.838818773656627</v>
      </c>
    </row>
    <row r="523" spans="1:8" hidden="1" x14ac:dyDescent="0.25">
      <c r="A523" s="2" t="s">
        <v>10</v>
      </c>
      <c r="B523" s="3">
        <v>42422</v>
      </c>
      <c r="C523" s="4">
        <v>5.7411000000000003</v>
      </c>
      <c r="D523" s="4">
        <v>1.9699999999999999E-2</v>
      </c>
      <c r="E523" s="22">
        <f t="shared" si="32"/>
        <v>1.67E-2</v>
      </c>
      <c r="F523">
        <f t="shared" si="33"/>
        <v>2.4176276797980862E-2</v>
      </c>
      <c r="G523">
        <f t="shared" si="34"/>
        <v>5.7169237232020196</v>
      </c>
      <c r="H523">
        <f t="shared" si="35"/>
        <v>20.555742496858645</v>
      </c>
    </row>
    <row r="524" spans="1:8" hidden="1" x14ac:dyDescent="0.25">
      <c r="A524" s="2" t="s">
        <v>10</v>
      </c>
      <c r="B524" s="3">
        <v>42423</v>
      </c>
      <c r="C524" s="4">
        <v>-1.6225000000000001</v>
      </c>
      <c r="D524" s="4">
        <v>9.5600000000000004E-2</v>
      </c>
      <c r="E524" s="22">
        <f t="shared" si="32"/>
        <v>9.2600000000000002E-2</v>
      </c>
      <c r="F524">
        <f t="shared" si="33"/>
        <v>7.4900260954868764E-2</v>
      </c>
      <c r="G524">
        <f t="shared" si="34"/>
        <v>-1.6974002609548688</v>
      </c>
      <c r="H524">
        <f t="shared" si="35"/>
        <v>18.858342235903777</v>
      </c>
    </row>
    <row r="525" spans="1:8" hidden="1" x14ac:dyDescent="0.25">
      <c r="A525" s="2" t="s">
        <v>10</v>
      </c>
      <c r="B525" s="3">
        <v>42424</v>
      </c>
      <c r="C525" s="4">
        <v>-0.98629999999999995</v>
      </c>
      <c r="D525" s="4">
        <v>-0.62319999999999998</v>
      </c>
      <c r="E525" s="22">
        <f t="shared" si="32"/>
        <v>-0.62619999999999998</v>
      </c>
      <c r="F525">
        <f t="shared" si="33"/>
        <v>-0.4054739131158957</v>
      </c>
      <c r="G525">
        <f t="shared" si="34"/>
        <v>-0.5808260868841042</v>
      </c>
      <c r="H525">
        <f t="shared" si="35"/>
        <v>18.277516149019672</v>
      </c>
    </row>
    <row r="526" spans="1:8" hidden="1" x14ac:dyDescent="0.25">
      <c r="A526" s="2" t="s">
        <v>10</v>
      </c>
      <c r="B526" s="3">
        <v>42425</v>
      </c>
      <c r="C526" s="4">
        <v>1.5301</v>
      </c>
      <c r="D526" s="4">
        <v>0.99709999999999999</v>
      </c>
      <c r="E526" s="22">
        <f t="shared" si="32"/>
        <v>0.99409999999999998</v>
      </c>
      <c r="F526">
        <f t="shared" si="33"/>
        <v>0.67737287910288513</v>
      </c>
      <c r="G526">
        <f t="shared" si="34"/>
        <v>0.85272712089711489</v>
      </c>
      <c r="H526">
        <f t="shared" si="35"/>
        <v>19.130243269916786</v>
      </c>
    </row>
    <row r="527" spans="1:8" hidden="1" x14ac:dyDescent="0.25">
      <c r="A527" s="2" t="s">
        <v>10</v>
      </c>
      <c r="B527" s="3">
        <v>42426</v>
      </c>
      <c r="C527" s="4">
        <v>-0.43480000000000002</v>
      </c>
      <c r="D527" s="4">
        <v>0.54</v>
      </c>
      <c r="E527" s="22">
        <f t="shared" si="32"/>
        <v>0.53700000000000003</v>
      </c>
      <c r="F527">
        <f t="shared" si="33"/>
        <v>0.37189286384447334</v>
      </c>
      <c r="G527">
        <f t="shared" si="34"/>
        <v>-0.80669286384447336</v>
      </c>
      <c r="H527">
        <f t="shared" si="35"/>
        <v>18.323550406072311</v>
      </c>
    </row>
    <row r="528" spans="1:8" hidden="1" x14ac:dyDescent="0.25">
      <c r="A528" s="2" t="s">
        <v>10</v>
      </c>
      <c r="B528" s="3">
        <v>42430</v>
      </c>
      <c r="C528" s="4">
        <v>1.4061999999999999</v>
      </c>
      <c r="D528" s="4">
        <v>0.88219999999999998</v>
      </c>
      <c r="E528" s="22">
        <f t="shared" si="32"/>
        <v>0.87919999999999998</v>
      </c>
      <c r="F528">
        <f t="shared" si="33"/>
        <v>0.60058518767170699</v>
      </c>
      <c r="G528">
        <f t="shared" si="34"/>
        <v>0.80561481232829291</v>
      </c>
      <c r="H528">
        <f t="shared" si="35"/>
        <v>19.129165218400605</v>
      </c>
    </row>
    <row r="529" spans="1:8" hidden="1" x14ac:dyDescent="0.25">
      <c r="A529" s="2" t="s">
        <v>10</v>
      </c>
      <c r="B529" s="3">
        <v>42431</v>
      </c>
      <c r="C529" s="4">
        <v>0.53559999999999997</v>
      </c>
      <c r="D529" s="4">
        <v>0.68540000000000001</v>
      </c>
      <c r="E529" s="22">
        <f t="shared" si="32"/>
        <v>0.68240000000000001</v>
      </c>
      <c r="F529">
        <f t="shared" si="33"/>
        <v>0.46906371096451943</v>
      </c>
      <c r="G529">
        <f t="shared" si="34"/>
        <v>6.6536289035480534E-2</v>
      </c>
      <c r="H529">
        <f t="shared" si="35"/>
        <v>19.195701507436084</v>
      </c>
    </row>
    <row r="530" spans="1:8" hidden="1" x14ac:dyDescent="0.25">
      <c r="A530" s="2" t="s">
        <v>10</v>
      </c>
      <c r="B530" s="3">
        <v>42432</v>
      </c>
      <c r="C530" s="4">
        <v>5.7099000000000002</v>
      </c>
      <c r="D530" s="4">
        <v>0.78969999999999996</v>
      </c>
      <c r="E530" s="22">
        <f t="shared" si="32"/>
        <v>0.78669999999999995</v>
      </c>
      <c r="F530">
        <f t="shared" si="33"/>
        <v>0.53876742041858272</v>
      </c>
      <c r="G530">
        <f t="shared" si="34"/>
        <v>5.1711325795814176</v>
      </c>
      <c r="H530">
        <f t="shared" si="35"/>
        <v>24.366834087017502</v>
      </c>
    </row>
    <row r="531" spans="1:8" hidden="1" x14ac:dyDescent="0.25">
      <c r="A531" s="2" t="s">
        <v>10</v>
      </c>
      <c r="B531" s="3">
        <v>42433</v>
      </c>
      <c r="C531" s="4">
        <v>0.30230000000000001</v>
      </c>
      <c r="D531" s="4">
        <v>0.36809999999999998</v>
      </c>
      <c r="E531" s="22">
        <f t="shared" si="32"/>
        <v>0.36509999999999998</v>
      </c>
      <c r="F531">
        <f t="shared" si="33"/>
        <v>0.25701206178164021</v>
      </c>
      <c r="G531">
        <f t="shared" si="34"/>
        <v>4.5287938218359802E-2</v>
      </c>
      <c r="H531">
        <f t="shared" si="35"/>
        <v>24.41212202523586</v>
      </c>
    </row>
    <row r="532" spans="1:8" hidden="1" x14ac:dyDescent="0.25">
      <c r="A532" s="2" t="s">
        <v>10</v>
      </c>
      <c r="B532" s="3">
        <v>42436</v>
      </c>
      <c r="C532" s="4">
        <v>1.0009999999999999</v>
      </c>
      <c r="D532" s="4">
        <v>0.18490000000000001</v>
      </c>
      <c r="E532" s="22">
        <f t="shared" si="32"/>
        <v>0.18190000000000001</v>
      </c>
      <c r="F532">
        <f t="shared" si="33"/>
        <v>0.13457946761112818</v>
      </c>
      <c r="G532">
        <f t="shared" si="34"/>
        <v>0.86642053238887173</v>
      </c>
      <c r="H532">
        <f t="shared" si="35"/>
        <v>25.278542557624732</v>
      </c>
    </row>
    <row r="533" spans="1:8" hidden="1" x14ac:dyDescent="0.25">
      <c r="A533" s="2" t="s">
        <v>10</v>
      </c>
      <c r="B533" s="3">
        <v>42437</v>
      </c>
      <c r="C533" s="4">
        <v>-1.4041999999999999</v>
      </c>
      <c r="D533" s="4">
        <v>5.5E-2</v>
      </c>
      <c r="E533" s="22">
        <f t="shared" si="32"/>
        <v>5.1999999999999998E-2</v>
      </c>
      <c r="F533">
        <f t="shared" si="33"/>
        <v>4.7767273382146119E-2</v>
      </c>
      <c r="G533">
        <f t="shared" si="34"/>
        <v>-1.451967273382146</v>
      </c>
      <c r="H533">
        <f t="shared" si="35"/>
        <v>23.826575284242587</v>
      </c>
    </row>
    <row r="534" spans="1:8" hidden="1" x14ac:dyDescent="0.25">
      <c r="A534" s="2" t="s">
        <v>10</v>
      </c>
      <c r="B534" s="3">
        <v>42438</v>
      </c>
      <c r="C534" s="4">
        <v>-1.6294</v>
      </c>
      <c r="D534" s="4">
        <v>-0.34920000000000001</v>
      </c>
      <c r="E534" s="22">
        <f t="shared" si="32"/>
        <v>-0.35220000000000001</v>
      </c>
      <c r="F534">
        <f t="shared" si="33"/>
        <v>-0.2223596620093439</v>
      </c>
      <c r="G534">
        <f t="shared" si="34"/>
        <v>-1.407040337990656</v>
      </c>
      <c r="H534">
        <f t="shared" si="35"/>
        <v>22.419534946251932</v>
      </c>
    </row>
    <row r="535" spans="1:8" hidden="1" x14ac:dyDescent="0.25">
      <c r="A535" s="2" t="s">
        <v>10</v>
      </c>
      <c r="B535" s="3">
        <v>42439</v>
      </c>
      <c r="C535" s="4">
        <v>0.2051</v>
      </c>
      <c r="D535" s="4">
        <v>0.3075</v>
      </c>
      <c r="E535" s="22">
        <f t="shared" si="32"/>
        <v>0.30449999999999999</v>
      </c>
      <c r="F535">
        <f t="shared" si="33"/>
        <v>0.21651307047851234</v>
      </c>
      <c r="G535">
        <f t="shared" si="34"/>
        <v>-1.1413070478512338E-2</v>
      </c>
      <c r="H535">
        <f t="shared" si="35"/>
        <v>22.408121875773421</v>
      </c>
    </row>
    <row r="536" spans="1:8" hidden="1" x14ac:dyDescent="0.25">
      <c r="A536" s="2" t="s">
        <v>10</v>
      </c>
      <c r="B536" s="3">
        <v>42440</v>
      </c>
      <c r="C536" s="4">
        <v>2.2290999999999999</v>
      </c>
      <c r="D536" s="4">
        <v>0.52329999999999999</v>
      </c>
      <c r="E536" s="22">
        <f t="shared" si="32"/>
        <v>0.52029999999999998</v>
      </c>
      <c r="F536">
        <f t="shared" si="33"/>
        <v>0.36073225072958492</v>
      </c>
      <c r="G536">
        <f t="shared" si="34"/>
        <v>1.8683677492704149</v>
      </c>
      <c r="H536">
        <f t="shared" si="35"/>
        <v>24.276489625043837</v>
      </c>
    </row>
    <row r="537" spans="1:8" hidden="1" x14ac:dyDescent="0.25">
      <c r="A537" s="2" t="s">
        <v>10</v>
      </c>
      <c r="B537" s="3">
        <v>42443</v>
      </c>
      <c r="C537" s="4">
        <v>-0.2006</v>
      </c>
      <c r="D537" s="4">
        <v>0.47849999999999998</v>
      </c>
      <c r="E537" s="22">
        <f t="shared" si="32"/>
        <v>0.47549999999999998</v>
      </c>
      <c r="F537">
        <f t="shared" si="33"/>
        <v>0.33079240237347718</v>
      </c>
      <c r="G537">
        <f t="shared" si="34"/>
        <v>-0.53139240237347718</v>
      </c>
      <c r="H537">
        <f t="shared" si="35"/>
        <v>23.74509722267036</v>
      </c>
    </row>
    <row r="538" spans="1:8" hidden="1" x14ac:dyDescent="0.25">
      <c r="A538" s="2" t="s">
        <v>10</v>
      </c>
      <c r="B538" s="3">
        <v>42444</v>
      </c>
      <c r="C538" s="4">
        <v>-2.1309999999999998</v>
      </c>
      <c r="D538" s="4">
        <v>-1.5751999999999999</v>
      </c>
      <c r="E538" s="22">
        <f t="shared" si="32"/>
        <v>-1.5781999999999998</v>
      </c>
      <c r="F538">
        <f t="shared" si="33"/>
        <v>-1.0416956906831853</v>
      </c>
      <c r="G538">
        <f t="shared" si="34"/>
        <v>-1.0893043093168144</v>
      </c>
      <c r="H538">
        <f t="shared" si="35"/>
        <v>22.655792913353544</v>
      </c>
    </row>
    <row r="539" spans="1:8" hidden="1" x14ac:dyDescent="0.25">
      <c r="A539" s="2" t="s">
        <v>10</v>
      </c>
      <c r="B539" s="3">
        <v>42445</v>
      </c>
      <c r="C539" s="4">
        <v>0.10249999999999999</v>
      </c>
      <c r="D539" s="4">
        <v>1.0163</v>
      </c>
      <c r="E539" s="22">
        <f t="shared" si="32"/>
        <v>1.0133000000000001</v>
      </c>
      <c r="F539">
        <f t="shared" si="33"/>
        <v>0.69020424268407432</v>
      </c>
      <c r="G539">
        <f t="shared" si="34"/>
        <v>-0.58770424268407429</v>
      </c>
      <c r="H539">
        <f t="shared" si="35"/>
        <v>22.068088670669468</v>
      </c>
    </row>
    <row r="540" spans="1:8" hidden="1" x14ac:dyDescent="0.25">
      <c r="A540" s="2" t="s">
        <v>10</v>
      </c>
      <c r="B540" s="3">
        <v>42446</v>
      </c>
      <c r="C540" s="4">
        <v>-1.3409</v>
      </c>
      <c r="D540" s="4">
        <v>0.40610000000000002</v>
      </c>
      <c r="E540" s="22">
        <f t="shared" si="32"/>
        <v>0.40310000000000001</v>
      </c>
      <c r="F540">
        <f t="shared" si="33"/>
        <v>0.28240746886941021</v>
      </c>
      <c r="G540">
        <f t="shared" si="34"/>
        <v>-1.6233074688694102</v>
      </c>
      <c r="H540">
        <f t="shared" si="35"/>
        <v>20.444781201800058</v>
      </c>
    </row>
    <row r="541" spans="1:8" hidden="1" x14ac:dyDescent="0.25">
      <c r="A541" s="2" t="s">
        <v>10</v>
      </c>
      <c r="B541" s="3">
        <v>42447</v>
      </c>
      <c r="C541" s="4">
        <v>1.1357999999999999</v>
      </c>
      <c r="D541" s="4">
        <v>0.86829999999999996</v>
      </c>
      <c r="E541" s="22">
        <f t="shared" si="32"/>
        <v>0.86529999999999996</v>
      </c>
      <c r="F541">
        <f t="shared" si="33"/>
        <v>0.59129581507907536</v>
      </c>
      <c r="G541">
        <f t="shared" si="34"/>
        <v>0.54450418492092456</v>
      </c>
      <c r="H541">
        <f t="shared" si="35"/>
        <v>20.989285386720983</v>
      </c>
    </row>
    <row r="542" spans="1:8" hidden="1" x14ac:dyDescent="0.25">
      <c r="A542" s="2" t="s">
        <v>10</v>
      </c>
      <c r="B542" s="3">
        <v>42450</v>
      </c>
      <c r="C542" s="4">
        <v>0.81799999999999995</v>
      </c>
      <c r="D542" s="4">
        <v>2.2599999999999999E-2</v>
      </c>
      <c r="E542" s="22">
        <f t="shared" si="32"/>
        <v>1.9599999999999999E-2</v>
      </c>
      <c r="F542">
        <f t="shared" si="33"/>
        <v>2.6114347338889621E-2</v>
      </c>
      <c r="G542">
        <f t="shared" si="34"/>
        <v>0.79188565266111033</v>
      </c>
      <c r="H542">
        <f t="shared" si="35"/>
        <v>21.781171039382095</v>
      </c>
    </row>
    <row r="543" spans="1:8" hidden="1" x14ac:dyDescent="0.25">
      <c r="A543" s="2" t="s">
        <v>10</v>
      </c>
      <c r="B543" s="3">
        <v>42451</v>
      </c>
      <c r="C543" s="4">
        <v>0</v>
      </c>
      <c r="D543" s="4">
        <v>-0.30709999999999998</v>
      </c>
      <c r="E543" s="22">
        <f t="shared" si="32"/>
        <v>-0.31009999999999999</v>
      </c>
      <c r="F543">
        <f t="shared" si="33"/>
        <v>-0.19422422415684082</v>
      </c>
      <c r="G543">
        <f t="shared" si="34"/>
        <v>0.19422422415684082</v>
      </c>
      <c r="H543">
        <f t="shared" si="35"/>
        <v>21.975395263538935</v>
      </c>
    </row>
    <row r="544" spans="1:8" hidden="1" x14ac:dyDescent="0.25">
      <c r="A544" s="2" t="s">
        <v>10</v>
      </c>
      <c r="B544" s="3">
        <v>42452</v>
      </c>
      <c r="C544" s="4">
        <v>0.71030000000000004</v>
      </c>
      <c r="D544" s="4">
        <v>-0.22320000000000001</v>
      </c>
      <c r="E544" s="22">
        <f t="shared" si="32"/>
        <v>-0.22620000000000001</v>
      </c>
      <c r="F544">
        <f t="shared" si="33"/>
        <v>-0.13815383850779084</v>
      </c>
      <c r="G544">
        <f t="shared" si="34"/>
        <v>0.84845383850779088</v>
      </c>
      <c r="H544">
        <f t="shared" si="35"/>
        <v>22.823849102046726</v>
      </c>
    </row>
    <row r="545" spans="1:8" hidden="1" x14ac:dyDescent="0.25">
      <c r="A545" s="2" t="s">
        <v>10</v>
      </c>
      <c r="B545" s="3">
        <v>42453</v>
      </c>
      <c r="C545" s="4">
        <v>-0.50680000000000003</v>
      </c>
      <c r="D545" s="4">
        <v>-0.25940000000000002</v>
      </c>
      <c r="E545" s="22">
        <f t="shared" si="32"/>
        <v>-0.26240000000000002</v>
      </c>
      <c r="F545">
        <f t="shared" si="33"/>
        <v>-0.16234630525982435</v>
      </c>
      <c r="G545">
        <f t="shared" si="34"/>
        <v>-0.34445369474017568</v>
      </c>
      <c r="H545">
        <f t="shared" si="35"/>
        <v>22.479395407306551</v>
      </c>
    </row>
    <row r="546" spans="1:8" hidden="1" x14ac:dyDescent="0.25">
      <c r="A546" s="2" t="s">
        <v>10</v>
      </c>
      <c r="B546" s="3">
        <v>42454</v>
      </c>
      <c r="C546" s="4">
        <v>-0.30530000000000002</v>
      </c>
      <c r="D546" s="4">
        <v>-0.44030000000000002</v>
      </c>
      <c r="E546" s="22">
        <f t="shared" si="32"/>
        <v>-0.44330000000000003</v>
      </c>
      <c r="F546">
        <f t="shared" si="33"/>
        <v>-0.28324180900133977</v>
      </c>
      <c r="G546">
        <f t="shared" si="34"/>
        <v>-2.2058190998660243E-2</v>
      </c>
      <c r="H546">
        <f t="shared" si="35"/>
        <v>22.457337216307891</v>
      </c>
    </row>
    <row r="547" spans="1:8" hidden="1" x14ac:dyDescent="0.25">
      <c r="A547" s="2" t="s">
        <v>10</v>
      </c>
      <c r="B547" s="3">
        <v>42457</v>
      </c>
      <c r="C547" s="4">
        <v>0.1019</v>
      </c>
      <c r="D547" s="4">
        <v>-0.16689999999999999</v>
      </c>
      <c r="E547" s="22">
        <f t="shared" si="32"/>
        <v>-0.1699</v>
      </c>
      <c r="F547">
        <f t="shared" si="33"/>
        <v>-0.10052853800670007</v>
      </c>
      <c r="G547">
        <f t="shared" si="34"/>
        <v>0.20242853800670008</v>
      </c>
      <c r="H547">
        <f t="shared" si="35"/>
        <v>22.659765754314591</v>
      </c>
    </row>
    <row r="548" spans="1:8" hidden="1" x14ac:dyDescent="0.25">
      <c r="A548" s="2" t="s">
        <v>10</v>
      </c>
      <c r="B548" s="3">
        <v>42458</v>
      </c>
      <c r="C548" s="4">
        <v>-0.6129</v>
      </c>
      <c r="D548" s="4">
        <v>-0.84470000000000001</v>
      </c>
      <c r="E548" s="22">
        <f t="shared" si="32"/>
        <v>-0.84770000000000001</v>
      </c>
      <c r="F548">
        <f t="shared" si="33"/>
        <v>-0.55350240443013388</v>
      </c>
      <c r="G548">
        <f t="shared" si="34"/>
        <v>-5.9397595569866124E-2</v>
      </c>
      <c r="H548">
        <f t="shared" si="35"/>
        <v>22.600368158744725</v>
      </c>
    </row>
    <row r="549" spans="1:8" hidden="1" x14ac:dyDescent="0.25">
      <c r="A549" s="2" t="s">
        <v>10</v>
      </c>
      <c r="B549" s="3">
        <v>42459</v>
      </c>
      <c r="C549" s="4">
        <v>0</v>
      </c>
      <c r="D549" s="4">
        <v>1.3794</v>
      </c>
      <c r="E549" s="22">
        <f t="shared" si="32"/>
        <v>1.3764000000000001</v>
      </c>
      <c r="F549">
        <f t="shared" si="33"/>
        <v>0.93286404040958149</v>
      </c>
      <c r="G549">
        <f t="shared" si="34"/>
        <v>-0.93286404040958149</v>
      </c>
      <c r="H549">
        <f t="shared" si="35"/>
        <v>21.667504118335145</v>
      </c>
    </row>
    <row r="550" spans="1:8" hidden="1" x14ac:dyDescent="0.25">
      <c r="A550" s="2" t="s">
        <v>10</v>
      </c>
      <c r="B550" s="3">
        <v>42460</v>
      </c>
      <c r="C550" s="4">
        <v>1.0194000000000001</v>
      </c>
      <c r="D550" s="4">
        <v>8.9099999999999999E-2</v>
      </c>
      <c r="E550" s="22">
        <f t="shared" si="32"/>
        <v>8.6099999999999996E-2</v>
      </c>
      <c r="F550">
        <f t="shared" si="33"/>
        <v>7.0556309742487056E-2</v>
      </c>
      <c r="G550">
        <f t="shared" si="34"/>
        <v>0.94884369025751303</v>
      </c>
      <c r="H550">
        <f t="shared" si="35"/>
        <v>22.616347808592657</v>
      </c>
    </row>
    <row r="551" spans="1:8" hidden="1" x14ac:dyDescent="0.25">
      <c r="A551" s="2" t="s">
        <v>10</v>
      </c>
      <c r="B551" s="3">
        <v>42461</v>
      </c>
      <c r="C551" s="4">
        <v>0.2026</v>
      </c>
      <c r="D551" s="4">
        <v>-1.0031000000000001</v>
      </c>
      <c r="E551" s="22">
        <f t="shared" si="32"/>
        <v>-1.0061</v>
      </c>
      <c r="F551">
        <f t="shared" si="33"/>
        <v>-0.65936115397494333</v>
      </c>
      <c r="G551">
        <f t="shared" si="34"/>
        <v>0.86196115397494333</v>
      </c>
      <c r="H551">
        <f t="shared" si="35"/>
        <v>23.478308962567599</v>
      </c>
    </row>
    <row r="552" spans="1:8" hidden="1" x14ac:dyDescent="0.25">
      <c r="A552" s="2" t="s">
        <v>10</v>
      </c>
      <c r="B552" s="3">
        <v>42466</v>
      </c>
      <c r="C552" s="4">
        <v>-2.4590999999999998</v>
      </c>
      <c r="D552" s="4">
        <v>-1.6801999999999999</v>
      </c>
      <c r="E552" s="22">
        <f t="shared" si="32"/>
        <v>-1.6831999999999998</v>
      </c>
      <c r="F552">
        <f t="shared" si="33"/>
        <v>-1.1118672102678129</v>
      </c>
      <c r="G552">
        <f t="shared" si="34"/>
        <v>-1.347232789732187</v>
      </c>
      <c r="H552">
        <f t="shared" si="35"/>
        <v>22.131076172835414</v>
      </c>
    </row>
    <row r="553" spans="1:8" hidden="1" x14ac:dyDescent="0.25">
      <c r="A553" s="2" t="s">
        <v>10</v>
      </c>
      <c r="B553" s="3">
        <v>42467</v>
      </c>
      <c r="C553" s="4">
        <v>-3.1615000000000002</v>
      </c>
      <c r="D553" s="4">
        <v>-0.27110000000000001</v>
      </c>
      <c r="E553" s="22">
        <f t="shared" si="32"/>
        <v>-0.27410000000000001</v>
      </c>
      <c r="F553">
        <f t="shared" si="33"/>
        <v>-0.17016541744211142</v>
      </c>
      <c r="G553">
        <f t="shared" si="34"/>
        <v>-2.9913345825578888</v>
      </c>
      <c r="H553">
        <f t="shared" si="35"/>
        <v>19.139741590277524</v>
      </c>
    </row>
    <row r="554" spans="1:8" hidden="1" x14ac:dyDescent="0.25">
      <c r="A554" s="2" t="s">
        <v>10</v>
      </c>
      <c r="B554" s="3">
        <v>42468</v>
      </c>
      <c r="C554" s="4">
        <v>1.3823000000000001</v>
      </c>
      <c r="D554" s="4">
        <v>0.6018</v>
      </c>
      <c r="E554" s="22">
        <f t="shared" si="32"/>
        <v>0.5988</v>
      </c>
      <c r="F554">
        <f t="shared" si="33"/>
        <v>0.41319381537142552</v>
      </c>
      <c r="G554">
        <f t="shared" si="34"/>
        <v>0.96910618462857456</v>
      </c>
      <c r="H554">
        <f t="shared" si="35"/>
        <v>20.108847774906099</v>
      </c>
    </row>
    <row r="555" spans="1:8" hidden="1" x14ac:dyDescent="0.25">
      <c r="A555" s="2" t="s">
        <v>10</v>
      </c>
      <c r="B555" s="3">
        <v>42471</v>
      </c>
      <c r="C555" s="4">
        <v>-0.7419</v>
      </c>
      <c r="D555" s="4">
        <v>0.24660000000000001</v>
      </c>
      <c r="E555" s="22">
        <f t="shared" si="32"/>
        <v>0.24360000000000001</v>
      </c>
      <c r="F555">
        <f t="shared" si="33"/>
        <v>0.17581358911942838</v>
      </c>
      <c r="G555">
        <f t="shared" si="34"/>
        <v>-0.91771358911942835</v>
      </c>
      <c r="H555">
        <f t="shared" si="35"/>
        <v>19.19113418578667</v>
      </c>
    </row>
    <row r="556" spans="1:8" hidden="1" x14ac:dyDescent="0.25">
      <c r="A556" s="2" t="s">
        <v>10</v>
      </c>
      <c r="B556" s="3">
        <v>42472</v>
      </c>
      <c r="C556" s="4">
        <v>-0.96209999999999996</v>
      </c>
      <c r="D556" s="4">
        <v>-0.36749999999999999</v>
      </c>
      <c r="E556" s="22">
        <f t="shared" si="32"/>
        <v>-0.3705</v>
      </c>
      <c r="F556">
        <f t="shared" si="33"/>
        <v>-0.23458955542266469</v>
      </c>
      <c r="G556">
        <f t="shared" si="34"/>
        <v>-0.72751044457733527</v>
      </c>
      <c r="H556">
        <f t="shared" si="35"/>
        <v>18.463623741209336</v>
      </c>
    </row>
    <row r="557" spans="1:8" hidden="1" x14ac:dyDescent="0.25">
      <c r="A557" s="2" t="s">
        <v>10</v>
      </c>
      <c r="B557" s="3">
        <v>42473</v>
      </c>
      <c r="C557" s="4">
        <v>0.32169999999999999</v>
      </c>
      <c r="D557" s="4">
        <v>1.4072</v>
      </c>
      <c r="E557" s="22">
        <f t="shared" si="32"/>
        <v>1.4042000000000001</v>
      </c>
      <c r="F557">
        <f t="shared" si="33"/>
        <v>0.95144278559484474</v>
      </c>
      <c r="G557">
        <f t="shared" si="34"/>
        <v>-0.62974278559484476</v>
      </c>
      <c r="H557">
        <f t="shared" si="35"/>
        <v>17.833880955614489</v>
      </c>
    </row>
    <row r="558" spans="1:8" hidden="1" x14ac:dyDescent="0.25">
      <c r="A558" s="2" t="s">
        <v>10</v>
      </c>
      <c r="B558" s="3">
        <v>42474</v>
      </c>
      <c r="C558" s="4">
        <v>1.2766</v>
      </c>
      <c r="D558" s="4">
        <v>0.18049999999999999</v>
      </c>
      <c r="E558" s="22">
        <f t="shared" si="32"/>
        <v>0.17749999999999999</v>
      </c>
      <c r="F558">
        <f t="shared" si="33"/>
        <v>0.13163894679043903</v>
      </c>
      <c r="G558">
        <f t="shared" si="34"/>
        <v>1.1449610532095609</v>
      </c>
      <c r="H558">
        <f t="shared" si="35"/>
        <v>18.978842008824049</v>
      </c>
    </row>
    <row r="559" spans="1:8" hidden="1" x14ac:dyDescent="0.25">
      <c r="A559" s="2" t="s">
        <v>10</v>
      </c>
      <c r="B559" s="3">
        <v>42475</v>
      </c>
      <c r="C559" s="4">
        <v>-0.42370000000000002</v>
      </c>
      <c r="D559" s="4">
        <v>0.37630000000000002</v>
      </c>
      <c r="E559" s="22">
        <f t="shared" si="32"/>
        <v>0.37330000000000002</v>
      </c>
      <c r="F559">
        <f t="shared" si="33"/>
        <v>0.26249212331110638</v>
      </c>
      <c r="G559">
        <f t="shared" si="34"/>
        <v>-0.68619212331110635</v>
      </c>
      <c r="H559">
        <f t="shared" si="35"/>
        <v>18.292649885512944</v>
      </c>
    </row>
    <row r="560" spans="1:8" hidden="1" x14ac:dyDescent="0.25">
      <c r="A560" s="2" t="s">
        <v>10</v>
      </c>
      <c r="B560" s="3">
        <v>42478</v>
      </c>
      <c r="C560" s="4">
        <v>0.42370000000000002</v>
      </c>
      <c r="D560" s="4">
        <v>-0.39589999999999997</v>
      </c>
      <c r="E560" s="22">
        <f t="shared" si="32"/>
        <v>-0.39889999999999998</v>
      </c>
      <c r="F560">
        <f t="shared" si="33"/>
        <v>-0.25356928071984008</v>
      </c>
      <c r="G560">
        <f t="shared" si="34"/>
        <v>0.67726928071984016</v>
      </c>
      <c r="H560">
        <f t="shared" si="35"/>
        <v>18.969919166232785</v>
      </c>
    </row>
    <row r="561" spans="1:8" hidden="1" x14ac:dyDescent="0.25">
      <c r="A561" s="2" t="s">
        <v>10</v>
      </c>
      <c r="B561" s="3">
        <v>42479</v>
      </c>
      <c r="C561" s="4">
        <v>-1.0627</v>
      </c>
      <c r="D561" s="4">
        <v>-0.37330000000000002</v>
      </c>
      <c r="E561" s="22">
        <f t="shared" si="32"/>
        <v>-0.37630000000000002</v>
      </c>
      <c r="F561">
        <f t="shared" si="33"/>
        <v>-0.23846569650448224</v>
      </c>
      <c r="G561">
        <f t="shared" si="34"/>
        <v>-0.82423430349551774</v>
      </c>
      <c r="H561">
        <f t="shared" si="35"/>
        <v>18.145684862737266</v>
      </c>
    </row>
    <row r="562" spans="1:8" hidden="1" x14ac:dyDescent="0.25">
      <c r="A562" s="2" t="s">
        <v>10</v>
      </c>
      <c r="B562" s="3">
        <v>42480</v>
      </c>
      <c r="C562" s="4">
        <v>-1.0741000000000001</v>
      </c>
      <c r="D562" s="4">
        <v>-1.3907</v>
      </c>
      <c r="E562" s="22">
        <f t="shared" si="32"/>
        <v>-1.3936999999999999</v>
      </c>
      <c r="F562">
        <f t="shared" si="33"/>
        <v>-0.91839430627019691</v>
      </c>
      <c r="G562">
        <f t="shared" si="34"/>
        <v>-0.15570569372980314</v>
      </c>
      <c r="H562">
        <f t="shared" si="35"/>
        <v>17.989979169007462</v>
      </c>
    </row>
    <row r="563" spans="1:8" hidden="1" x14ac:dyDescent="0.25">
      <c r="A563" s="2" t="s">
        <v>10</v>
      </c>
      <c r="B563" s="3">
        <v>42481</v>
      </c>
      <c r="C563" s="4">
        <v>-0.108</v>
      </c>
      <c r="D563" s="4">
        <v>0.63419999999999999</v>
      </c>
      <c r="E563" s="22">
        <f t="shared" si="32"/>
        <v>0.63119999999999998</v>
      </c>
      <c r="F563">
        <f t="shared" si="33"/>
        <v>0.43484674141468199</v>
      </c>
      <c r="G563">
        <f t="shared" si="34"/>
        <v>-0.54284674141468203</v>
      </c>
      <c r="H563">
        <f t="shared" si="35"/>
        <v>17.447132427592781</v>
      </c>
    </row>
    <row r="564" spans="1:8" hidden="1" x14ac:dyDescent="0.25">
      <c r="A564" s="2" t="s">
        <v>10</v>
      </c>
      <c r="B564" s="3">
        <v>42482</v>
      </c>
      <c r="C564" s="4">
        <v>-0.32490000000000002</v>
      </c>
      <c r="D564" s="4">
        <v>-0.38469999999999999</v>
      </c>
      <c r="E564" s="22">
        <f t="shared" si="32"/>
        <v>-0.38769999999999999</v>
      </c>
      <c r="F564">
        <f t="shared" si="33"/>
        <v>-0.2460843186308132</v>
      </c>
      <c r="G564">
        <f t="shared" si="34"/>
        <v>-7.8815681369186819E-2</v>
      </c>
      <c r="H564">
        <f t="shared" si="35"/>
        <v>17.368316746223595</v>
      </c>
    </row>
    <row r="565" spans="1:8" hidden="1" x14ac:dyDescent="0.25">
      <c r="A565" s="2" t="s">
        <v>10</v>
      </c>
      <c r="B565" s="3">
        <v>42485</v>
      </c>
      <c r="C565" s="4">
        <v>0.43290000000000001</v>
      </c>
      <c r="D565" s="4">
        <v>0.28699999999999998</v>
      </c>
      <c r="E565" s="22">
        <f t="shared" si="32"/>
        <v>0.28399999999999997</v>
      </c>
      <c r="F565">
        <f t="shared" si="33"/>
        <v>0.20281291665484694</v>
      </c>
      <c r="G565">
        <f t="shared" si="34"/>
        <v>0.23008708334515307</v>
      </c>
      <c r="H565">
        <f t="shared" si="35"/>
        <v>17.598403829568749</v>
      </c>
    </row>
    <row r="566" spans="1:8" hidden="1" x14ac:dyDescent="0.25">
      <c r="A566" s="2" t="s">
        <v>10</v>
      </c>
      <c r="B566" s="3">
        <v>42486</v>
      </c>
      <c r="C566" s="4">
        <v>-0.2162</v>
      </c>
      <c r="D566" s="4">
        <v>0.24840000000000001</v>
      </c>
      <c r="E566" s="22">
        <f t="shared" si="32"/>
        <v>0.24540000000000001</v>
      </c>
      <c r="F566">
        <f t="shared" si="33"/>
        <v>0.17701652945516483</v>
      </c>
      <c r="G566">
        <f t="shared" si="34"/>
        <v>-0.39321652945516483</v>
      </c>
      <c r="H566">
        <f t="shared" si="35"/>
        <v>17.205187300113586</v>
      </c>
    </row>
    <row r="567" spans="1:8" hidden="1" x14ac:dyDescent="0.25">
      <c r="A567" s="2" t="s">
        <v>10</v>
      </c>
      <c r="B567" s="3">
        <v>42487</v>
      </c>
      <c r="C567" s="4">
        <v>-0.9788</v>
      </c>
      <c r="D567" s="4">
        <v>-0.216</v>
      </c>
      <c r="E567" s="22">
        <f t="shared" si="32"/>
        <v>-0.219</v>
      </c>
      <c r="F567">
        <f t="shared" si="33"/>
        <v>-0.13334207716484495</v>
      </c>
      <c r="G567">
        <f t="shared" si="34"/>
        <v>-0.84545792283515508</v>
      </c>
      <c r="H567">
        <f t="shared" si="35"/>
        <v>16.35972937727843</v>
      </c>
    </row>
    <row r="568" spans="1:8" hidden="1" x14ac:dyDescent="0.25">
      <c r="A568" s="2" t="s">
        <v>10</v>
      </c>
      <c r="B568" s="3">
        <v>42488</v>
      </c>
      <c r="C568" s="4">
        <v>-0.43809999999999999</v>
      </c>
      <c r="D568" s="4">
        <v>-1.0468999999999999</v>
      </c>
      <c r="E568" s="22">
        <f t="shared" si="32"/>
        <v>-1.0498999999999998</v>
      </c>
      <c r="F568">
        <f t="shared" si="33"/>
        <v>-0.68863270214453076</v>
      </c>
      <c r="G568">
        <f t="shared" si="34"/>
        <v>0.25053270214453077</v>
      </c>
      <c r="H568">
        <f t="shared" si="35"/>
        <v>16.610262079422963</v>
      </c>
    </row>
    <row r="569" spans="1:8" hidden="1" x14ac:dyDescent="0.25">
      <c r="A569" s="2" t="s">
        <v>10</v>
      </c>
      <c r="B569" s="3">
        <v>42489</v>
      </c>
      <c r="C569" s="4">
        <v>0.10970000000000001</v>
      </c>
      <c r="D569" s="4">
        <v>-1.139</v>
      </c>
      <c r="E569" s="22">
        <f t="shared" si="32"/>
        <v>-1.1419999999999999</v>
      </c>
      <c r="F569">
        <f t="shared" si="33"/>
        <v>-0.75018314932304697</v>
      </c>
      <c r="G569">
        <f t="shared" si="34"/>
        <v>0.85988314932304699</v>
      </c>
      <c r="H569">
        <f t="shared" si="35"/>
        <v>17.470145228746009</v>
      </c>
    </row>
    <row r="570" spans="1:8" hidden="1" x14ac:dyDescent="0.25">
      <c r="A570" s="2" t="s">
        <v>10</v>
      </c>
      <c r="B570" s="3">
        <v>42493</v>
      </c>
      <c r="C570" s="4">
        <v>-0.88109999999999999</v>
      </c>
      <c r="D570" s="4">
        <v>-1.0049999999999999</v>
      </c>
      <c r="E570" s="22">
        <f t="shared" si="32"/>
        <v>-1.0079999999999998</v>
      </c>
      <c r="F570">
        <f t="shared" si="33"/>
        <v>-0.66063092432933168</v>
      </c>
      <c r="G570">
        <f t="shared" si="34"/>
        <v>-0.22046907567066831</v>
      </c>
      <c r="H570">
        <f t="shared" si="35"/>
        <v>17.249676153075342</v>
      </c>
    </row>
    <row r="571" spans="1:8" hidden="1" x14ac:dyDescent="0.25">
      <c r="A571" s="2" t="s">
        <v>10</v>
      </c>
      <c r="B571" s="3">
        <v>42494</v>
      </c>
      <c r="C571" s="4">
        <v>-0.77729999999999999</v>
      </c>
      <c r="D571" s="4">
        <v>-1.3186</v>
      </c>
      <c r="E571" s="22">
        <f t="shared" si="32"/>
        <v>-1.3215999999999999</v>
      </c>
      <c r="F571">
        <f t="shared" si="33"/>
        <v>-0.87020986282208601</v>
      </c>
      <c r="G571">
        <f t="shared" si="34"/>
        <v>9.290986282208602E-2</v>
      </c>
      <c r="H571">
        <f t="shared" si="35"/>
        <v>17.342586015897428</v>
      </c>
    </row>
    <row r="572" spans="1:8" hidden="1" x14ac:dyDescent="0.25">
      <c r="A572" s="2" t="s">
        <v>10</v>
      </c>
      <c r="B572" s="3">
        <v>42495</v>
      </c>
      <c r="C572" s="4">
        <v>0.88790000000000002</v>
      </c>
      <c r="D572" s="4">
        <v>-0.21410000000000001</v>
      </c>
      <c r="E572" s="22">
        <f t="shared" si="32"/>
        <v>-0.21710000000000002</v>
      </c>
      <c r="F572">
        <f t="shared" si="33"/>
        <v>-0.13207230681045645</v>
      </c>
      <c r="G572">
        <f t="shared" si="34"/>
        <v>1.0199723068104565</v>
      </c>
      <c r="H572">
        <f t="shared" si="35"/>
        <v>18.362558322707883</v>
      </c>
    </row>
    <row r="573" spans="1:8" hidden="1" x14ac:dyDescent="0.25">
      <c r="A573" s="2" t="s">
        <v>10</v>
      </c>
      <c r="B573" s="3">
        <v>42496</v>
      </c>
      <c r="C573" s="4">
        <v>-0.33200000000000002</v>
      </c>
      <c r="D573" s="4">
        <v>-0.26390000000000002</v>
      </c>
      <c r="E573" s="22">
        <f t="shared" si="32"/>
        <v>-0.26690000000000003</v>
      </c>
      <c r="F573">
        <f t="shared" si="33"/>
        <v>-0.16535365609916552</v>
      </c>
      <c r="G573">
        <f t="shared" si="34"/>
        <v>-0.16664634390083449</v>
      </c>
      <c r="H573">
        <f t="shared" si="35"/>
        <v>18.19591197880705</v>
      </c>
    </row>
    <row r="574" spans="1:8" hidden="1" x14ac:dyDescent="0.25">
      <c r="A574" s="2" t="s">
        <v>10</v>
      </c>
      <c r="B574" s="3">
        <v>42499</v>
      </c>
      <c r="C574" s="4">
        <v>0.1108</v>
      </c>
      <c r="D574" s="4">
        <v>-0.1794</v>
      </c>
      <c r="E574" s="22">
        <f t="shared" si="32"/>
        <v>-0.18240000000000001</v>
      </c>
      <c r="F574">
        <f t="shared" si="33"/>
        <v>-0.10888229033820336</v>
      </c>
      <c r="G574">
        <f t="shared" si="34"/>
        <v>0.21968229033820336</v>
      </c>
      <c r="H574">
        <f t="shared" si="35"/>
        <v>18.415594269145252</v>
      </c>
    </row>
    <row r="575" spans="1:8" hidden="1" x14ac:dyDescent="0.25">
      <c r="A575" s="2" t="s">
        <v>10</v>
      </c>
      <c r="B575" s="3">
        <v>42500</v>
      </c>
      <c r="C575" s="4">
        <v>1.6475</v>
      </c>
      <c r="D575" s="4">
        <v>0.30030000000000001</v>
      </c>
      <c r="E575" s="22">
        <f t="shared" si="32"/>
        <v>0.29730000000000001</v>
      </c>
      <c r="F575">
        <f t="shared" si="33"/>
        <v>0.21170130913556645</v>
      </c>
      <c r="G575">
        <f t="shared" si="34"/>
        <v>1.4357986908644336</v>
      </c>
      <c r="H575">
        <f t="shared" si="35"/>
        <v>19.851392960009687</v>
      </c>
    </row>
    <row r="576" spans="1:8" hidden="1" x14ac:dyDescent="0.25">
      <c r="A576" s="2" t="s">
        <v>10</v>
      </c>
      <c r="B576" s="3">
        <v>42501</v>
      </c>
      <c r="C576" s="4">
        <v>0.32629999999999998</v>
      </c>
      <c r="D576" s="4">
        <v>-0.2545</v>
      </c>
      <c r="E576" s="22">
        <f t="shared" si="32"/>
        <v>-0.25750000000000001</v>
      </c>
      <c r="F576">
        <f t="shared" si="33"/>
        <v>-0.15907163434587504</v>
      </c>
      <c r="G576">
        <f t="shared" si="34"/>
        <v>0.48537163434587505</v>
      </c>
      <c r="H576">
        <f t="shared" si="35"/>
        <v>20.336764594355561</v>
      </c>
    </row>
    <row r="577" spans="1:8" hidden="1" x14ac:dyDescent="0.25">
      <c r="A577" s="2" t="s">
        <v>10</v>
      </c>
      <c r="B577" s="3">
        <v>42502</v>
      </c>
      <c r="C577" s="4">
        <v>-1.4216</v>
      </c>
      <c r="D577" s="4">
        <v>-0.3387</v>
      </c>
      <c r="E577" s="22">
        <f t="shared" si="32"/>
        <v>-0.3417</v>
      </c>
      <c r="F577">
        <f t="shared" si="33"/>
        <v>-0.21534251005088112</v>
      </c>
      <c r="G577">
        <f t="shared" si="34"/>
        <v>-1.206257489949119</v>
      </c>
      <c r="H577">
        <f t="shared" si="35"/>
        <v>19.130507104406441</v>
      </c>
    </row>
    <row r="578" spans="1:8" hidden="1" x14ac:dyDescent="0.25">
      <c r="A578" s="2" t="s">
        <v>10</v>
      </c>
      <c r="B578" s="3">
        <v>42503</v>
      </c>
      <c r="C578" s="4">
        <v>-1.5539000000000001</v>
      </c>
      <c r="D578" s="4">
        <v>-0.67269999999999996</v>
      </c>
      <c r="E578" s="22">
        <f t="shared" si="32"/>
        <v>-0.67569999999999997</v>
      </c>
      <c r="F578">
        <f t="shared" si="33"/>
        <v>-0.4385547723486487</v>
      </c>
      <c r="G578">
        <f t="shared" si="34"/>
        <v>-1.1153452276513514</v>
      </c>
      <c r="H578">
        <f t="shared" si="35"/>
        <v>18.015161876755091</v>
      </c>
    </row>
    <row r="579" spans="1:8" hidden="1" x14ac:dyDescent="0.25">
      <c r="A579" s="2" t="s">
        <v>10</v>
      </c>
      <c r="B579" s="3">
        <v>42506</v>
      </c>
      <c r="C579" s="4">
        <v>0</v>
      </c>
      <c r="D579" s="4">
        <v>0.1726</v>
      </c>
      <c r="E579" s="22">
        <f t="shared" ref="E579:E642" si="36">D579-K$2</f>
        <v>0.1696</v>
      </c>
      <c r="F579">
        <f t="shared" ref="F579:F642" si="37">K$3+K$4*E579</f>
        <v>0.12635937531692898</v>
      </c>
      <c r="G579">
        <f t="shared" ref="G579:G642" si="38">C579-F579</f>
        <v>-0.12635937531692898</v>
      </c>
      <c r="H579">
        <f t="shared" si="35"/>
        <v>17.88880250143816</v>
      </c>
    </row>
    <row r="580" spans="1:8" hidden="1" x14ac:dyDescent="0.25">
      <c r="A580" s="2" t="s">
        <v>10</v>
      </c>
      <c r="B580" s="3">
        <v>42507</v>
      </c>
      <c r="C580" s="4">
        <v>-0.6734</v>
      </c>
      <c r="D580" s="4">
        <v>0.89929999999999999</v>
      </c>
      <c r="E580" s="22">
        <f t="shared" si="36"/>
        <v>0.89629999999999999</v>
      </c>
      <c r="F580">
        <f t="shared" si="37"/>
        <v>0.61201312086120352</v>
      </c>
      <c r="G580">
        <f t="shared" si="38"/>
        <v>-1.2854131208612034</v>
      </c>
      <c r="H580">
        <f t="shared" ref="H580:H643" si="39">H579+G580</f>
        <v>16.603389380576957</v>
      </c>
    </row>
    <row r="581" spans="1:8" hidden="1" x14ac:dyDescent="0.25">
      <c r="A581" s="2" t="s">
        <v>10</v>
      </c>
      <c r="B581" s="3">
        <v>42508</v>
      </c>
      <c r="C581" s="4">
        <v>-0.22550000000000001</v>
      </c>
      <c r="D581" s="4">
        <v>0.2356</v>
      </c>
      <c r="E581" s="22">
        <f t="shared" si="36"/>
        <v>0.2326</v>
      </c>
      <c r="F581">
        <f t="shared" si="37"/>
        <v>0.16846228706770547</v>
      </c>
      <c r="G581">
        <f t="shared" si="38"/>
        <v>-0.39396228706770547</v>
      </c>
      <c r="H581">
        <f t="shared" si="39"/>
        <v>16.209427093509252</v>
      </c>
    </row>
    <row r="582" spans="1:8" hidden="1" x14ac:dyDescent="0.25">
      <c r="A582" s="2" t="s">
        <v>10</v>
      </c>
      <c r="B582" s="3">
        <v>42509</v>
      </c>
      <c r="C582" s="4">
        <v>0.1128</v>
      </c>
      <c r="D582" s="4">
        <v>-0.78369999999999995</v>
      </c>
      <c r="E582" s="22">
        <f t="shared" si="36"/>
        <v>-0.78669999999999995</v>
      </c>
      <c r="F582">
        <f t="shared" si="37"/>
        <v>-0.51273609305239776</v>
      </c>
      <c r="G582">
        <f t="shared" si="38"/>
        <v>0.62553609305239777</v>
      </c>
      <c r="H582">
        <f t="shared" si="39"/>
        <v>16.834963186561648</v>
      </c>
    </row>
    <row r="583" spans="1:8" hidden="1" x14ac:dyDescent="0.25">
      <c r="A583" s="2" t="s">
        <v>10</v>
      </c>
      <c r="B583" s="3">
        <v>42510</v>
      </c>
      <c r="C583" s="4">
        <v>-1.0198</v>
      </c>
      <c r="D583" s="4">
        <v>0.43480000000000002</v>
      </c>
      <c r="E583" s="22">
        <f t="shared" si="36"/>
        <v>0.43180000000000002</v>
      </c>
      <c r="F583">
        <f t="shared" si="37"/>
        <v>0.30158768422254173</v>
      </c>
      <c r="G583">
        <f t="shared" si="38"/>
        <v>-1.3213876842225418</v>
      </c>
      <c r="H583">
        <f t="shared" si="39"/>
        <v>15.513575502339107</v>
      </c>
    </row>
    <row r="584" spans="1:8" hidden="1" x14ac:dyDescent="0.25">
      <c r="A584" s="2" t="s">
        <v>10</v>
      </c>
      <c r="B584" s="3">
        <v>42513</v>
      </c>
      <c r="C584" s="4">
        <v>2.4748000000000001</v>
      </c>
      <c r="D584" s="4">
        <v>2.5880000000000001</v>
      </c>
      <c r="E584" s="22">
        <f t="shared" si="36"/>
        <v>2.585</v>
      </c>
      <c r="F584">
        <f t="shared" si="37"/>
        <v>1.7405716458379703</v>
      </c>
      <c r="G584">
        <f t="shared" si="38"/>
        <v>0.73422835416202981</v>
      </c>
      <c r="H584">
        <f t="shared" si="39"/>
        <v>16.247803856501136</v>
      </c>
    </row>
    <row r="585" spans="1:8" hidden="1" x14ac:dyDescent="0.25">
      <c r="A585" s="2" t="s">
        <v>10</v>
      </c>
      <c r="B585" s="3">
        <v>42514</v>
      </c>
      <c r="C585" s="4">
        <v>0.222</v>
      </c>
      <c r="D585" s="4">
        <v>-0.52600000000000002</v>
      </c>
      <c r="E585" s="22">
        <f t="shared" si="36"/>
        <v>-0.52900000000000003</v>
      </c>
      <c r="F585">
        <f t="shared" si="37"/>
        <v>-0.34051513498612623</v>
      </c>
      <c r="G585">
        <f t="shared" si="38"/>
        <v>0.56251513498612626</v>
      </c>
      <c r="H585">
        <f t="shared" si="39"/>
        <v>16.810318991487261</v>
      </c>
    </row>
    <row r="586" spans="1:8" hidden="1" x14ac:dyDescent="0.25">
      <c r="A586" s="2" t="s">
        <v>10</v>
      </c>
      <c r="B586" s="3">
        <v>42515</v>
      </c>
      <c r="C586" s="4">
        <v>0.55279999999999996</v>
      </c>
      <c r="D586" s="4">
        <v>1.1444000000000001</v>
      </c>
      <c r="E586" s="22">
        <f t="shared" si="36"/>
        <v>1.1414000000000002</v>
      </c>
      <c r="F586">
        <f t="shared" si="37"/>
        <v>0.77581349657731991</v>
      </c>
      <c r="G586">
        <f t="shared" si="38"/>
        <v>-0.22301349657731995</v>
      </c>
      <c r="H586">
        <f t="shared" si="39"/>
        <v>16.587305494909941</v>
      </c>
    </row>
    <row r="587" spans="1:8" hidden="1" x14ac:dyDescent="0.25">
      <c r="A587" s="2" t="s">
        <v>10</v>
      </c>
      <c r="B587" s="3">
        <v>42516</v>
      </c>
      <c r="C587" s="4">
        <v>0.98740000000000006</v>
      </c>
      <c r="D587" s="4">
        <v>-2.4799999999999999E-2</v>
      </c>
      <c r="E587" s="22">
        <f t="shared" si="36"/>
        <v>-2.7799999999999998E-2</v>
      </c>
      <c r="F587">
        <f t="shared" si="37"/>
        <v>-5.5630815021708059E-3</v>
      </c>
      <c r="G587">
        <f t="shared" si="38"/>
        <v>0.99296308150217083</v>
      </c>
      <c r="H587">
        <f t="shared" si="39"/>
        <v>17.580268576412113</v>
      </c>
    </row>
    <row r="588" spans="1:8" hidden="1" x14ac:dyDescent="0.25">
      <c r="A588" s="2" t="s">
        <v>10</v>
      </c>
      <c r="B588" s="3">
        <v>42517</v>
      </c>
      <c r="C588" s="4">
        <v>-0.21859999999999999</v>
      </c>
      <c r="D588" s="4">
        <v>0.82440000000000002</v>
      </c>
      <c r="E588" s="22">
        <f t="shared" si="36"/>
        <v>0.82140000000000002</v>
      </c>
      <c r="F588">
        <f t="shared" si="37"/>
        <v>0.56195743689083588</v>
      </c>
      <c r="G588">
        <f t="shared" si="38"/>
        <v>-0.7805574368908359</v>
      </c>
      <c r="H588">
        <f t="shared" si="39"/>
        <v>16.799711139521278</v>
      </c>
    </row>
    <row r="589" spans="1:8" hidden="1" x14ac:dyDescent="0.25">
      <c r="A589" s="2" t="s">
        <v>10</v>
      </c>
      <c r="B589" s="3">
        <v>42520</v>
      </c>
      <c r="C589" s="4">
        <v>0.65429999999999999</v>
      </c>
      <c r="D589" s="4">
        <v>0.85009999999999997</v>
      </c>
      <c r="E589" s="22">
        <f t="shared" si="36"/>
        <v>0.84709999999999996</v>
      </c>
      <c r="F589">
        <f t="shared" si="37"/>
        <v>0.57913275168440659</v>
      </c>
      <c r="G589">
        <f t="shared" si="38"/>
        <v>7.5167248315593405E-2</v>
      </c>
      <c r="H589">
        <f t="shared" si="39"/>
        <v>16.874878387836873</v>
      </c>
    </row>
    <row r="590" spans="1:8" hidden="1" x14ac:dyDescent="0.25">
      <c r="A590" s="2" t="s">
        <v>10</v>
      </c>
      <c r="B590" s="3">
        <v>42521</v>
      </c>
      <c r="C590" s="4">
        <v>-1.0929</v>
      </c>
      <c r="D590" s="4">
        <v>-3.3E-3</v>
      </c>
      <c r="E590" s="22">
        <f t="shared" si="36"/>
        <v>-6.3E-3</v>
      </c>
      <c r="F590">
        <f t="shared" si="37"/>
        <v>8.8053725080148304E-3</v>
      </c>
      <c r="G590">
        <f t="shared" si="38"/>
        <v>-1.1017053725080148</v>
      </c>
      <c r="H590">
        <f t="shared" si="39"/>
        <v>15.773173015328858</v>
      </c>
    </row>
    <row r="591" spans="1:8" hidden="1" x14ac:dyDescent="0.25">
      <c r="A591" s="2" t="s">
        <v>10</v>
      </c>
      <c r="B591" s="3">
        <v>42522</v>
      </c>
      <c r="C591" s="4">
        <v>-0.4405</v>
      </c>
      <c r="D591" s="4">
        <v>0.71870000000000001</v>
      </c>
      <c r="E591" s="22">
        <f t="shared" si="36"/>
        <v>0.7157</v>
      </c>
      <c r="F591">
        <f t="shared" si="37"/>
        <v>0.49131810717564417</v>
      </c>
      <c r="G591">
        <f t="shared" si="38"/>
        <v>-0.93181810717564417</v>
      </c>
      <c r="H591">
        <f t="shared" si="39"/>
        <v>14.841354908153214</v>
      </c>
    </row>
    <row r="592" spans="1:8" hidden="1" x14ac:dyDescent="0.25">
      <c r="A592" s="2" t="s">
        <v>10</v>
      </c>
      <c r="B592" s="3">
        <v>42523</v>
      </c>
      <c r="C592" s="4">
        <v>1.3158000000000001</v>
      </c>
      <c r="D592" s="4">
        <v>-0.47970000000000002</v>
      </c>
      <c r="E592" s="22">
        <f t="shared" si="36"/>
        <v>-0.48270000000000002</v>
      </c>
      <c r="F592">
        <f t="shared" si="37"/>
        <v>-0.30957283635023813</v>
      </c>
      <c r="G592">
        <f t="shared" si="38"/>
        <v>1.6253728363502382</v>
      </c>
      <c r="H592">
        <f t="shared" si="39"/>
        <v>16.466727744503451</v>
      </c>
    </row>
    <row r="593" spans="1:8" hidden="1" x14ac:dyDescent="0.25">
      <c r="A593" s="2" t="s">
        <v>10</v>
      </c>
      <c r="B593" s="3">
        <v>42524</v>
      </c>
      <c r="C593" s="4">
        <v>-1.7583</v>
      </c>
      <c r="D593" s="4">
        <v>0.36559999999999998</v>
      </c>
      <c r="E593" s="22">
        <f t="shared" si="36"/>
        <v>0.36259999999999998</v>
      </c>
      <c r="F593">
        <f t="shared" si="37"/>
        <v>0.25534131131533955</v>
      </c>
      <c r="G593">
        <f t="shared" si="38"/>
        <v>-2.0136413113153395</v>
      </c>
      <c r="H593">
        <f t="shared" si="39"/>
        <v>14.453086433188112</v>
      </c>
    </row>
    <row r="594" spans="1:8" hidden="1" x14ac:dyDescent="0.25">
      <c r="A594" s="2" t="s">
        <v>10</v>
      </c>
      <c r="B594" s="3">
        <v>42525</v>
      </c>
      <c r="C594" s="4">
        <v>0.88300000000000001</v>
      </c>
      <c r="D594" s="4">
        <v>4.9000000000000002E-2</v>
      </c>
      <c r="E594" s="22">
        <f t="shared" si="36"/>
        <v>4.5999999999999999E-2</v>
      </c>
      <c r="F594">
        <f t="shared" si="37"/>
        <v>4.3757472263024545E-2</v>
      </c>
      <c r="G594">
        <f t="shared" si="38"/>
        <v>0.8392425277369755</v>
      </c>
      <c r="H594">
        <f t="shared" si="39"/>
        <v>15.292328960925087</v>
      </c>
    </row>
    <row r="595" spans="1:8" hidden="1" x14ac:dyDescent="0.25">
      <c r="A595" s="2" t="s">
        <v>10</v>
      </c>
      <c r="B595" s="3">
        <v>42527</v>
      </c>
      <c r="C595" s="4">
        <v>1.6349</v>
      </c>
      <c r="D595" s="4">
        <v>6.4500000000000002E-2</v>
      </c>
      <c r="E595" s="22">
        <f t="shared" si="36"/>
        <v>6.1499999999999999E-2</v>
      </c>
      <c r="F595">
        <f t="shared" si="37"/>
        <v>5.4116125154088611E-2</v>
      </c>
      <c r="G595">
        <f t="shared" si="38"/>
        <v>1.5807838748459113</v>
      </c>
      <c r="H595">
        <f t="shared" si="39"/>
        <v>16.873112835770996</v>
      </c>
    </row>
    <row r="596" spans="1:8" hidden="1" x14ac:dyDescent="0.25">
      <c r="A596" s="2" t="s">
        <v>10</v>
      </c>
      <c r="B596" s="3">
        <v>42528</v>
      </c>
      <c r="C596" s="4">
        <v>1.1821999999999999</v>
      </c>
      <c r="D596" s="4">
        <v>0.95840000000000003</v>
      </c>
      <c r="E596" s="22">
        <f t="shared" si="36"/>
        <v>0.95540000000000003</v>
      </c>
      <c r="F596">
        <f t="shared" si="37"/>
        <v>0.65150966188455106</v>
      </c>
      <c r="G596">
        <f t="shared" si="38"/>
        <v>0.53069033811544886</v>
      </c>
      <c r="H596">
        <f t="shared" si="39"/>
        <v>17.403803173886445</v>
      </c>
    </row>
    <row r="597" spans="1:8" hidden="1" x14ac:dyDescent="0.25">
      <c r="A597" s="2" t="s">
        <v>10</v>
      </c>
      <c r="B597" s="3">
        <v>42529</v>
      </c>
      <c r="C597" s="4">
        <v>1.0627</v>
      </c>
      <c r="D597" s="4">
        <v>0.40910000000000002</v>
      </c>
      <c r="E597" s="22">
        <f t="shared" si="36"/>
        <v>0.40610000000000002</v>
      </c>
      <c r="F597">
        <f t="shared" si="37"/>
        <v>0.28441236942897097</v>
      </c>
      <c r="G597">
        <f t="shared" si="38"/>
        <v>0.77828763057102901</v>
      </c>
      <c r="H597">
        <f t="shared" si="39"/>
        <v>18.182090804457474</v>
      </c>
    </row>
    <row r="598" spans="1:8" hidden="1" x14ac:dyDescent="0.25">
      <c r="A598" s="2" t="s">
        <v>10</v>
      </c>
      <c r="B598" s="3">
        <v>42534</v>
      </c>
      <c r="C598" s="4">
        <v>-1.4910000000000001</v>
      </c>
      <c r="D598" s="4">
        <v>-2.0781999999999998</v>
      </c>
      <c r="E598" s="22">
        <f t="shared" si="36"/>
        <v>-2.0811999999999999</v>
      </c>
      <c r="F598">
        <f t="shared" si="37"/>
        <v>-1.3778506845028773</v>
      </c>
      <c r="G598">
        <f t="shared" si="38"/>
        <v>-0.11314931549712282</v>
      </c>
      <c r="H598">
        <f t="shared" si="39"/>
        <v>18.068941488960352</v>
      </c>
    </row>
    <row r="599" spans="1:8" hidden="1" x14ac:dyDescent="0.25">
      <c r="A599" s="2" t="s">
        <v>10</v>
      </c>
      <c r="B599" s="3">
        <v>42535</v>
      </c>
      <c r="C599" s="4">
        <v>0.32140000000000002</v>
      </c>
      <c r="D599" s="4">
        <v>0.46629999999999999</v>
      </c>
      <c r="E599" s="22">
        <f t="shared" si="36"/>
        <v>0.46329999999999999</v>
      </c>
      <c r="F599">
        <f t="shared" si="37"/>
        <v>0.32263914009792999</v>
      </c>
      <c r="G599">
        <f t="shared" si="38"/>
        <v>-1.2391400979299694E-3</v>
      </c>
      <c r="H599">
        <f t="shared" si="39"/>
        <v>18.067702348862422</v>
      </c>
    </row>
    <row r="600" spans="1:8" hidden="1" x14ac:dyDescent="0.25">
      <c r="A600" s="2" t="s">
        <v>10</v>
      </c>
      <c r="B600" s="3">
        <v>42536</v>
      </c>
      <c r="C600" s="4">
        <v>0.63970000000000005</v>
      </c>
      <c r="D600" s="4">
        <v>0.35210000000000002</v>
      </c>
      <c r="E600" s="22">
        <f t="shared" si="36"/>
        <v>0.34910000000000002</v>
      </c>
      <c r="F600">
        <f t="shared" si="37"/>
        <v>0.24631925879731603</v>
      </c>
      <c r="G600">
        <f t="shared" si="38"/>
        <v>0.39338074120268401</v>
      </c>
      <c r="H600">
        <f t="shared" si="39"/>
        <v>18.461083090065106</v>
      </c>
    </row>
    <row r="601" spans="1:8" hidden="1" x14ac:dyDescent="0.25">
      <c r="A601" s="2" t="s">
        <v>10</v>
      </c>
      <c r="B601" s="3">
        <v>42537</v>
      </c>
      <c r="C601" s="4">
        <v>-1.8230999999999999</v>
      </c>
      <c r="D601" s="4">
        <v>-1.3126</v>
      </c>
      <c r="E601" s="22">
        <f t="shared" si="36"/>
        <v>-1.3155999999999999</v>
      </c>
      <c r="F601">
        <f t="shared" si="37"/>
        <v>-0.86620006170296449</v>
      </c>
      <c r="G601">
        <f t="shared" si="38"/>
        <v>-0.95689993829703546</v>
      </c>
      <c r="H601">
        <f t="shared" si="39"/>
        <v>17.504183151768071</v>
      </c>
    </row>
    <row r="602" spans="1:8" hidden="1" x14ac:dyDescent="0.25">
      <c r="A602" s="2" t="s">
        <v>10</v>
      </c>
      <c r="B602" s="3">
        <v>42538</v>
      </c>
      <c r="C602" s="4">
        <v>1.0764</v>
      </c>
      <c r="D602" s="4">
        <v>0.86670000000000003</v>
      </c>
      <c r="E602" s="22">
        <f t="shared" si="36"/>
        <v>0.86370000000000002</v>
      </c>
      <c r="F602">
        <f t="shared" si="37"/>
        <v>0.59022653478064302</v>
      </c>
      <c r="G602">
        <f t="shared" si="38"/>
        <v>0.486173465219357</v>
      </c>
      <c r="H602">
        <f t="shared" si="39"/>
        <v>17.990356616987427</v>
      </c>
    </row>
    <row r="603" spans="1:8" hidden="1" x14ac:dyDescent="0.25">
      <c r="A603" s="2" t="s">
        <v>10</v>
      </c>
      <c r="B603" s="3">
        <v>42541</v>
      </c>
      <c r="C603" s="4">
        <v>1.2766</v>
      </c>
      <c r="D603" s="4">
        <v>0.67279999999999995</v>
      </c>
      <c r="E603" s="22">
        <f t="shared" si="36"/>
        <v>0.66979999999999995</v>
      </c>
      <c r="F603">
        <f t="shared" si="37"/>
        <v>0.46064312861436407</v>
      </c>
      <c r="G603">
        <f t="shared" si="38"/>
        <v>0.81595687138563588</v>
      </c>
      <c r="H603">
        <f t="shared" si="39"/>
        <v>18.806313488373064</v>
      </c>
    </row>
    <row r="604" spans="1:8" hidden="1" x14ac:dyDescent="0.25">
      <c r="A604" s="2" t="s">
        <v>10</v>
      </c>
      <c r="B604" s="3">
        <v>42542</v>
      </c>
      <c r="C604" s="4">
        <v>1.1560999999999999</v>
      </c>
      <c r="D604" s="4">
        <v>0.68089999999999995</v>
      </c>
      <c r="E604" s="22">
        <f t="shared" si="36"/>
        <v>0.67789999999999995</v>
      </c>
      <c r="F604">
        <f t="shared" si="37"/>
        <v>0.4660563601251782</v>
      </c>
      <c r="G604">
        <f t="shared" si="38"/>
        <v>0.69004363987482176</v>
      </c>
      <c r="H604">
        <f t="shared" si="39"/>
        <v>19.496357128247887</v>
      </c>
    </row>
    <row r="605" spans="1:8" hidden="1" x14ac:dyDescent="0.25">
      <c r="A605" s="2" t="s">
        <v>10</v>
      </c>
      <c r="B605" s="3">
        <v>42543</v>
      </c>
      <c r="C605" s="4">
        <v>-0.6865</v>
      </c>
      <c r="D605" s="4">
        <v>0.3609</v>
      </c>
      <c r="E605" s="22">
        <f t="shared" si="36"/>
        <v>0.3579</v>
      </c>
      <c r="F605">
        <f t="shared" si="37"/>
        <v>0.25220030043869435</v>
      </c>
      <c r="G605">
        <f t="shared" si="38"/>
        <v>-0.93870030043869435</v>
      </c>
      <c r="H605">
        <f t="shared" si="39"/>
        <v>18.557656827809193</v>
      </c>
    </row>
    <row r="606" spans="1:8" hidden="1" x14ac:dyDescent="0.25">
      <c r="A606" s="2" t="s">
        <v>10</v>
      </c>
      <c r="B606" s="3">
        <v>42544</v>
      </c>
      <c r="C606" s="4">
        <v>-0.57569999999999999</v>
      </c>
      <c r="D606" s="4">
        <v>-0.45500000000000002</v>
      </c>
      <c r="E606" s="22">
        <f t="shared" si="36"/>
        <v>-0.45800000000000002</v>
      </c>
      <c r="F606">
        <f t="shared" si="37"/>
        <v>-0.29306582174318763</v>
      </c>
      <c r="G606">
        <f t="shared" si="38"/>
        <v>-0.28263417825681236</v>
      </c>
      <c r="H606">
        <f t="shared" si="39"/>
        <v>18.27502264955238</v>
      </c>
    </row>
    <row r="607" spans="1:8" hidden="1" x14ac:dyDescent="0.25">
      <c r="A607" s="2" t="s">
        <v>10</v>
      </c>
      <c r="B607" s="3">
        <v>42545</v>
      </c>
      <c r="C607" s="4">
        <v>-2.4548000000000001</v>
      </c>
      <c r="D607" s="4">
        <v>-2.3283999999999998</v>
      </c>
      <c r="E607" s="22">
        <f t="shared" si="36"/>
        <v>-2.3313999999999999</v>
      </c>
      <c r="F607">
        <f t="shared" si="37"/>
        <v>-1.5450593911702468</v>
      </c>
      <c r="G607">
        <f t="shared" si="38"/>
        <v>-0.90974060882975327</v>
      </c>
      <c r="H607">
        <f t="shared" si="39"/>
        <v>17.365282040722626</v>
      </c>
    </row>
    <row r="608" spans="1:8" hidden="1" x14ac:dyDescent="0.25">
      <c r="A608" s="2" t="s">
        <v>10</v>
      </c>
      <c r="B608" s="3">
        <v>42548</v>
      </c>
      <c r="C608" s="4">
        <v>-1.0708</v>
      </c>
      <c r="D608" s="4">
        <v>-0.214</v>
      </c>
      <c r="E608" s="22">
        <f t="shared" si="36"/>
        <v>-0.217</v>
      </c>
      <c r="F608">
        <f t="shared" si="37"/>
        <v>-0.13200547679180441</v>
      </c>
      <c r="G608">
        <f t="shared" si="38"/>
        <v>-0.93879452320819556</v>
      </c>
      <c r="H608">
        <f t="shared" si="39"/>
        <v>16.426487517514431</v>
      </c>
    </row>
    <row r="609" spans="1:8" x14ac:dyDescent="0.25">
      <c r="A609" s="12" t="s">
        <v>10</v>
      </c>
      <c r="B609" s="13">
        <v>42549</v>
      </c>
      <c r="C609" s="14">
        <v>0.71509999999999996</v>
      </c>
      <c r="D609" s="14">
        <v>0.54990000000000006</v>
      </c>
      <c r="E609" s="26">
        <f t="shared" si="36"/>
        <v>0.54690000000000005</v>
      </c>
      <c r="F609" s="15">
        <f t="shared" si="37"/>
        <v>0.37850903569102395</v>
      </c>
      <c r="G609" s="15">
        <f t="shared" si="38"/>
        <v>0.336590964308976</v>
      </c>
      <c r="H609" s="15">
        <f t="shared" si="39"/>
        <v>16.763078481823406</v>
      </c>
    </row>
    <row r="610" spans="1:8" x14ac:dyDescent="0.25">
      <c r="A610" s="12" t="s">
        <v>10</v>
      </c>
      <c r="B610" s="13">
        <v>42550</v>
      </c>
      <c r="C610" s="14">
        <v>1.5321</v>
      </c>
      <c r="D610" s="14">
        <v>0.94840000000000002</v>
      </c>
      <c r="E610" s="26">
        <f t="shared" si="36"/>
        <v>0.94540000000000002</v>
      </c>
      <c r="F610" s="15">
        <f t="shared" si="37"/>
        <v>0.64482666001934841</v>
      </c>
      <c r="G610" s="15">
        <f t="shared" si="38"/>
        <v>0.88727333998065161</v>
      </c>
      <c r="H610" s="15">
        <f t="shared" si="39"/>
        <v>17.650351821804058</v>
      </c>
    </row>
    <row r="611" spans="1:8" x14ac:dyDescent="0.25">
      <c r="A611" s="12" t="s">
        <v>10</v>
      </c>
      <c r="B611" s="13">
        <v>42551</v>
      </c>
      <c r="C611" s="14">
        <v>0.3503</v>
      </c>
      <c r="D611" s="14">
        <v>0.92759999999999998</v>
      </c>
      <c r="E611" s="26">
        <f t="shared" si="36"/>
        <v>0.92459999999999998</v>
      </c>
      <c r="F611" s="15">
        <f t="shared" si="37"/>
        <v>0.63092601613972699</v>
      </c>
      <c r="G611" s="15">
        <f t="shared" si="38"/>
        <v>-0.28062601613972699</v>
      </c>
      <c r="H611" s="15">
        <f t="shared" si="39"/>
        <v>17.369725805664331</v>
      </c>
    </row>
    <row r="612" spans="1:8" x14ac:dyDescent="0.25">
      <c r="A612" s="12" t="s">
        <v>10</v>
      </c>
      <c r="B612" s="13">
        <v>42552</v>
      </c>
      <c r="C612" s="14">
        <v>0.11650000000000001</v>
      </c>
      <c r="D612" s="14">
        <v>0.82350000000000001</v>
      </c>
      <c r="E612" s="26">
        <f t="shared" si="36"/>
        <v>0.82050000000000001</v>
      </c>
      <c r="F612" s="15">
        <f t="shared" si="37"/>
        <v>0.56135596672296761</v>
      </c>
      <c r="G612" s="15">
        <f t="shared" si="38"/>
        <v>-0.44485596672296762</v>
      </c>
      <c r="H612" s="15">
        <f t="shared" si="39"/>
        <v>16.924869838941362</v>
      </c>
    </row>
    <row r="613" spans="1:8" x14ac:dyDescent="0.25">
      <c r="A613" s="12" t="s">
        <v>10</v>
      </c>
      <c r="B613" s="13">
        <v>42555</v>
      </c>
      <c r="C613" s="14">
        <v>0.69610000000000005</v>
      </c>
      <c r="D613" s="14">
        <v>0.25530000000000003</v>
      </c>
      <c r="E613" s="26">
        <f t="shared" si="36"/>
        <v>0.25230000000000002</v>
      </c>
      <c r="F613" s="15">
        <f t="shared" si="37"/>
        <v>0.18162780074215465</v>
      </c>
      <c r="G613" s="15">
        <f t="shared" si="38"/>
        <v>0.51447219925784538</v>
      </c>
      <c r="H613" s="15">
        <f t="shared" si="39"/>
        <v>17.439342038199207</v>
      </c>
    </row>
    <row r="614" spans="1:8" x14ac:dyDescent="0.25">
      <c r="A614" s="12" t="s">
        <v>10</v>
      </c>
      <c r="B614" s="13">
        <v>42556</v>
      </c>
      <c r="C614" s="14">
        <v>-0.57969999999999999</v>
      </c>
      <c r="D614" s="14">
        <v>-0.50939999999999996</v>
      </c>
      <c r="E614" s="26">
        <f t="shared" si="36"/>
        <v>-0.51239999999999997</v>
      </c>
      <c r="F614" s="15">
        <f t="shared" si="37"/>
        <v>-0.32942135188988986</v>
      </c>
      <c r="G614" s="15">
        <f t="shared" si="38"/>
        <v>-0.25027864811011014</v>
      </c>
      <c r="H614" s="15">
        <f t="shared" si="39"/>
        <v>17.189063390089096</v>
      </c>
    </row>
    <row r="615" spans="1:8" x14ac:dyDescent="0.25">
      <c r="A615" s="12" t="s">
        <v>10</v>
      </c>
      <c r="B615" s="13">
        <v>42557</v>
      </c>
      <c r="C615" s="14">
        <v>0.1162</v>
      </c>
      <c r="D615" s="14">
        <v>-1.623</v>
      </c>
      <c r="E615" s="26">
        <f t="shared" si="36"/>
        <v>-1.6259999999999999</v>
      </c>
      <c r="F615" s="15">
        <f t="shared" si="37"/>
        <v>-1.0736404395988539</v>
      </c>
      <c r="G615" s="15">
        <f t="shared" si="38"/>
        <v>1.189840439598854</v>
      </c>
      <c r="H615" s="15">
        <f t="shared" si="39"/>
        <v>18.37890382968795</v>
      </c>
    </row>
    <row r="616" spans="1:8" x14ac:dyDescent="0.25">
      <c r="A616" s="12" t="s">
        <v>10</v>
      </c>
      <c r="B616" s="13">
        <v>42558</v>
      </c>
      <c r="C616" s="14">
        <v>-0.2326</v>
      </c>
      <c r="D616" s="14">
        <v>0.75690000000000002</v>
      </c>
      <c r="E616" s="26">
        <f t="shared" si="36"/>
        <v>0.75390000000000001</v>
      </c>
      <c r="F616" s="15">
        <f t="shared" si="37"/>
        <v>0.51684717430071825</v>
      </c>
      <c r="G616" s="15">
        <f t="shared" si="38"/>
        <v>-0.74944717430071828</v>
      </c>
      <c r="H616" s="15">
        <f t="shared" si="39"/>
        <v>17.62945665538723</v>
      </c>
    </row>
    <row r="617" spans="1:8" x14ac:dyDescent="0.25">
      <c r="A617" s="12" t="s">
        <v>10</v>
      </c>
      <c r="B617" s="13">
        <v>42562</v>
      </c>
      <c r="C617" s="14">
        <v>-0.34989999999999999</v>
      </c>
      <c r="D617" s="14">
        <v>1.6705000000000001</v>
      </c>
      <c r="E617" s="26">
        <f t="shared" si="36"/>
        <v>1.6675000000000002</v>
      </c>
      <c r="F617" s="15">
        <f t="shared" si="37"/>
        <v>1.12740622470563</v>
      </c>
      <c r="G617" s="15">
        <f t="shared" si="38"/>
        <v>-1.4773062247056301</v>
      </c>
      <c r="H617" s="15">
        <f t="shared" si="39"/>
        <v>16.152150430681601</v>
      </c>
    </row>
    <row r="618" spans="1:8" x14ac:dyDescent="0.25">
      <c r="A618" s="12" t="s">
        <v>10</v>
      </c>
      <c r="B618" s="13">
        <v>42563</v>
      </c>
      <c r="C618" s="14">
        <v>0.2334</v>
      </c>
      <c r="D618" s="14">
        <v>0.62390000000000001</v>
      </c>
      <c r="E618" s="26">
        <f t="shared" si="36"/>
        <v>0.62090000000000001</v>
      </c>
      <c r="F618" s="15">
        <f t="shared" si="37"/>
        <v>0.42796324949352332</v>
      </c>
      <c r="G618" s="15">
        <f t="shared" si="38"/>
        <v>-0.19456324949352333</v>
      </c>
      <c r="H618" s="15">
        <f t="shared" si="39"/>
        <v>15.957587181188078</v>
      </c>
    </row>
    <row r="619" spans="1:8" x14ac:dyDescent="0.25">
      <c r="A619" s="16" t="s">
        <v>10</v>
      </c>
      <c r="B619" s="17">
        <v>42564</v>
      </c>
      <c r="C619" s="18">
        <v>0.58109999999999995</v>
      </c>
      <c r="D619" s="18">
        <v>0.18410000000000001</v>
      </c>
      <c r="E619" s="27">
        <f t="shared" si="36"/>
        <v>0.18110000000000001</v>
      </c>
      <c r="F619" s="28">
        <f t="shared" si="37"/>
        <v>0.13404482746191199</v>
      </c>
      <c r="G619" s="28">
        <f t="shared" si="38"/>
        <v>0.44705517253808796</v>
      </c>
      <c r="H619" s="28">
        <f t="shared" si="39"/>
        <v>16.404642353726167</v>
      </c>
    </row>
    <row r="620" spans="1:8" x14ac:dyDescent="0.25">
      <c r="A620" s="12" t="s">
        <v>10</v>
      </c>
      <c r="B620" s="13">
        <v>42565</v>
      </c>
      <c r="C620" s="14">
        <v>-0.34820000000000001</v>
      </c>
      <c r="D620" s="14">
        <v>9.7199999999999995E-2</v>
      </c>
      <c r="E620" s="26">
        <f t="shared" si="36"/>
        <v>9.4199999999999992E-2</v>
      </c>
      <c r="F620" s="15">
        <f t="shared" si="37"/>
        <v>7.5969541253301173E-2</v>
      </c>
      <c r="G620" s="15">
        <f t="shared" si="38"/>
        <v>-0.4241695412533012</v>
      </c>
      <c r="H620" s="15">
        <f t="shared" si="39"/>
        <v>15.980472812472867</v>
      </c>
    </row>
    <row r="621" spans="1:8" x14ac:dyDescent="0.25">
      <c r="A621" s="12" t="s">
        <v>10</v>
      </c>
      <c r="B621" s="13">
        <v>42566</v>
      </c>
      <c r="C621" s="14">
        <v>-1.5232000000000001</v>
      </c>
      <c r="D621" s="14">
        <v>0.93720000000000003</v>
      </c>
      <c r="E621" s="26">
        <f t="shared" si="36"/>
        <v>0.93420000000000003</v>
      </c>
      <c r="F621" s="15">
        <f t="shared" si="37"/>
        <v>0.63734169793032147</v>
      </c>
      <c r="G621" s="15">
        <f t="shared" si="38"/>
        <v>-2.1605416979303218</v>
      </c>
      <c r="H621" s="15">
        <f t="shared" si="39"/>
        <v>13.819931114542545</v>
      </c>
    </row>
    <row r="622" spans="1:8" x14ac:dyDescent="0.25">
      <c r="A622" s="12" t="s">
        <v>10</v>
      </c>
      <c r="B622" s="13">
        <v>42569</v>
      </c>
      <c r="C622" s="14">
        <v>-1.1877</v>
      </c>
      <c r="D622" s="14">
        <v>0.65</v>
      </c>
      <c r="E622" s="26">
        <f t="shared" si="36"/>
        <v>0.64700000000000002</v>
      </c>
      <c r="F622" s="15">
        <f t="shared" si="37"/>
        <v>0.44540588436170214</v>
      </c>
      <c r="G622" s="15">
        <f t="shared" si="38"/>
        <v>-1.6331058843617021</v>
      </c>
      <c r="H622" s="15">
        <f t="shared" si="39"/>
        <v>12.186825230180842</v>
      </c>
    </row>
    <row r="623" spans="1:8" x14ac:dyDescent="0.25">
      <c r="A623" s="12" t="s">
        <v>10</v>
      </c>
      <c r="B623" s="13">
        <v>42570</v>
      </c>
      <c r="C623" s="14">
        <v>0.11940000000000001</v>
      </c>
      <c r="D623" s="14">
        <v>0.29549999999999998</v>
      </c>
      <c r="E623" s="26">
        <f t="shared" si="36"/>
        <v>0.29249999999999998</v>
      </c>
      <c r="F623" s="15">
        <f t="shared" si="37"/>
        <v>0.20849346824026918</v>
      </c>
      <c r="G623" s="15">
        <f t="shared" si="38"/>
        <v>-8.9093468240269175E-2</v>
      </c>
      <c r="H623" s="15">
        <f t="shared" si="39"/>
        <v>12.097731761940572</v>
      </c>
    </row>
    <row r="624" spans="1:8" x14ac:dyDescent="0.25">
      <c r="A624" s="12" t="s">
        <v>10</v>
      </c>
      <c r="B624" s="13">
        <v>42571</v>
      </c>
      <c r="C624" s="14">
        <v>0.47620000000000001</v>
      </c>
      <c r="D624" s="14">
        <v>-0.3014</v>
      </c>
      <c r="E624" s="26">
        <f t="shared" si="36"/>
        <v>-0.3044</v>
      </c>
      <c r="F624" s="15">
        <f t="shared" si="37"/>
        <v>-0.19041491309367534</v>
      </c>
      <c r="G624" s="15">
        <f t="shared" si="38"/>
        <v>0.66661491309367538</v>
      </c>
      <c r="H624" s="15">
        <f t="shared" si="39"/>
        <v>12.764346675034247</v>
      </c>
    </row>
    <row r="625" spans="1:8" x14ac:dyDescent="0.25">
      <c r="A625" s="12" t="s">
        <v>10</v>
      </c>
      <c r="B625" s="13">
        <v>42572</v>
      </c>
      <c r="C625" s="14">
        <v>1.5321</v>
      </c>
      <c r="D625" s="14">
        <v>0.54120000000000001</v>
      </c>
      <c r="E625" s="26">
        <f t="shared" si="36"/>
        <v>0.53820000000000001</v>
      </c>
      <c r="F625" s="15">
        <f t="shared" si="37"/>
        <v>0.37269482406829763</v>
      </c>
      <c r="G625" s="15">
        <f t="shared" si="38"/>
        <v>1.1594051759317023</v>
      </c>
      <c r="H625" s="15">
        <f t="shared" si="39"/>
        <v>13.923751850965949</v>
      </c>
    </row>
    <row r="626" spans="1:8" x14ac:dyDescent="0.25">
      <c r="A626" s="12" t="s">
        <v>10</v>
      </c>
      <c r="B626" s="13">
        <v>42573</v>
      </c>
      <c r="C626" s="14">
        <v>0</v>
      </c>
      <c r="D626" s="14">
        <v>-0.48060000000000003</v>
      </c>
      <c r="E626" s="26">
        <f t="shared" si="36"/>
        <v>-0.48360000000000003</v>
      </c>
      <c r="F626" s="15">
        <f t="shared" si="37"/>
        <v>-0.31017430651810635</v>
      </c>
      <c r="G626" s="15">
        <f t="shared" si="38"/>
        <v>0.31017430651810635</v>
      </c>
      <c r="H626" s="15">
        <f t="shared" si="39"/>
        <v>14.233926157484056</v>
      </c>
    </row>
    <row r="627" spans="1:8" x14ac:dyDescent="0.25">
      <c r="A627" s="12" t="s">
        <v>10</v>
      </c>
      <c r="B627" s="13">
        <v>42576</v>
      </c>
      <c r="C627" s="14">
        <v>-1.77</v>
      </c>
      <c r="D627" s="14">
        <v>-0.23849999999999999</v>
      </c>
      <c r="E627" s="26">
        <f t="shared" si="36"/>
        <v>-0.24149999999999999</v>
      </c>
      <c r="F627" s="15">
        <f t="shared" si="37"/>
        <v>-0.14837883136155083</v>
      </c>
      <c r="G627" s="15">
        <f t="shared" si="38"/>
        <v>-1.6216211686384492</v>
      </c>
      <c r="H627" s="15">
        <f t="shared" si="39"/>
        <v>12.612304988845608</v>
      </c>
    </row>
    <row r="628" spans="1:8" x14ac:dyDescent="0.25">
      <c r="A628" s="12" t="s">
        <v>10</v>
      </c>
      <c r="B628" s="13">
        <v>42577</v>
      </c>
      <c r="C628" s="14">
        <v>-0.2384</v>
      </c>
      <c r="D628" s="14">
        <v>0.36770000000000003</v>
      </c>
      <c r="E628" s="26">
        <f t="shared" si="36"/>
        <v>0.36470000000000002</v>
      </c>
      <c r="F628" s="15">
        <f t="shared" si="37"/>
        <v>0.2567447417070321</v>
      </c>
      <c r="G628" s="15">
        <f t="shared" si="38"/>
        <v>-0.4951447417070321</v>
      </c>
      <c r="H628" s="15">
        <f t="shared" si="39"/>
        <v>12.117160247138576</v>
      </c>
    </row>
    <row r="629" spans="1:8" x14ac:dyDescent="0.25">
      <c r="A629" s="12" t="s">
        <v>10</v>
      </c>
      <c r="B629" s="13">
        <v>42578</v>
      </c>
      <c r="C629" s="14">
        <v>1.0683</v>
      </c>
      <c r="D629" s="14">
        <v>0.42680000000000001</v>
      </c>
      <c r="E629" s="26">
        <f t="shared" si="36"/>
        <v>0.42380000000000001</v>
      </c>
      <c r="F629" s="15">
        <f t="shared" si="37"/>
        <v>0.29624128273037964</v>
      </c>
      <c r="G629" s="15">
        <f t="shared" si="38"/>
        <v>0.77205871726962039</v>
      </c>
      <c r="H629" s="15">
        <f t="shared" si="39"/>
        <v>12.889218964408197</v>
      </c>
    </row>
    <row r="630" spans="1:8" x14ac:dyDescent="0.25">
      <c r="A630" s="2" t="s">
        <v>10</v>
      </c>
      <c r="B630" s="3">
        <v>42579</v>
      </c>
      <c r="C630" s="4">
        <v>0.11799999999999999</v>
      </c>
      <c r="D630" s="4">
        <v>0.14610000000000001</v>
      </c>
      <c r="E630" s="22">
        <f t="shared" si="36"/>
        <v>0.1431</v>
      </c>
      <c r="F630">
        <f t="shared" si="37"/>
        <v>0.10864942037414201</v>
      </c>
      <c r="G630">
        <f t="shared" si="38"/>
        <v>9.3505796258579882E-3</v>
      </c>
      <c r="H630">
        <f t="shared" si="39"/>
        <v>12.898569544034055</v>
      </c>
    </row>
    <row r="631" spans="1:8" x14ac:dyDescent="0.25">
      <c r="A631" s="2" t="s">
        <v>10</v>
      </c>
      <c r="B631" s="3">
        <v>42580</v>
      </c>
      <c r="C631" s="4">
        <v>-0.4728</v>
      </c>
      <c r="D631" s="4">
        <v>-1.0213000000000001</v>
      </c>
      <c r="E631" s="22">
        <f t="shared" si="36"/>
        <v>-1.0243</v>
      </c>
      <c r="F631">
        <f t="shared" si="37"/>
        <v>-0.6715242173696121</v>
      </c>
      <c r="G631">
        <f t="shared" si="38"/>
        <v>0.1987242173696121</v>
      </c>
      <c r="H631">
        <f t="shared" si="39"/>
        <v>13.097293761403668</v>
      </c>
    </row>
    <row r="632" spans="1:8" x14ac:dyDescent="0.25">
      <c r="A632" s="2" t="s">
        <v>10</v>
      </c>
      <c r="B632" s="3">
        <v>42583</v>
      </c>
      <c r="C632" s="4">
        <v>0</v>
      </c>
      <c r="D632" s="4">
        <v>1.0662</v>
      </c>
      <c r="E632" s="22">
        <f t="shared" si="36"/>
        <v>1.0632000000000001</v>
      </c>
      <c r="F632">
        <f t="shared" si="37"/>
        <v>0.72355242199143543</v>
      </c>
      <c r="G632">
        <f t="shared" si="38"/>
        <v>-0.72355242199143543</v>
      </c>
      <c r="H632">
        <f t="shared" si="39"/>
        <v>12.373741339412232</v>
      </c>
    </row>
    <row r="633" spans="1:8" x14ac:dyDescent="0.25">
      <c r="A633" s="2" t="s">
        <v>10</v>
      </c>
      <c r="B633" s="3">
        <v>42584</v>
      </c>
      <c r="C633" s="4">
        <v>-0.35610000000000003</v>
      </c>
      <c r="D633" s="4">
        <v>-0.13170000000000001</v>
      </c>
      <c r="E633" s="22">
        <f t="shared" si="36"/>
        <v>-0.13470000000000001</v>
      </c>
      <c r="F633">
        <f t="shared" si="37"/>
        <v>-7.7004371441186853E-2</v>
      </c>
      <c r="G633">
        <f t="shared" si="38"/>
        <v>-0.2790956285588132</v>
      </c>
      <c r="H633">
        <f t="shared" si="39"/>
        <v>12.094645710853419</v>
      </c>
    </row>
    <row r="634" spans="1:8" x14ac:dyDescent="0.25">
      <c r="A634" s="2" t="s">
        <v>10</v>
      </c>
      <c r="B634" s="3">
        <v>42585</v>
      </c>
      <c r="C634" s="4">
        <v>-4.2507999999999999</v>
      </c>
      <c r="D634" s="4">
        <v>-0.74209999999999998</v>
      </c>
      <c r="E634" s="22">
        <f t="shared" si="36"/>
        <v>-0.74509999999999998</v>
      </c>
      <c r="F634">
        <f t="shared" si="37"/>
        <v>-0.48493480529315491</v>
      </c>
      <c r="G634">
        <f t="shared" si="38"/>
        <v>-3.7658651947068451</v>
      </c>
      <c r="H634">
        <f t="shared" si="39"/>
        <v>8.3287805161465727</v>
      </c>
    </row>
    <row r="635" spans="1:8" x14ac:dyDescent="0.25">
      <c r="A635" s="2" t="s">
        <v>10</v>
      </c>
      <c r="B635" s="3">
        <v>42586</v>
      </c>
      <c r="C635" s="4">
        <v>-1.6261000000000001</v>
      </c>
      <c r="D635" s="4">
        <v>0.25519999999999998</v>
      </c>
      <c r="E635" s="22">
        <f t="shared" si="36"/>
        <v>0.25219999999999998</v>
      </c>
      <c r="F635">
        <f t="shared" si="37"/>
        <v>0.18156097072350261</v>
      </c>
      <c r="G635">
        <f t="shared" si="38"/>
        <v>-1.8076609707235027</v>
      </c>
      <c r="H635">
        <f t="shared" si="39"/>
        <v>6.5211195454230699</v>
      </c>
    </row>
    <row r="636" spans="1:8" x14ac:dyDescent="0.25">
      <c r="A636" s="2" t="s">
        <v>10</v>
      </c>
      <c r="B636" s="3">
        <v>42587</v>
      </c>
      <c r="C636" s="4">
        <v>0.37759999999999999</v>
      </c>
      <c r="D636" s="4">
        <v>0.74419999999999997</v>
      </c>
      <c r="E636" s="22">
        <f t="shared" si="36"/>
        <v>0.74119999999999997</v>
      </c>
      <c r="F636">
        <f t="shared" si="37"/>
        <v>0.5083597619319109</v>
      </c>
      <c r="G636">
        <f t="shared" si="38"/>
        <v>-0.13075976193191091</v>
      </c>
      <c r="H636">
        <f t="shared" si="39"/>
        <v>6.3903597834911592</v>
      </c>
    </row>
    <row r="637" spans="1:8" x14ac:dyDescent="0.25">
      <c r="A637" s="2" t="s">
        <v>10</v>
      </c>
      <c r="B637" s="3">
        <v>42590</v>
      </c>
      <c r="C637" s="4">
        <v>0.87560000000000004</v>
      </c>
      <c r="D637" s="4">
        <v>0.63739999999999997</v>
      </c>
      <c r="E637" s="22">
        <f t="shared" si="36"/>
        <v>0.63439999999999996</v>
      </c>
      <c r="F637">
        <f t="shared" si="37"/>
        <v>0.43698530201154684</v>
      </c>
      <c r="G637">
        <f t="shared" si="38"/>
        <v>0.43861469798845321</v>
      </c>
      <c r="H637">
        <f t="shared" si="39"/>
        <v>6.8289744814796123</v>
      </c>
    </row>
    <row r="638" spans="1:8" x14ac:dyDescent="0.25">
      <c r="A638" s="2" t="s">
        <v>10</v>
      </c>
      <c r="B638" s="3">
        <v>42591</v>
      </c>
      <c r="C638" s="4">
        <v>-1.2531000000000001</v>
      </c>
      <c r="D638" s="4">
        <v>5.2699999999999997E-2</v>
      </c>
      <c r="E638" s="22">
        <f t="shared" si="36"/>
        <v>4.9699999999999994E-2</v>
      </c>
      <c r="F638">
        <f t="shared" si="37"/>
        <v>4.6230182953149512E-2</v>
      </c>
      <c r="G638">
        <f t="shared" si="38"/>
        <v>-1.2993301829531496</v>
      </c>
      <c r="H638">
        <f t="shared" si="39"/>
        <v>5.5296442985264624</v>
      </c>
    </row>
    <row r="639" spans="1:8" x14ac:dyDescent="0.25">
      <c r="A639" s="2" t="s">
        <v>10</v>
      </c>
      <c r="B639" s="3">
        <v>42592</v>
      </c>
      <c r="C639" s="4">
        <v>0.126</v>
      </c>
      <c r="D639" s="4">
        <v>0.49399999999999999</v>
      </c>
      <c r="E639" s="22">
        <f t="shared" si="36"/>
        <v>0.49099999999999999</v>
      </c>
      <c r="F639">
        <f t="shared" si="37"/>
        <v>0.34115105526454126</v>
      </c>
      <c r="G639">
        <f t="shared" si="38"/>
        <v>-0.21515105526454126</v>
      </c>
      <c r="H639">
        <f t="shared" si="39"/>
        <v>5.3144932432619214</v>
      </c>
    </row>
    <row r="640" spans="1:8" x14ac:dyDescent="0.25">
      <c r="A640" s="2" t="s">
        <v>10</v>
      </c>
      <c r="B640" s="3">
        <v>42593</v>
      </c>
      <c r="C640" s="4">
        <v>-0.25219999999999998</v>
      </c>
      <c r="D640" s="4">
        <v>-0.74829999999999997</v>
      </c>
      <c r="E640" s="22">
        <f t="shared" si="36"/>
        <v>-0.75129999999999997</v>
      </c>
      <c r="F640">
        <f t="shared" si="37"/>
        <v>-0.48907826644958052</v>
      </c>
      <c r="G640">
        <f t="shared" si="38"/>
        <v>0.23687826644958054</v>
      </c>
      <c r="H640">
        <f t="shared" si="39"/>
        <v>5.551371509711502</v>
      </c>
    </row>
    <row r="641" spans="1:8" x14ac:dyDescent="0.25">
      <c r="A641" s="2" t="s">
        <v>10</v>
      </c>
      <c r="B641" s="3">
        <v>42594</v>
      </c>
      <c r="C641" s="4">
        <v>-0.3795</v>
      </c>
      <c r="D641" s="4">
        <v>0.20300000000000001</v>
      </c>
      <c r="E641" s="22">
        <f t="shared" si="36"/>
        <v>0.2</v>
      </c>
      <c r="F641">
        <f t="shared" si="37"/>
        <v>0.14667570098714494</v>
      </c>
      <c r="G641">
        <f t="shared" si="38"/>
        <v>-0.52617570098714495</v>
      </c>
      <c r="H641">
        <f t="shared" si="39"/>
        <v>5.0251958087243569</v>
      </c>
    </row>
    <row r="642" spans="1:8" x14ac:dyDescent="0.25">
      <c r="A642" s="2" t="s">
        <v>10</v>
      </c>
      <c r="B642" s="3">
        <v>42597</v>
      </c>
      <c r="C642" s="4">
        <v>-0.89119999999999999</v>
      </c>
      <c r="D642" s="4">
        <v>-2.0500000000000001E-2</v>
      </c>
      <c r="E642" s="22">
        <f t="shared" si="36"/>
        <v>-2.35E-2</v>
      </c>
      <c r="F642">
        <f t="shared" si="37"/>
        <v>-2.68939070013368E-3</v>
      </c>
      <c r="G642">
        <f t="shared" si="38"/>
        <v>-0.88851060929986636</v>
      </c>
      <c r="H642">
        <f t="shared" si="39"/>
        <v>4.1366851994244902</v>
      </c>
    </row>
    <row r="643" spans="1:8" x14ac:dyDescent="0.25">
      <c r="A643" s="2" t="s">
        <v>10</v>
      </c>
      <c r="B643" s="3">
        <v>42598</v>
      </c>
      <c r="C643" s="4">
        <v>0.38290000000000002</v>
      </c>
      <c r="D643" s="4">
        <v>-0.41789999999999999</v>
      </c>
      <c r="E643" s="22">
        <f t="shared" ref="E643:E706" si="40">D643-K$2</f>
        <v>-0.4209</v>
      </c>
      <c r="F643">
        <f t="shared" ref="F643:F706" si="41">K$3+K$4*E643</f>
        <v>-0.2682718848232859</v>
      </c>
      <c r="G643">
        <f t="shared" ref="G643:G706" si="42">C643-F643</f>
        <v>0.65117188482328592</v>
      </c>
      <c r="H643">
        <f t="shared" si="39"/>
        <v>4.7878570842477757</v>
      </c>
    </row>
    <row r="644" spans="1:8" x14ac:dyDescent="0.25">
      <c r="A644" s="2" t="s">
        <v>10</v>
      </c>
      <c r="B644" s="3">
        <v>42599</v>
      </c>
      <c r="C644" s="4">
        <v>1.6425000000000001</v>
      </c>
      <c r="D644" s="4">
        <v>8.0500000000000002E-2</v>
      </c>
      <c r="E644" s="22">
        <f t="shared" si="40"/>
        <v>7.7499999999999999E-2</v>
      </c>
      <c r="F644">
        <f t="shared" si="41"/>
        <v>6.4808928138412797E-2</v>
      </c>
      <c r="G644">
        <f t="shared" si="42"/>
        <v>1.5776910718615873</v>
      </c>
      <c r="H644">
        <f t="shared" ref="H644:H707" si="43">H643+G644</f>
        <v>6.3655481561093632</v>
      </c>
    </row>
    <row r="645" spans="1:8" x14ac:dyDescent="0.25">
      <c r="A645" s="2" t="s">
        <v>10</v>
      </c>
      <c r="B645" s="3">
        <v>42600</v>
      </c>
      <c r="C645" s="4">
        <v>0</v>
      </c>
      <c r="D645" s="4">
        <v>5.2600000000000001E-2</v>
      </c>
      <c r="E645" s="22">
        <f t="shared" si="40"/>
        <v>4.9599999999999998E-2</v>
      </c>
      <c r="F645">
        <f t="shared" si="41"/>
        <v>4.6163352934497491E-2</v>
      </c>
      <c r="G645">
        <f t="shared" si="42"/>
        <v>-4.6163352934497491E-2</v>
      </c>
      <c r="H645">
        <f t="shared" si="43"/>
        <v>6.3193848031748656</v>
      </c>
    </row>
    <row r="646" spans="1:8" x14ac:dyDescent="0.25">
      <c r="A646" s="2" t="s">
        <v>10</v>
      </c>
      <c r="B646" s="3">
        <v>42601</v>
      </c>
      <c r="C646" s="4">
        <v>0.62460000000000004</v>
      </c>
      <c r="D646" s="4">
        <v>-0.97189999999999999</v>
      </c>
      <c r="E646" s="22">
        <f t="shared" si="40"/>
        <v>-0.97489999999999999</v>
      </c>
      <c r="F646">
        <f t="shared" si="41"/>
        <v>-0.63851018815551119</v>
      </c>
      <c r="G646">
        <f t="shared" si="42"/>
        <v>1.2631101881555113</v>
      </c>
      <c r="H646">
        <f t="shared" si="43"/>
        <v>7.5824949913303765</v>
      </c>
    </row>
    <row r="647" spans="1:8" x14ac:dyDescent="0.25">
      <c r="A647" s="2" t="s">
        <v>10</v>
      </c>
      <c r="B647" s="3">
        <v>42604</v>
      </c>
      <c r="C647" s="4">
        <v>-0.37430000000000002</v>
      </c>
      <c r="D647" s="4">
        <v>-0.58240000000000003</v>
      </c>
      <c r="E647" s="22">
        <f t="shared" si="40"/>
        <v>-0.58540000000000003</v>
      </c>
      <c r="F647">
        <f t="shared" si="41"/>
        <v>-0.37820726550586903</v>
      </c>
      <c r="G647">
        <f t="shared" si="42"/>
        <v>3.9072655058690065E-3</v>
      </c>
      <c r="H647">
        <f t="shared" si="43"/>
        <v>7.5864022568362453</v>
      </c>
    </row>
    <row r="648" spans="1:8" x14ac:dyDescent="0.25">
      <c r="A648" s="2" t="s">
        <v>10</v>
      </c>
      <c r="B648" s="3">
        <v>42605</v>
      </c>
      <c r="C648" s="4">
        <v>0</v>
      </c>
      <c r="D648" s="4">
        <v>0.5454</v>
      </c>
      <c r="E648" s="22">
        <f t="shared" si="40"/>
        <v>0.54239999999999999</v>
      </c>
      <c r="F648">
        <f t="shared" si="41"/>
        <v>0.37550168485168273</v>
      </c>
      <c r="G648">
        <f t="shared" si="42"/>
        <v>-0.37550168485168273</v>
      </c>
      <c r="H648">
        <f t="shared" si="43"/>
        <v>7.2109005719845625</v>
      </c>
    </row>
    <row r="649" spans="1:8" x14ac:dyDescent="0.25">
      <c r="A649" s="2" t="s">
        <v>10</v>
      </c>
      <c r="B649" s="3">
        <v>42606</v>
      </c>
      <c r="C649" s="4">
        <v>-0.12509999999999999</v>
      </c>
      <c r="D649" s="4">
        <v>-0.1502</v>
      </c>
      <c r="E649" s="22">
        <f t="shared" si="40"/>
        <v>-0.1532</v>
      </c>
      <c r="F649">
        <f t="shared" si="41"/>
        <v>-8.9367924891811695E-2</v>
      </c>
      <c r="G649">
        <f t="shared" si="42"/>
        <v>-3.5732075108188294E-2</v>
      </c>
      <c r="H649">
        <f t="shared" si="43"/>
        <v>7.175168496876374</v>
      </c>
    </row>
    <row r="650" spans="1:8" x14ac:dyDescent="0.25">
      <c r="A650" s="2" t="s">
        <v>10</v>
      </c>
      <c r="B650" s="3">
        <v>42607</v>
      </c>
      <c r="C650" s="4">
        <v>0</v>
      </c>
      <c r="D650" s="4">
        <v>1.0819000000000001</v>
      </c>
      <c r="E650" s="22">
        <f t="shared" si="40"/>
        <v>1.0789000000000002</v>
      </c>
      <c r="F650">
        <f t="shared" si="41"/>
        <v>0.73404473491980349</v>
      </c>
      <c r="G650">
        <f t="shared" si="42"/>
        <v>-0.73404473491980349</v>
      </c>
      <c r="H650">
        <f t="shared" si="43"/>
        <v>6.4411237619565709</v>
      </c>
    </row>
    <row r="651" spans="1:8" x14ac:dyDescent="0.25">
      <c r="A651" s="2" t="s">
        <v>10</v>
      </c>
      <c r="B651" s="3">
        <v>42608</v>
      </c>
      <c r="C651" s="4">
        <v>0.12509999999999999</v>
      </c>
      <c r="D651" s="4">
        <v>0.17810000000000001</v>
      </c>
      <c r="E651" s="22">
        <f t="shared" si="40"/>
        <v>0.17510000000000001</v>
      </c>
      <c r="F651">
        <f t="shared" si="41"/>
        <v>0.13003502634279041</v>
      </c>
      <c r="G651">
        <f t="shared" si="42"/>
        <v>-4.9350263427904162E-3</v>
      </c>
      <c r="H651">
        <f t="shared" si="43"/>
        <v>6.4361887356137801</v>
      </c>
    </row>
    <row r="652" spans="1:8" x14ac:dyDescent="0.25">
      <c r="A652" s="2" t="s">
        <v>10</v>
      </c>
      <c r="B652" s="3">
        <v>42611</v>
      </c>
      <c r="C652" s="4">
        <v>0.62309999999999999</v>
      </c>
      <c r="D652" s="4">
        <v>-0.23630000000000001</v>
      </c>
      <c r="E652" s="22">
        <f t="shared" si="40"/>
        <v>-0.23930000000000001</v>
      </c>
      <c r="F652">
        <f t="shared" si="41"/>
        <v>-0.14690857095120627</v>
      </c>
      <c r="G652">
        <f t="shared" si="42"/>
        <v>0.77000857095120623</v>
      </c>
      <c r="H652">
        <f t="shared" si="43"/>
        <v>7.2061973065649862</v>
      </c>
    </row>
    <row r="653" spans="1:8" x14ac:dyDescent="0.25">
      <c r="A653" s="2" t="s">
        <v>10</v>
      </c>
      <c r="B653" s="3">
        <v>42612</v>
      </c>
      <c r="C653" s="4">
        <v>-0.12429999999999999</v>
      </c>
      <c r="D653" s="4">
        <v>4.3E-3</v>
      </c>
      <c r="E653" s="22">
        <f t="shared" si="40"/>
        <v>1.2999999999999999E-3</v>
      </c>
      <c r="F653">
        <f t="shared" si="41"/>
        <v>1.3884453925568823E-2</v>
      </c>
      <c r="G653">
        <f t="shared" si="42"/>
        <v>-0.13818445392556883</v>
      </c>
      <c r="H653">
        <f t="shared" si="43"/>
        <v>7.0680128526394173</v>
      </c>
    </row>
    <row r="654" spans="1:8" x14ac:dyDescent="0.25">
      <c r="A654" s="2" t="s">
        <v>10</v>
      </c>
      <c r="B654" s="3">
        <v>42613</v>
      </c>
      <c r="C654" s="4">
        <v>-2.7745000000000002</v>
      </c>
      <c r="D654" s="4">
        <v>-0.45889999999999997</v>
      </c>
      <c r="E654" s="22">
        <f t="shared" si="40"/>
        <v>-0.46189999999999998</v>
      </c>
      <c r="F654">
        <f t="shared" si="41"/>
        <v>-0.29567219247061666</v>
      </c>
      <c r="G654">
        <f t="shared" si="42"/>
        <v>-2.4788278075293837</v>
      </c>
      <c r="H654">
        <f t="shared" si="43"/>
        <v>4.5891850451100336</v>
      </c>
    </row>
    <row r="655" spans="1:8" x14ac:dyDescent="0.25">
      <c r="A655" s="2" t="s">
        <v>10</v>
      </c>
      <c r="B655" s="3">
        <v>42614</v>
      </c>
      <c r="C655" s="4">
        <v>1.3968</v>
      </c>
      <c r="D655" s="4">
        <v>-0.74929999999999997</v>
      </c>
      <c r="E655" s="22">
        <f t="shared" si="40"/>
        <v>-0.75229999999999997</v>
      </c>
      <c r="F655">
        <f t="shared" si="41"/>
        <v>-0.48974656663610083</v>
      </c>
      <c r="G655">
        <f t="shared" si="42"/>
        <v>1.8865465666361008</v>
      </c>
      <c r="H655">
        <f t="shared" si="43"/>
        <v>6.4757316117461343</v>
      </c>
    </row>
    <row r="656" spans="1:8" x14ac:dyDescent="0.25">
      <c r="A656" s="2" t="s">
        <v>10</v>
      </c>
      <c r="B656" s="3">
        <v>42615</v>
      </c>
      <c r="C656" s="4">
        <v>-1.1414</v>
      </c>
      <c r="D656" s="4">
        <v>-0.1512</v>
      </c>
      <c r="E656" s="22">
        <f t="shared" si="40"/>
        <v>-0.1542</v>
      </c>
      <c r="F656">
        <f t="shared" si="41"/>
        <v>-9.0036225078331963E-2</v>
      </c>
      <c r="G656">
        <f t="shared" si="42"/>
        <v>-1.051363774921668</v>
      </c>
      <c r="H656">
        <f t="shared" si="43"/>
        <v>5.4243678368244659</v>
      </c>
    </row>
    <row r="657" spans="1:8" x14ac:dyDescent="0.25">
      <c r="A657" s="2" t="s">
        <v>10</v>
      </c>
      <c r="B657" s="3">
        <v>42618</v>
      </c>
      <c r="C657" s="4">
        <v>0.25480000000000003</v>
      </c>
      <c r="D657" s="4">
        <v>1.1349</v>
      </c>
      <c r="E657" s="22">
        <f t="shared" si="40"/>
        <v>1.1319000000000001</v>
      </c>
      <c r="F657">
        <f t="shared" si="41"/>
        <v>0.76946464480537735</v>
      </c>
      <c r="G657">
        <f t="shared" si="42"/>
        <v>-0.51466464480537732</v>
      </c>
      <c r="H657">
        <f t="shared" si="43"/>
        <v>4.909703192019089</v>
      </c>
    </row>
    <row r="658" spans="1:8" x14ac:dyDescent="0.25">
      <c r="A658" s="2" t="s">
        <v>10</v>
      </c>
      <c r="B658" s="3">
        <v>42619</v>
      </c>
      <c r="C658" s="4">
        <v>1.0126999999999999</v>
      </c>
      <c r="D658" s="4">
        <v>1.0039</v>
      </c>
      <c r="E658" s="22">
        <f t="shared" si="40"/>
        <v>1.0009000000000001</v>
      </c>
      <c r="F658">
        <f t="shared" si="41"/>
        <v>0.68191732037122299</v>
      </c>
      <c r="G658">
        <f t="shared" si="42"/>
        <v>0.33078267962877694</v>
      </c>
      <c r="H658">
        <f t="shared" si="43"/>
        <v>5.2404858716478664</v>
      </c>
    </row>
    <row r="659" spans="1:8" x14ac:dyDescent="0.25">
      <c r="A659" s="2" t="s">
        <v>10</v>
      </c>
      <c r="B659" s="3">
        <v>42620</v>
      </c>
      <c r="C659" s="4">
        <v>1.0024999999999999</v>
      </c>
      <c r="D659" s="4">
        <v>0.83750000000000002</v>
      </c>
      <c r="E659" s="22">
        <f t="shared" si="40"/>
        <v>0.83450000000000002</v>
      </c>
      <c r="F659">
        <f t="shared" si="41"/>
        <v>0.57071216933425128</v>
      </c>
      <c r="G659">
        <f t="shared" si="42"/>
        <v>0.43178783066574866</v>
      </c>
      <c r="H659">
        <f t="shared" si="43"/>
        <v>5.6722737023136149</v>
      </c>
    </row>
    <row r="660" spans="1:8" x14ac:dyDescent="0.25">
      <c r="A660" s="2" t="s">
        <v>10</v>
      </c>
      <c r="B660" s="3">
        <v>42621</v>
      </c>
      <c r="C660" s="4">
        <v>0.4975</v>
      </c>
      <c r="D660" s="4">
        <v>4.1200000000000001E-2</v>
      </c>
      <c r="E660" s="22">
        <f t="shared" si="40"/>
        <v>3.8199999999999998E-2</v>
      </c>
      <c r="F660">
        <f t="shared" si="41"/>
        <v>3.8544730808166498E-2</v>
      </c>
      <c r="G660">
        <f t="shared" si="42"/>
        <v>0.45895526919183349</v>
      </c>
      <c r="H660">
        <f t="shared" si="43"/>
        <v>6.1312289715054487</v>
      </c>
    </row>
    <row r="661" spans="1:8" x14ac:dyDescent="0.25">
      <c r="A661" s="2" t="s">
        <v>10</v>
      </c>
      <c r="B661" s="3">
        <v>42622</v>
      </c>
      <c r="C661" s="4">
        <v>0</v>
      </c>
      <c r="D661" s="4">
        <v>-1.0637000000000001</v>
      </c>
      <c r="E661" s="22">
        <f t="shared" si="40"/>
        <v>-1.0667</v>
      </c>
      <c r="F661">
        <f t="shared" si="41"/>
        <v>-0.69986014527807128</v>
      </c>
      <c r="G661">
        <f t="shared" si="42"/>
        <v>0.69986014527807128</v>
      </c>
      <c r="H661">
        <f t="shared" si="43"/>
        <v>6.8310891167835202</v>
      </c>
    </row>
    <row r="662" spans="1:8" x14ac:dyDescent="0.25">
      <c r="A662" s="2" t="s">
        <v>10</v>
      </c>
      <c r="B662" s="3">
        <v>42623</v>
      </c>
      <c r="C662" s="4">
        <v>-1.2484999999999999</v>
      </c>
      <c r="D662" s="4">
        <v>-1.2205999999999999</v>
      </c>
      <c r="E662" s="22">
        <f t="shared" si="40"/>
        <v>-1.2235999999999998</v>
      </c>
      <c r="F662">
        <f t="shared" si="41"/>
        <v>-0.80471644454310021</v>
      </c>
      <c r="G662">
        <f t="shared" si="42"/>
        <v>-0.44378355545689974</v>
      </c>
      <c r="H662">
        <f t="shared" si="43"/>
        <v>6.3873055613266203</v>
      </c>
    </row>
    <row r="663" spans="1:8" x14ac:dyDescent="0.25">
      <c r="A663" s="2" t="s">
        <v>10</v>
      </c>
      <c r="B663" s="3">
        <v>42625</v>
      </c>
      <c r="C663" s="4">
        <v>-0.50380000000000003</v>
      </c>
      <c r="D663" s="4">
        <v>-1.1847000000000001</v>
      </c>
      <c r="E663" s="22">
        <f t="shared" si="40"/>
        <v>-1.1877</v>
      </c>
      <c r="F663">
        <f t="shared" si="41"/>
        <v>-0.78072446784702298</v>
      </c>
      <c r="G663">
        <f t="shared" si="42"/>
        <v>0.27692446784702296</v>
      </c>
      <c r="H663">
        <f t="shared" si="43"/>
        <v>6.6642300291736429</v>
      </c>
    </row>
    <row r="664" spans="1:8" x14ac:dyDescent="0.25">
      <c r="A664" s="2" t="s">
        <v>10</v>
      </c>
      <c r="B664" s="3">
        <v>42626</v>
      </c>
      <c r="C664" s="4">
        <v>-0.76049999999999995</v>
      </c>
      <c r="D664" s="4">
        <v>-6.9699999999999998E-2</v>
      </c>
      <c r="E664" s="22">
        <f t="shared" si="40"/>
        <v>-7.2700000000000001E-2</v>
      </c>
      <c r="F664">
        <f t="shared" si="41"/>
        <v>-3.5569759876930583E-2</v>
      </c>
      <c r="G664">
        <f t="shared" si="42"/>
        <v>-0.72493024012306939</v>
      </c>
      <c r="H664">
        <f t="shared" si="43"/>
        <v>5.9392997890505734</v>
      </c>
    </row>
    <row r="665" spans="1:8" x14ac:dyDescent="0.25">
      <c r="A665" s="2" t="s">
        <v>10</v>
      </c>
      <c r="B665" s="3">
        <v>42627</v>
      </c>
      <c r="C665" s="4">
        <v>1.6404000000000001</v>
      </c>
      <c r="D665" s="4">
        <v>-0.43190000000000001</v>
      </c>
      <c r="E665" s="22">
        <f t="shared" si="40"/>
        <v>-0.43490000000000001</v>
      </c>
      <c r="F665">
        <f t="shared" si="41"/>
        <v>-0.27762808743456957</v>
      </c>
      <c r="G665">
        <f t="shared" si="42"/>
        <v>1.9180280874345697</v>
      </c>
      <c r="H665">
        <f t="shared" si="43"/>
        <v>7.8573278764851429</v>
      </c>
    </row>
    <row r="666" spans="1:8" x14ac:dyDescent="0.25">
      <c r="A666" s="2" t="s">
        <v>10</v>
      </c>
      <c r="B666" s="3">
        <v>42632</v>
      </c>
      <c r="C666" s="4">
        <v>-1.0063</v>
      </c>
      <c r="D666" s="4">
        <v>2.7759</v>
      </c>
      <c r="E666" s="22">
        <f t="shared" si="40"/>
        <v>2.7728999999999999</v>
      </c>
      <c r="F666">
        <f t="shared" si="41"/>
        <v>1.8661452508851275</v>
      </c>
      <c r="G666">
        <f t="shared" si="42"/>
        <v>-2.8724452508851277</v>
      </c>
      <c r="H666">
        <f t="shared" si="43"/>
        <v>4.9848826256000152</v>
      </c>
    </row>
    <row r="667" spans="1:8" x14ac:dyDescent="0.25">
      <c r="A667" s="2" t="s">
        <v>10</v>
      </c>
      <c r="B667" s="3">
        <v>42633</v>
      </c>
      <c r="C667" s="4">
        <v>0.63009999999999999</v>
      </c>
      <c r="D667" s="4">
        <v>9.5000000000000001E-2</v>
      </c>
      <c r="E667" s="22">
        <f t="shared" si="40"/>
        <v>9.1999999999999998E-2</v>
      </c>
      <c r="F667">
        <f t="shared" si="41"/>
        <v>7.4499280842956608E-2</v>
      </c>
      <c r="G667">
        <f t="shared" si="42"/>
        <v>0.55560071915704334</v>
      </c>
      <c r="H667">
        <f t="shared" si="43"/>
        <v>5.5404833447570585</v>
      </c>
    </row>
    <row r="668" spans="1:8" x14ac:dyDescent="0.25">
      <c r="A668" s="2" t="s">
        <v>10</v>
      </c>
      <c r="B668" s="3">
        <v>42634</v>
      </c>
      <c r="C668" s="4">
        <v>2.6040000000000001</v>
      </c>
      <c r="D668" s="4">
        <v>0.7278</v>
      </c>
      <c r="E668" s="22">
        <f t="shared" si="40"/>
        <v>0.7248</v>
      </c>
      <c r="F668">
        <f t="shared" si="41"/>
        <v>0.49739963887297856</v>
      </c>
      <c r="G668">
        <f t="shared" si="42"/>
        <v>2.1066003611270214</v>
      </c>
      <c r="H668">
        <f t="shared" si="43"/>
        <v>7.6470837058840804</v>
      </c>
    </row>
    <row r="669" spans="1:8" x14ac:dyDescent="0.25">
      <c r="A669" s="2" t="s">
        <v>10</v>
      </c>
      <c r="B669" s="3">
        <v>42635</v>
      </c>
      <c r="C669" s="4">
        <v>1.9395</v>
      </c>
      <c r="D669" s="4">
        <v>7.3200000000000001E-2</v>
      </c>
      <c r="E669" s="22">
        <f t="shared" si="40"/>
        <v>7.0199999999999999E-2</v>
      </c>
      <c r="F669">
        <f t="shared" si="41"/>
        <v>5.9930336776814891E-2</v>
      </c>
      <c r="G669">
        <f t="shared" si="42"/>
        <v>1.8795696632231851</v>
      </c>
      <c r="H669">
        <f t="shared" si="43"/>
        <v>9.5266533691072652</v>
      </c>
    </row>
    <row r="670" spans="1:8" x14ac:dyDescent="0.25">
      <c r="A670" s="2" t="s">
        <v>10</v>
      </c>
      <c r="B670" s="3">
        <v>42636</v>
      </c>
      <c r="C670" s="4">
        <v>-0.48130000000000001</v>
      </c>
      <c r="D670" s="4">
        <v>0.53310000000000002</v>
      </c>
      <c r="E670" s="22">
        <f t="shared" si="40"/>
        <v>0.53010000000000002</v>
      </c>
      <c r="F670">
        <f t="shared" si="41"/>
        <v>0.36728159255748349</v>
      </c>
      <c r="G670">
        <f t="shared" si="42"/>
        <v>-0.84858159255748355</v>
      </c>
      <c r="H670">
        <f t="shared" si="43"/>
        <v>8.6780717765497819</v>
      </c>
    </row>
    <row r="671" spans="1:8" x14ac:dyDescent="0.25">
      <c r="A671" s="2" t="s">
        <v>10</v>
      </c>
      <c r="B671" s="3">
        <v>42639</v>
      </c>
      <c r="C671" s="4">
        <v>-0.24149999999999999</v>
      </c>
      <c r="D671" s="4">
        <v>-0.97519999999999996</v>
      </c>
      <c r="E671" s="22">
        <f t="shared" si="40"/>
        <v>-0.97819999999999996</v>
      </c>
      <c r="F671">
        <f t="shared" si="41"/>
        <v>-0.64071557877102803</v>
      </c>
      <c r="G671">
        <f t="shared" si="42"/>
        <v>0.39921557877102803</v>
      </c>
      <c r="H671">
        <f t="shared" si="43"/>
        <v>9.0772873553208093</v>
      </c>
    </row>
    <row r="672" spans="1:8" x14ac:dyDescent="0.25">
      <c r="A672" s="2" t="s">
        <v>10</v>
      </c>
      <c r="B672" s="3">
        <v>42642</v>
      </c>
      <c r="C672" s="4">
        <v>-0.3634</v>
      </c>
      <c r="D672" s="4">
        <v>0.82730000000000004</v>
      </c>
      <c r="E672" s="22">
        <f t="shared" si="40"/>
        <v>0.82430000000000003</v>
      </c>
      <c r="F672">
        <f t="shared" si="41"/>
        <v>0.56389550743174466</v>
      </c>
      <c r="G672">
        <f t="shared" si="42"/>
        <v>-0.9272955074317446</v>
      </c>
      <c r="H672">
        <f t="shared" si="43"/>
        <v>8.1499918478890656</v>
      </c>
    </row>
    <row r="673" spans="1:8" x14ac:dyDescent="0.25">
      <c r="A673" s="2" t="s">
        <v>10</v>
      </c>
      <c r="B673" s="3">
        <v>42643</v>
      </c>
      <c r="C673" s="4">
        <v>-0.48659999999999998</v>
      </c>
      <c r="D673" s="4">
        <v>-1.1287</v>
      </c>
      <c r="E673" s="22">
        <f t="shared" si="40"/>
        <v>-1.1316999999999999</v>
      </c>
      <c r="F673">
        <f t="shared" si="41"/>
        <v>-0.7432996574018883</v>
      </c>
      <c r="G673">
        <f t="shared" si="42"/>
        <v>0.25669965740188833</v>
      </c>
      <c r="H673">
        <f t="shared" si="43"/>
        <v>8.4066915052909543</v>
      </c>
    </row>
    <row r="674" spans="1:8" x14ac:dyDescent="0.25">
      <c r="A674" s="2" t="s">
        <v>10</v>
      </c>
      <c r="B674" s="3">
        <v>42646</v>
      </c>
      <c r="C674" s="4">
        <v>0.48659999999999998</v>
      </c>
      <c r="D674" s="4">
        <v>0.73199999999999998</v>
      </c>
      <c r="E674" s="22">
        <f t="shared" si="40"/>
        <v>0.72899999999999998</v>
      </c>
      <c r="F674">
        <f t="shared" si="41"/>
        <v>0.50020649965636366</v>
      </c>
      <c r="G674">
        <f t="shared" si="42"/>
        <v>-1.360649965636368E-2</v>
      </c>
      <c r="H674">
        <f t="shared" si="43"/>
        <v>8.3930850056345907</v>
      </c>
    </row>
    <row r="675" spans="1:8" x14ac:dyDescent="0.25">
      <c r="A675" s="2" t="s">
        <v>10</v>
      </c>
      <c r="B675" s="3">
        <v>42647</v>
      </c>
      <c r="C675" s="4">
        <v>0.60499999999999998</v>
      </c>
      <c r="D675" s="4">
        <v>0.57840000000000003</v>
      </c>
      <c r="E675" s="22">
        <f t="shared" si="40"/>
        <v>0.57540000000000002</v>
      </c>
      <c r="F675">
        <f t="shared" si="41"/>
        <v>0.39755559100685139</v>
      </c>
      <c r="G675">
        <f t="shared" si="42"/>
        <v>0.20744440899314859</v>
      </c>
      <c r="H675">
        <f t="shared" si="43"/>
        <v>8.60052941462774</v>
      </c>
    </row>
    <row r="676" spans="1:8" x14ac:dyDescent="0.25">
      <c r="A676" s="2" t="s">
        <v>10</v>
      </c>
      <c r="B676" s="3">
        <v>42648</v>
      </c>
      <c r="C676" s="4">
        <v>-1.5806</v>
      </c>
      <c r="D676" s="4">
        <v>-0.16689999999999999</v>
      </c>
      <c r="E676" s="22">
        <f t="shared" si="40"/>
        <v>-0.1699</v>
      </c>
      <c r="F676">
        <f t="shared" si="41"/>
        <v>-0.10052853800670007</v>
      </c>
      <c r="G676">
        <f t="shared" si="42"/>
        <v>-1.4800714619933</v>
      </c>
      <c r="H676">
        <f t="shared" si="43"/>
        <v>7.1204579526344398</v>
      </c>
    </row>
    <row r="677" spans="1:8" x14ac:dyDescent="0.25">
      <c r="A677" s="2" t="s">
        <v>10</v>
      </c>
      <c r="B677" s="3">
        <v>42649</v>
      </c>
      <c r="C677" s="4">
        <v>-0.61460000000000004</v>
      </c>
      <c r="D677" s="4">
        <v>0.12970000000000001</v>
      </c>
      <c r="E677" s="22">
        <f t="shared" si="40"/>
        <v>0.12670000000000001</v>
      </c>
      <c r="F677">
        <f t="shared" si="41"/>
        <v>9.7689297315209714E-2</v>
      </c>
      <c r="G677">
        <f t="shared" si="42"/>
        <v>-0.71228929731520974</v>
      </c>
      <c r="H677">
        <f t="shared" si="43"/>
        <v>6.4081686553192299</v>
      </c>
    </row>
    <row r="678" spans="1:8" x14ac:dyDescent="0.25">
      <c r="A678" s="2" t="s">
        <v>10</v>
      </c>
      <c r="B678" s="3">
        <v>42650</v>
      </c>
      <c r="C678" s="4">
        <v>0.24629999999999999</v>
      </c>
      <c r="D678" s="4">
        <v>-0.19950000000000001</v>
      </c>
      <c r="E678" s="22">
        <f t="shared" si="40"/>
        <v>-0.20250000000000001</v>
      </c>
      <c r="F678">
        <f t="shared" si="41"/>
        <v>-0.12231512408726064</v>
      </c>
      <c r="G678">
        <f t="shared" si="42"/>
        <v>0.3686151240872606</v>
      </c>
      <c r="H678">
        <f t="shared" si="43"/>
        <v>6.7767837794064905</v>
      </c>
    </row>
    <row r="679" spans="1:8" x14ac:dyDescent="0.25">
      <c r="A679" s="2" t="s">
        <v>10</v>
      </c>
      <c r="B679" s="3">
        <v>42654</v>
      </c>
      <c r="C679" s="4">
        <v>-2.4908000000000001</v>
      </c>
      <c r="D679" s="4">
        <v>-0.49759999999999999</v>
      </c>
      <c r="E679" s="22">
        <f t="shared" si="40"/>
        <v>-0.50059999999999993</v>
      </c>
      <c r="F679">
        <f t="shared" si="41"/>
        <v>-0.32153540968895072</v>
      </c>
      <c r="G679">
        <f t="shared" si="42"/>
        <v>-2.1692645903110495</v>
      </c>
      <c r="H679">
        <f t="shared" si="43"/>
        <v>4.6075191890954414</v>
      </c>
    </row>
    <row r="680" spans="1:8" x14ac:dyDescent="0.25">
      <c r="A680" s="2" t="s">
        <v>10</v>
      </c>
      <c r="B680" s="3">
        <v>42655</v>
      </c>
      <c r="C680" s="4">
        <v>0.126</v>
      </c>
      <c r="D680" s="4">
        <v>0.35489999999999999</v>
      </c>
      <c r="E680" s="22">
        <f t="shared" si="40"/>
        <v>0.35189999999999999</v>
      </c>
      <c r="F680">
        <f t="shared" si="41"/>
        <v>0.24819049931957277</v>
      </c>
      <c r="G680">
        <f t="shared" si="42"/>
        <v>-0.12219049931957277</v>
      </c>
      <c r="H680">
        <f t="shared" si="43"/>
        <v>4.4853286897758684</v>
      </c>
    </row>
    <row r="681" spans="1:8" x14ac:dyDescent="0.25">
      <c r="A681" s="2" t="s">
        <v>10</v>
      </c>
      <c r="B681" s="3">
        <v>42656</v>
      </c>
      <c r="C681" s="4">
        <v>-0.25219999999999998</v>
      </c>
      <c r="D681" s="4">
        <v>-0.36199999999999999</v>
      </c>
      <c r="E681" s="22">
        <f t="shared" si="40"/>
        <v>-0.36499999999999999</v>
      </c>
      <c r="F681">
        <f t="shared" si="41"/>
        <v>-0.23091390439680323</v>
      </c>
      <c r="G681">
        <f t="shared" si="42"/>
        <v>-2.1286095603196747E-2</v>
      </c>
      <c r="H681">
        <f t="shared" si="43"/>
        <v>4.464042594172672</v>
      </c>
    </row>
    <row r="682" spans="1:8" x14ac:dyDescent="0.25">
      <c r="A682" s="2" t="s">
        <v>10</v>
      </c>
      <c r="B682" s="3">
        <v>42657</v>
      </c>
      <c r="C682" s="4">
        <v>-0.76049999999999995</v>
      </c>
      <c r="D682" s="4">
        <v>-0.58750000000000002</v>
      </c>
      <c r="E682" s="22">
        <f t="shared" si="40"/>
        <v>-0.59050000000000002</v>
      </c>
      <c r="F682">
        <f t="shared" si="41"/>
        <v>-0.3816155964571224</v>
      </c>
      <c r="G682">
        <f t="shared" si="42"/>
        <v>-0.37888440354287756</v>
      </c>
      <c r="H682">
        <f t="shared" si="43"/>
        <v>4.0851581906297945</v>
      </c>
    </row>
    <row r="683" spans="1:8" x14ac:dyDescent="0.25">
      <c r="A683" s="2" t="s">
        <v>10</v>
      </c>
      <c r="B683" s="3">
        <v>42660</v>
      </c>
      <c r="C683" s="4">
        <v>0.50760000000000005</v>
      </c>
      <c r="D683" s="4">
        <v>0.1205</v>
      </c>
      <c r="E683" s="22">
        <f t="shared" si="40"/>
        <v>0.11749999999999999</v>
      </c>
      <c r="F683">
        <f t="shared" si="41"/>
        <v>9.1540935599223286E-2</v>
      </c>
      <c r="G683">
        <f t="shared" si="42"/>
        <v>0.41605906440077678</v>
      </c>
      <c r="H683">
        <f t="shared" si="43"/>
        <v>4.5012172550305714</v>
      </c>
    </row>
    <row r="684" spans="1:8" x14ac:dyDescent="0.25">
      <c r="A684" s="2" t="s">
        <v>10</v>
      </c>
      <c r="B684" s="3">
        <v>42661</v>
      </c>
      <c r="C684" s="4">
        <v>1.1328</v>
      </c>
      <c r="D684" s="4">
        <v>0.50390000000000001</v>
      </c>
      <c r="E684" s="22">
        <f t="shared" si="40"/>
        <v>0.50090000000000001</v>
      </c>
      <c r="F684">
        <f t="shared" si="41"/>
        <v>0.34776722711109187</v>
      </c>
      <c r="G684">
        <f t="shared" si="42"/>
        <v>0.78503277288890816</v>
      </c>
      <c r="H684">
        <f t="shared" si="43"/>
        <v>5.2862500279194791</v>
      </c>
    </row>
    <row r="685" spans="1:8" x14ac:dyDescent="0.25">
      <c r="A685" s="2" t="s">
        <v>10</v>
      </c>
      <c r="B685" s="3">
        <v>42662</v>
      </c>
      <c r="C685" s="4">
        <v>-0.50190000000000001</v>
      </c>
      <c r="D685" s="4">
        <v>0.66369999999999996</v>
      </c>
      <c r="E685" s="22">
        <f t="shared" si="40"/>
        <v>0.66069999999999995</v>
      </c>
      <c r="F685">
        <f t="shared" si="41"/>
        <v>0.45456159691702969</v>
      </c>
      <c r="G685">
        <f t="shared" si="42"/>
        <v>-0.9564615969170297</v>
      </c>
      <c r="H685">
        <f t="shared" si="43"/>
        <v>4.3297884310024495</v>
      </c>
    </row>
    <row r="686" spans="1:8" x14ac:dyDescent="0.25">
      <c r="A686" s="2" t="s">
        <v>10</v>
      </c>
      <c r="B686" s="3">
        <v>42663</v>
      </c>
      <c r="C686" s="4">
        <v>-0.12590000000000001</v>
      </c>
      <c r="D686" s="4">
        <v>0.35749999999999998</v>
      </c>
      <c r="E686" s="22">
        <f t="shared" si="40"/>
        <v>0.35449999999999998</v>
      </c>
      <c r="F686">
        <f t="shared" si="41"/>
        <v>0.24992807980452544</v>
      </c>
      <c r="G686">
        <f t="shared" si="42"/>
        <v>-0.37582807980452548</v>
      </c>
      <c r="H686">
        <f t="shared" si="43"/>
        <v>3.953960351197924</v>
      </c>
    </row>
    <row r="687" spans="1:8" x14ac:dyDescent="0.25">
      <c r="A687" s="2" t="s">
        <v>10</v>
      </c>
      <c r="B687" s="3">
        <v>42664</v>
      </c>
      <c r="C687" s="4">
        <v>7.2847999999999997</v>
      </c>
      <c r="D687" s="4">
        <v>-0.11459999999999999</v>
      </c>
      <c r="E687" s="22">
        <f t="shared" si="40"/>
        <v>-0.1176</v>
      </c>
      <c r="F687">
        <f t="shared" si="41"/>
        <v>-6.557643825169035E-2</v>
      </c>
      <c r="G687">
        <f t="shared" si="42"/>
        <v>7.3503764382516898</v>
      </c>
      <c r="H687">
        <f t="shared" si="43"/>
        <v>11.304336789449614</v>
      </c>
    </row>
    <row r="688" spans="1:8" x14ac:dyDescent="0.25">
      <c r="A688" s="2" t="s">
        <v>10</v>
      </c>
      <c r="B688" s="3">
        <v>42667</v>
      </c>
      <c r="C688" s="4">
        <v>-3.0918000000000001</v>
      </c>
      <c r="D688" s="4">
        <v>0.17100000000000001</v>
      </c>
      <c r="E688" s="22">
        <f t="shared" si="40"/>
        <v>0.16800000000000001</v>
      </c>
      <c r="F688">
        <f t="shared" si="41"/>
        <v>0.12529009501849653</v>
      </c>
      <c r="G688">
        <f t="shared" si="42"/>
        <v>-3.2170900950184969</v>
      </c>
      <c r="H688">
        <f t="shared" si="43"/>
        <v>8.0872466944311174</v>
      </c>
    </row>
    <row r="689" spans="1:8" x14ac:dyDescent="0.25">
      <c r="A689" s="2" t="s">
        <v>10</v>
      </c>
      <c r="B689" s="3">
        <v>42668</v>
      </c>
      <c r="C689" s="4">
        <v>0</v>
      </c>
      <c r="D689" s="4">
        <v>0.67510000000000003</v>
      </c>
      <c r="E689" s="22">
        <f t="shared" si="40"/>
        <v>0.67210000000000003</v>
      </c>
      <c r="F689">
        <f t="shared" si="41"/>
        <v>0.46218021904336076</v>
      </c>
      <c r="G689">
        <f t="shared" si="42"/>
        <v>-0.46218021904336076</v>
      </c>
      <c r="H689">
        <f t="shared" si="43"/>
        <v>7.6250664753877571</v>
      </c>
    </row>
    <row r="690" spans="1:8" x14ac:dyDescent="0.25">
      <c r="A690" s="2" t="s">
        <v>10</v>
      </c>
      <c r="B690" s="3">
        <v>42669</v>
      </c>
      <c r="C690" s="4">
        <v>0.4819</v>
      </c>
      <c r="D690" s="4">
        <v>-0.24959999999999999</v>
      </c>
      <c r="E690" s="22">
        <f t="shared" si="40"/>
        <v>-0.25259999999999999</v>
      </c>
      <c r="F690">
        <f t="shared" si="41"/>
        <v>-0.15579696343192576</v>
      </c>
      <c r="G690">
        <f t="shared" si="42"/>
        <v>0.63769696343192572</v>
      </c>
      <c r="H690">
        <f t="shared" si="43"/>
        <v>8.2627634388196824</v>
      </c>
    </row>
    <row r="691" spans="1:8" x14ac:dyDescent="0.25">
      <c r="A691" s="2" t="s">
        <v>10</v>
      </c>
      <c r="B691" s="3">
        <v>42670</v>
      </c>
      <c r="C691" s="4">
        <v>-3.6724000000000001</v>
      </c>
      <c r="D691" s="4">
        <v>-0.67200000000000004</v>
      </c>
      <c r="E691" s="22">
        <f t="shared" si="40"/>
        <v>-0.67500000000000004</v>
      </c>
      <c r="F691">
        <f t="shared" si="41"/>
        <v>-0.43808696221808457</v>
      </c>
      <c r="G691">
        <f t="shared" si="42"/>
        <v>-3.2343130377819156</v>
      </c>
      <c r="H691">
        <f t="shared" si="43"/>
        <v>5.0284504010377669</v>
      </c>
    </row>
    <row r="692" spans="1:8" x14ac:dyDescent="0.25">
      <c r="A692" s="2" t="s">
        <v>10</v>
      </c>
      <c r="B692" s="3">
        <v>42671</v>
      </c>
      <c r="C692" s="4">
        <v>-3.0381999999999998</v>
      </c>
      <c r="D692" s="4">
        <v>7.9200000000000007E-2</v>
      </c>
      <c r="E692" s="22">
        <f t="shared" si="40"/>
        <v>7.6200000000000004E-2</v>
      </c>
      <c r="F692">
        <f t="shared" si="41"/>
        <v>6.3940137895936472E-2</v>
      </c>
      <c r="G692">
        <f t="shared" si="42"/>
        <v>-3.1021401378959363</v>
      </c>
      <c r="H692">
        <f t="shared" si="43"/>
        <v>1.9263102631418305</v>
      </c>
    </row>
    <row r="693" spans="1:8" x14ac:dyDescent="0.25">
      <c r="A693" s="2" t="s">
        <v>10</v>
      </c>
      <c r="B693" s="3">
        <v>42674</v>
      </c>
      <c r="C693" s="4">
        <v>2.7885</v>
      </c>
      <c r="D693" s="4">
        <v>-0.1807</v>
      </c>
      <c r="E693" s="22">
        <f t="shared" si="40"/>
        <v>-0.1837</v>
      </c>
      <c r="F693">
        <f t="shared" si="41"/>
        <v>-0.1097510805806797</v>
      </c>
      <c r="G693">
        <f t="shared" si="42"/>
        <v>2.8982510805806796</v>
      </c>
      <c r="H693">
        <f t="shared" si="43"/>
        <v>4.8245613437225101</v>
      </c>
    </row>
    <row r="694" spans="1:8" x14ac:dyDescent="0.25">
      <c r="A694" s="2" t="s">
        <v>10</v>
      </c>
      <c r="B694" s="3">
        <v>42675</v>
      </c>
      <c r="C694" s="4">
        <v>0</v>
      </c>
      <c r="D694" s="4">
        <v>-0.18770000000000001</v>
      </c>
      <c r="E694" s="22">
        <f t="shared" si="40"/>
        <v>-0.19070000000000001</v>
      </c>
      <c r="F694">
        <f t="shared" si="41"/>
        <v>-0.11442918188632153</v>
      </c>
      <c r="G694">
        <f t="shared" si="42"/>
        <v>0.11442918188632153</v>
      </c>
      <c r="H694">
        <f t="shared" si="43"/>
        <v>4.9389905256088316</v>
      </c>
    </row>
    <row r="695" spans="1:8" x14ac:dyDescent="0.25">
      <c r="A695" s="2" t="s">
        <v>10</v>
      </c>
      <c r="B695" s="3">
        <v>42676</v>
      </c>
      <c r="C695" s="4">
        <v>0.49880000000000002</v>
      </c>
      <c r="D695" s="4">
        <v>-1.4519</v>
      </c>
      <c r="E695" s="22">
        <f t="shared" si="40"/>
        <v>-1.4548999999999999</v>
      </c>
      <c r="F695">
        <f t="shared" si="41"/>
        <v>-0.95929427768523701</v>
      </c>
      <c r="G695">
        <f t="shared" si="42"/>
        <v>1.458094277685237</v>
      </c>
      <c r="H695">
        <f t="shared" si="43"/>
        <v>6.397084803294069</v>
      </c>
    </row>
    <row r="696" spans="1:8" x14ac:dyDescent="0.25">
      <c r="A696" s="2" t="s">
        <v>10</v>
      </c>
      <c r="B696" s="3">
        <v>42677</v>
      </c>
      <c r="C696" s="4">
        <v>-1.1256999999999999</v>
      </c>
      <c r="D696" s="4">
        <v>-0.78839999999999999</v>
      </c>
      <c r="E696" s="22">
        <f t="shared" si="40"/>
        <v>-0.79139999999999999</v>
      </c>
      <c r="F696">
        <f t="shared" si="41"/>
        <v>-0.51587710392904307</v>
      </c>
      <c r="G696">
        <f t="shared" si="42"/>
        <v>-0.60982289607095685</v>
      </c>
      <c r="H696">
        <f t="shared" si="43"/>
        <v>5.7872619072231117</v>
      </c>
    </row>
    <row r="697" spans="1:8" x14ac:dyDescent="0.25">
      <c r="A697" s="2" t="s">
        <v>10</v>
      </c>
      <c r="B697" s="3">
        <v>42678</v>
      </c>
      <c r="C697" s="4">
        <v>-0.25190000000000001</v>
      </c>
      <c r="D697" s="4">
        <v>9.7000000000000003E-3</v>
      </c>
      <c r="E697" s="22">
        <f t="shared" si="40"/>
        <v>6.7000000000000002E-3</v>
      </c>
      <c r="F697">
        <f t="shared" si="41"/>
        <v>1.749327493277824E-2</v>
      </c>
      <c r="G697">
        <f t="shared" si="42"/>
        <v>-0.26939327493277826</v>
      </c>
      <c r="H697">
        <f t="shared" si="43"/>
        <v>5.5178686322903339</v>
      </c>
    </row>
    <row r="698" spans="1:8" x14ac:dyDescent="0.25">
      <c r="A698" s="2" t="s">
        <v>10</v>
      </c>
      <c r="B698" s="3">
        <v>42681</v>
      </c>
      <c r="C698" s="4">
        <v>0.25190000000000001</v>
      </c>
      <c r="D698" s="4">
        <v>1.333</v>
      </c>
      <c r="E698" s="22">
        <f t="shared" si="40"/>
        <v>1.33</v>
      </c>
      <c r="F698">
        <f t="shared" si="41"/>
        <v>0.90185491175504129</v>
      </c>
      <c r="G698">
        <f t="shared" si="42"/>
        <v>-0.64995491175504128</v>
      </c>
      <c r="H698">
        <f t="shared" si="43"/>
        <v>4.8679137205352925</v>
      </c>
    </row>
    <row r="699" spans="1:8" x14ac:dyDescent="0.25">
      <c r="A699" s="2" t="s">
        <v>10</v>
      </c>
      <c r="B699" s="3">
        <v>42682</v>
      </c>
      <c r="C699" s="4">
        <v>0.75190000000000001</v>
      </c>
      <c r="D699" s="4">
        <v>0.29980000000000001</v>
      </c>
      <c r="E699" s="22">
        <f t="shared" si="40"/>
        <v>0.29680000000000001</v>
      </c>
      <c r="F699">
        <f t="shared" si="41"/>
        <v>0.21136715904230632</v>
      </c>
      <c r="G699">
        <f t="shared" si="42"/>
        <v>0.54053284095769372</v>
      </c>
      <c r="H699">
        <f t="shared" si="43"/>
        <v>5.408446561492986</v>
      </c>
    </row>
    <row r="700" spans="1:8" x14ac:dyDescent="0.25">
      <c r="A700" s="2" t="s">
        <v>10</v>
      </c>
      <c r="B700" s="3">
        <v>42683</v>
      </c>
      <c r="C700" s="4">
        <v>-1.3828</v>
      </c>
      <c r="D700" s="4">
        <v>-3.0203000000000002</v>
      </c>
      <c r="E700" s="22">
        <f t="shared" si="40"/>
        <v>-3.0233000000000003</v>
      </c>
      <c r="F700">
        <f t="shared" si="41"/>
        <v>-2.0074562902236162</v>
      </c>
      <c r="G700">
        <f t="shared" si="42"/>
        <v>0.62465629022361613</v>
      </c>
      <c r="H700">
        <f t="shared" si="43"/>
        <v>6.0331028517166025</v>
      </c>
    </row>
    <row r="701" spans="1:8" x14ac:dyDescent="0.25">
      <c r="A701" s="2" t="s">
        <v>10</v>
      </c>
      <c r="B701" s="3">
        <v>42684</v>
      </c>
      <c r="C701" s="4">
        <v>0.50509999999999999</v>
      </c>
      <c r="D701" s="4">
        <v>2.3098999999999998</v>
      </c>
      <c r="E701" s="22">
        <f t="shared" si="40"/>
        <v>2.3068999999999997</v>
      </c>
      <c r="F701">
        <f t="shared" si="41"/>
        <v>1.5547173639666854</v>
      </c>
      <c r="G701">
        <f t="shared" si="42"/>
        <v>-1.0496173639666853</v>
      </c>
      <c r="H701">
        <f t="shared" si="43"/>
        <v>4.9834854877499168</v>
      </c>
    </row>
    <row r="702" spans="1:8" x14ac:dyDescent="0.25">
      <c r="A702" s="2" t="s">
        <v>10</v>
      </c>
      <c r="B702" s="3">
        <v>42685</v>
      </c>
      <c r="C702" s="4">
        <v>-2.1642999999999999</v>
      </c>
      <c r="D702" s="4">
        <v>-2.1472000000000002</v>
      </c>
      <c r="E702" s="22">
        <f t="shared" si="40"/>
        <v>-2.1502000000000003</v>
      </c>
      <c r="F702">
        <f t="shared" si="41"/>
        <v>-1.4239633973727757</v>
      </c>
      <c r="G702">
        <f t="shared" si="42"/>
        <v>-0.74033660262722423</v>
      </c>
      <c r="H702">
        <f t="shared" si="43"/>
        <v>4.2431488851226931</v>
      </c>
    </row>
    <row r="703" spans="1:8" x14ac:dyDescent="0.25">
      <c r="A703" s="2" t="s">
        <v>10</v>
      </c>
      <c r="B703" s="3">
        <v>42688</v>
      </c>
      <c r="C703" s="4">
        <v>-0.5161</v>
      </c>
      <c r="D703" s="4">
        <v>-0.19400000000000001</v>
      </c>
      <c r="E703" s="22">
        <f t="shared" si="40"/>
        <v>-0.19700000000000001</v>
      </c>
      <c r="F703">
        <f t="shared" si="41"/>
        <v>-0.11863947306139919</v>
      </c>
      <c r="G703">
        <f t="shared" si="42"/>
        <v>-0.39746052693860079</v>
      </c>
      <c r="H703">
        <f t="shared" si="43"/>
        <v>3.8456883581840922</v>
      </c>
    </row>
    <row r="704" spans="1:8" x14ac:dyDescent="0.25">
      <c r="A704" s="2" t="s">
        <v>10</v>
      </c>
      <c r="B704" s="3">
        <v>42689</v>
      </c>
      <c r="C704" s="4">
        <v>0.25840000000000002</v>
      </c>
      <c r="D704" s="4">
        <v>-0.10489999999999999</v>
      </c>
      <c r="E704" s="22">
        <f t="shared" si="40"/>
        <v>-0.1079</v>
      </c>
      <c r="F704">
        <f t="shared" si="41"/>
        <v>-5.9093926442443809E-2</v>
      </c>
      <c r="G704">
        <f t="shared" si="42"/>
        <v>0.31749392644244384</v>
      </c>
      <c r="H704">
        <f t="shared" si="43"/>
        <v>4.1631822846265356</v>
      </c>
    </row>
    <row r="705" spans="1:8" x14ac:dyDescent="0.25">
      <c r="A705" s="2" t="s">
        <v>10</v>
      </c>
      <c r="B705" s="3">
        <v>42690</v>
      </c>
      <c r="C705" s="4">
        <v>0.38629999999999998</v>
      </c>
      <c r="D705" s="4">
        <v>0.34860000000000002</v>
      </c>
      <c r="E705" s="22">
        <f t="shared" si="40"/>
        <v>0.34560000000000002</v>
      </c>
      <c r="F705">
        <f t="shared" si="41"/>
        <v>0.24398020814449511</v>
      </c>
      <c r="G705">
        <f t="shared" si="42"/>
        <v>0.14231979185550486</v>
      </c>
      <c r="H705">
        <f t="shared" si="43"/>
        <v>4.3055020764820409</v>
      </c>
    </row>
    <row r="706" spans="1:8" x14ac:dyDescent="0.25">
      <c r="A706" s="2" t="s">
        <v>10</v>
      </c>
      <c r="B706" s="3">
        <v>42691</v>
      </c>
      <c r="C706" s="4">
        <v>0.38490000000000002</v>
      </c>
      <c r="D706" s="4">
        <v>0.36799999999999999</v>
      </c>
      <c r="E706" s="22">
        <f t="shared" si="40"/>
        <v>0.36499999999999999</v>
      </c>
      <c r="F706">
        <f t="shared" si="41"/>
        <v>0.25694523176298822</v>
      </c>
      <c r="G706">
        <f t="shared" si="42"/>
        <v>0.1279547682370118</v>
      </c>
      <c r="H706">
        <f t="shared" si="43"/>
        <v>4.4334568447190525</v>
      </c>
    </row>
    <row r="707" spans="1:8" x14ac:dyDescent="0.25">
      <c r="A707" s="2" t="s">
        <v>10</v>
      </c>
      <c r="B707" s="3">
        <v>42692</v>
      </c>
      <c r="C707" s="4">
        <v>2.2786</v>
      </c>
      <c r="D707" s="4">
        <v>0.15029999999999999</v>
      </c>
      <c r="E707" s="22">
        <f t="shared" ref="E707:E737" si="44">D707-K$2</f>
        <v>0.14729999999999999</v>
      </c>
      <c r="F707">
        <f t="shared" ref="F707:F737" si="45">K$3+K$4*E707</f>
        <v>0.11145628115752711</v>
      </c>
      <c r="G707">
        <f t="shared" ref="G707:G737" si="46">C707-F707</f>
        <v>2.1671437188424729</v>
      </c>
      <c r="H707">
        <f t="shared" si="43"/>
        <v>6.6006005635615255</v>
      </c>
    </row>
    <row r="708" spans="1:8" x14ac:dyDescent="0.25">
      <c r="A708" s="2" t="s">
        <v>10</v>
      </c>
      <c r="B708" s="3">
        <v>42695</v>
      </c>
      <c r="C708" s="4">
        <v>0.74809999999999999</v>
      </c>
      <c r="D708" s="4">
        <v>0.35809999999999997</v>
      </c>
      <c r="E708" s="22">
        <f t="shared" si="44"/>
        <v>0.35509999999999997</v>
      </c>
      <c r="F708">
        <f t="shared" si="45"/>
        <v>0.25032905991643761</v>
      </c>
      <c r="G708">
        <f t="shared" si="46"/>
        <v>0.49777094008356237</v>
      </c>
      <c r="H708">
        <f t="shared" ref="H708:H737" si="47">H707+G708</f>
        <v>7.0983715036450876</v>
      </c>
    </row>
    <row r="709" spans="1:8" x14ac:dyDescent="0.25">
      <c r="A709" s="2" t="s">
        <v>10</v>
      </c>
      <c r="B709" s="3">
        <v>42696</v>
      </c>
      <c r="C709" s="4">
        <v>0.86580000000000001</v>
      </c>
      <c r="D709" s="4">
        <v>1.0155000000000001</v>
      </c>
      <c r="E709" s="22">
        <f t="shared" si="44"/>
        <v>1.0125000000000002</v>
      </c>
      <c r="F709">
        <f t="shared" si="45"/>
        <v>0.68966960253485809</v>
      </c>
      <c r="G709">
        <f t="shared" si="46"/>
        <v>0.17613039746514192</v>
      </c>
      <c r="H709">
        <f t="shared" si="47"/>
        <v>7.2745019011102299</v>
      </c>
    </row>
    <row r="710" spans="1:8" x14ac:dyDescent="0.25">
      <c r="A710" s="2" t="s">
        <v>10</v>
      </c>
      <c r="B710" s="3">
        <v>42697</v>
      </c>
      <c r="C710" s="4">
        <v>0.36880000000000002</v>
      </c>
      <c r="D710" s="4">
        <v>0.48970000000000002</v>
      </c>
      <c r="E710" s="22">
        <f t="shared" si="44"/>
        <v>0.48670000000000002</v>
      </c>
      <c r="F710">
        <f t="shared" si="45"/>
        <v>0.33827736446250412</v>
      </c>
      <c r="G710">
        <f t="shared" si="46"/>
        <v>3.0522635537495901E-2</v>
      </c>
      <c r="H710">
        <f t="shared" si="47"/>
        <v>7.3050245366477258</v>
      </c>
    </row>
    <row r="711" spans="1:8" x14ac:dyDescent="0.25">
      <c r="A711" s="2" t="s">
        <v>10</v>
      </c>
      <c r="B711" s="3">
        <v>42698</v>
      </c>
      <c r="C711" s="4">
        <v>-0.49199999999999999</v>
      </c>
      <c r="D711" s="4">
        <v>-0.28499999999999998</v>
      </c>
      <c r="E711" s="22">
        <f t="shared" si="44"/>
        <v>-0.28799999999999998</v>
      </c>
      <c r="F711">
        <f t="shared" si="45"/>
        <v>-0.17945479003474302</v>
      </c>
      <c r="G711">
        <f t="shared" si="46"/>
        <v>-0.31254520996525698</v>
      </c>
      <c r="H711">
        <f t="shared" si="47"/>
        <v>6.992479326682469</v>
      </c>
    </row>
    <row r="712" spans="1:8" x14ac:dyDescent="0.25">
      <c r="A712" s="2" t="s">
        <v>10</v>
      </c>
      <c r="B712" s="3">
        <v>42699</v>
      </c>
      <c r="C712" s="4">
        <v>0.36919999999999997</v>
      </c>
      <c r="D712" s="4">
        <v>7.5999999999999998E-2</v>
      </c>
      <c r="E712" s="22">
        <f t="shared" si="44"/>
        <v>7.2999999999999995E-2</v>
      </c>
      <c r="F712">
        <f t="shared" si="45"/>
        <v>6.1801577299071625E-2</v>
      </c>
      <c r="G712">
        <f t="shared" si="46"/>
        <v>0.30739842270092832</v>
      </c>
      <c r="H712">
        <f t="shared" si="47"/>
        <v>7.2998777493833975</v>
      </c>
    </row>
    <row r="713" spans="1:8" x14ac:dyDescent="0.25">
      <c r="A713" s="2" t="s">
        <v>10</v>
      </c>
      <c r="B713" s="3">
        <v>42702</v>
      </c>
      <c r="C713" s="4">
        <v>1.2210000000000001</v>
      </c>
      <c r="D713" s="4">
        <v>0.68730000000000002</v>
      </c>
      <c r="E713" s="22">
        <f t="shared" si="44"/>
        <v>0.68430000000000002</v>
      </c>
      <c r="F713">
        <f t="shared" si="45"/>
        <v>0.47033348131890795</v>
      </c>
      <c r="G713">
        <f t="shared" si="46"/>
        <v>0.75066651868109213</v>
      </c>
      <c r="H713">
        <f t="shared" si="47"/>
        <v>8.0505442680644901</v>
      </c>
    </row>
    <row r="714" spans="1:8" x14ac:dyDescent="0.25">
      <c r="A714" s="2" t="s">
        <v>10</v>
      </c>
      <c r="B714" s="3">
        <v>42703</v>
      </c>
      <c r="C714" s="4">
        <v>-0.48659999999999998</v>
      </c>
      <c r="D714" s="4">
        <v>-0.32429999999999998</v>
      </c>
      <c r="E714" s="22">
        <f t="shared" si="44"/>
        <v>-0.32729999999999998</v>
      </c>
      <c r="F714">
        <f t="shared" si="45"/>
        <v>-0.20571898736498934</v>
      </c>
      <c r="G714">
        <f t="shared" si="46"/>
        <v>-0.28088101263501064</v>
      </c>
      <c r="H714">
        <f t="shared" si="47"/>
        <v>7.7696632554294798</v>
      </c>
    </row>
    <row r="715" spans="1:8" x14ac:dyDescent="0.25">
      <c r="A715" s="2" t="s">
        <v>10</v>
      </c>
      <c r="B715" s="3">
        <v>42704</v>
      </c>
      <c r="C715" s="4">
        <v>0.12189999999999999</v>
      </c>
      <c r="D715" s="4">
        <v>0.52439999999999998</v>
      </c>
      <c r="E715" s="22">
        <f t="shared" si="44"/>
        <v>0.52139999999999997</v>
      </c>
      <c r="F715">
        <f t="shared" si="45"/>
        <v>0.36146738093475722</v>
      </c>
      <c r="G715">
        <f t="shared" si="46"/>
        <v>-0.23956738093475721</v>
      </c>
      <c r="H715">
        <f t="shared" si="47"/>
        <v>7.5300958744947222</v>
      </c>
    </row>
    <row r="716" spans="1:8" x14ac:dyDescent="0.25">
      <c r="A716" s="2" t="s">
        <v>10</v>
      </c>
      <c r="B716" s="3">
        <v>42705</v>
      </c>
      <c r="C716" s="4">
        <v>0.24329999999999999</v>
      </c>
      <c r="D716" s="4">
        <v>0.24660000000000001</v>
      </c>
      <c r="E716" s="22">
        <f t="shared" si="44"/>
        <v>0.24360000000000001</v>
      </c>
      <c r="F716">
        <f t="shared" si="45"/>
        <v>0.17581358911942838</v>
      </c>
      <c r="G716">
        <f t="shared" si="46"/>
        <v>6.7486410880571612E-2</v>
      </c>
      <c r="H716">
        <f t="shared" si="47"/>
        <v>7.5975822853752941</v>
      </c>
    </row>
    <row r="717" spans="1:8" x14ac:dyDescent="0.25">
      <c r="A717" s="2" t="s">
        <v>10</v>
      </c>
      <c r="B717" s="3">
        <v>42706</v>
      </c>
      <c r="C717" s="4">
        <v>-1.5922000000000001</v>
      </c>
      <c r="D717" s="4">
        <v>-0.80249999999999999</v>
      </c>
      <c r="E717" s="22">
        <f t="shared" si="44"/>
        <v>-0.80549999999999999</v>
      </c>
      <c r="F717">
        <f t="shared" si="45"/>
        <v>-0.52530013655897878</v>
      </c>
      <c r="G717">
        <f t="shared" si="46"/>
        <v>-1.0668998634410212</v>
      </c>
      <c r="H717">
        <f t="shared" si="47"/>
        <v>6.530682421934273</v>
      </c>
    </row>
    <row r="718" spans="1:8" x14ac:dyDescent="0.25">
      <c r="A718" s="2" t="s">
        <v>10</v>
      </c>
      <c r="B718" s="3">
        <v>42709</v>
      </c>
      <c r="C718" s="4">
        <v>-3.0076999999999998</v>
      </c>
      <c r="D718" s="4">
        <v>-0.31419999999999998</v>
      </c>
      <c r="E718" s="22">
        <f t="shared" si="44"/>
        <v>-0.31719999999999998</v>
      </c>
      <c r="F718">
        <f t="shared" si="45"/>
        <v>-0.1989691554811347</v>
      </c>
      <c r="G718">
        <f t="shared" si="46"/>
        <v>-2.8087308445188652</v>
      </c>
      <c r="H718">
        <f t="shared" si="47"/>
        <v>3.7219515774154077</v>
      </c>
    </row>
    <row r="719" spans="1:8" x14ac:dyDescent="0.25">
      <c r="A719" s="2" t="s">
        <v>10</v>
      </c>
      <c r="B719" s="3">
        <v>42710</v>
      </c>
      <c r="C719" s="4">
        <v>0.76049999999999995</v>
      </c>
      <c r="D719" s="4">
        <v>0.97889999999999999</v>
      </c>
      <c r="E719" s="22">
        <f t="shared" si="44"/>
        <v>0.97589999999999999</v>
      </c>
      <c r="F719">
        <f t="shared" si="45"/>
        <v>0.66520981570821636</v>
      </c>
      <c r="G719">
        <f t="shared" si="46"/>
        <v>9.5290184291783597E-2</v>
      </c>
      <c r="H719">
        <f t="shared" si="47"/>
        <v>3.8172417617071912</v>
      </c>
    </row>
    <row r="720" spans="1:8" x14ac:dyDescent="0.25">
      <c r="A720" s="2" t="s">
        <v>10</v>
      </c>
      <c r="B720" s="3">
        <v>42711</v>
      </c>
      <c r="C720" s="4">
        <v>-0.76049999999999995</v>
      </c>
      <c r="D720" s="4">
        <v>0.14169999999999999</v>
      </c>
      <c r="E720" s="22">
        <f t="shared" si="44"/>
        <v>0.13869999999999999</v>
      </c>
      <c r="F720">
        <f t="shared" si="45"/>
        <v>0.10570889955345285</v>
      </c>
      <c r="G720">
        <f t="shared" si="46"/>
        <v>-0.86620889955345282</v>
      </c>
      <c r="H720">
        <f t="shared" si="47"/>
        <v>2.9510328621537383</v>
      </c>
    </row>
    <row r="721" spans="1:8" x14ac:dyDescent="0.25">
      <c r="A721" s="2" t="s">
        <v>10</v>
      </c>
      <c r="B721" s="3">
        <v>42712</v>
      </c>
      <c r="C721" s="4">
        <v>-0.38240000000000002</v>
      </c>
      <c r="D721" s="4">
        <v>1.2014</v>
      </c>
      <c r="E721" s="22">
        <f t="shared" si="44"/>
        <v>1.1984000000000001</v>
      </c>
      <c r="F721">
        <f t="shared" si="45"/>
        <v>0.81390660720897479</v>
      </c>
      <c r="G721">
        <f t="shared" si="46"/>
        <v>-1.1963066072089747</v>
      </c>
      <c r="H721">
        <f t="shared" si="47"/>
        <v>1.7547262549447635</v>
      </c>
    </row>
    <row r="722" spans="1:8" x14ac:dyDescent="0.25">
      <c r="A722" s="2" t="s">
        <v>10</v>
      </c>
      <c r="B722" s="3">
        <v>42713</v>
      </c>
      <c r="C722" s="4">
        <v>-0.38390000000000002</v>
      </c>
      <c r="D722" s="4">
        <v>0.1792</v>
      </c>
      <c r="E722" s="22">
        <f t="shared" si="44"/>
        <v>0.1762</v>
      </c>
      <c r="F722">
        <f t="shared" si="45"/>
        <v>0.1307701565479627</v>
      </c>
      <c r="G722">
        <f t="shared" si="46"/>
        <v>-0.51467015654796278</v>
      </c>
      <c r="H722">
        <f t="shared" si="47"/>
        <v>1.2400560983968008</v>
      </c>
    </row>
    <row r="723" spans="1:8" x14ac:dyDescent="0.25">
      <c r="A723" s="2" t="s">
        <v>10</v>
      </c>
      <c r="B723" s="3">
        <v>42716</v>
      </c>
      <c r="C723" s="4">
        <v>-1.1606000000000001</v>
      </c>
      <c r="D723" s="4">
        <v>-0.45610000000000001</v>
      </c>
      <c r="E723" s="22">
        <f t="shared" si="44"/>
        <v>-0.45910000000000001</v>
      </c>
      <c r="F723">
        <f t="shared" si="45"/>
        <v>-0.29380095194835992</v>
      </c>
      <c r="G723">
        <f t="shared" si="46"/>
        <v>-0.8667990480516401</v>
      </c>
      <c r="H723">
        <f t="shared" si="47"/>
        <v>0.37325705034516066</v>
      </c>
    </row>
    <row r="724" spans="1:8" x14ac:dyDescent="0.25">
      <c r="A724" s="2" t="s">
        <v>10</v>
      </c>
      <c r="B724" s="3">
        <v>42717</v>
      </c>
      <c r="C724" s="4">
        <v>-1.0429999999999999</v>
      </c>
      <c r="D724" s="4">
        <v>0.34379999999999999</v>
      </c>
      <c r="E724" s="22">
        <f t="shared" si="44"/>
        <v>0.34079999999999999</v>
      </c>
      <c r="F724">
        <f t="shared" si="45"/>
        <v>0.24077236724919784</v>
      </c>
      <c r="G724">
        <f t="shared" si="46"/>
        <v>-1.2837723672491979</v>
      </c>
      <c r="H724">
        <f t="shared" si="47"/>
        <v>-0.9105153169040372</v>
      </c>
    </row>
    <row r="725" spans="1:8" x14ac:dyDescent="0.25">
      <c r="A725" s="2" t="s">
        <v>10</v>
      </c>
      <c r="B725" s="3">
        <v>42718</v>
      </c>
      <c r="C725" s="4">
        <v>-0.52559999999999996</v>
      </c>
      <c r="D725" s="4">
        <v>-0.14530000000000001</v>
      </c>
      <c r="E725" s="22">
        <f t="shared" si="44"/>
        <v>-0.14830000000000002</v>
      </c>
      <c r="F725">
        <f t="shared" si="45"/>
        <v>-8.6093253977862425E-2</v>
      </c>
      <c r="G725">
        <f t="shared" si="46"/>
        <v>-0.43950674602213752</v>
      </c>
      <c r="H725">
        <f t="shared" si="47"/>
        <v>-1.3500220629261748</v>
      </c>
    </row>
    <row r="726" spans="1:8" x14ac:dyDescent="0.25">
      <c r="A726" s="2" t="s">
        <v>10</v>
      </c>
      <c r="B726" s="3">
        <v>42719</v>
      </c>
      <c r="C726" s="4">
        <v>-0.66090000000000004</v>
      </c>
      <c r="D726" s="4">
        <v>-8.72E-2</v>
      </c>
      <c r="E726" s="22">
        <f t="shared" si="44"/>
        <v>-9.0200000000000002E-2</v>
      </c>
      <c r="F726">
        <f t="shared" si="45"/>
        <v>-4.7265013141035171E-2</v>
      </c>
      <c r="G726">
        <f t="shared" si="46"/>
        <v>-0.61363498685896489</v>
      </c>
      <c r="H726">
        <f t="shared" si="47"/>
        <v>-1.9636570497851396</v>
      </c>
    </row>
    <row r="727" spans="1:8" x14ac:dyDescent="0.25">
      <c r="A727" s="2" t="s">
        <v>10</v>
      </c>
      <c r="B727" s="3">
        <v>42720</v>
      </c>
      <c r="C727" s="4">
        <v>2.8759999999999999</v>
      </c>
      <c r="D727" s="4">
        <v>-0.35930000000000001</v>
      </c>
      <c r="E727" s="22">
        <f t="shared" si="44"/>
        <v>-0.36230000000000001</v>
      </c>
      <c r="F727">
        <f t="shared" si="45"/>
        <v>-0.22910949389319854</v>
      </c>
      <c r="G727">
        <f t="shared" si="46"/>
        <v>3.1051094938931985</v>
      </c>
      <c r="H727">
        <f t="shared" si="47"/>
        <v>1.1414524441080589</v>
      </c>
    </row>
    <row r="728" spans="1:8" x14ac:dyDescent="0.25">
      <c r="A728" s="2" t="s">
        <v>10</v>
      </c>
      <c r="B728" s="3">
        <v>42723</v>
      </c>
      <c r="C728" s="4">
        <v>-1.2969999999999999</v>
      </c>
      <c r="D728" s="4">
        <v>-0.94220000000000004</v>
      </c>
      <c r="E728" s="22">
        <f t="shared" si="44"/>
        <v>-0.94520000000000004</v>
      </c>
      <c r="F728">
        <f t="shared" si="45"/>
        <v>-0.61866167261585936</v>
      </c>
      <c r="G728">
        <f t="shared" si="46"/>
        <v>-0.67833832738414057</v>
      </c>
      <c r="H728">
        <f t="shared" si="47"/>
        <v>0.46311411672391833</v>
      </c>
    </row>
    <row r="729" spans="1:8" x14ac:dyDescent="0.25">
      <c r="A729" s="2" t="s">
        <v>10</v>
      </c>
      <c r="B729" s="3">
        <v>42724</v>
      </c>
      <c r="C729" s="4">
        <v>1.8111999999999999</v>
      </c>
      <c r="D729" s="4">
        <v>3.3399999999999999E-2</v>
      </c>
      <c r="E729" s="22">
        <f t="shared" si="44"/>
        <v>3.04E-2</v>
      </c>
      <c r="F729">
        <f t="shared" si="45"/>
        <v>3.3331989353308458E-2</v>
      </c>
      <c r="G729">
        <f t="shared" si="46"/>
        <v>1.7778680106466915</v>
      </c>
      <c r="H729">
        <f t="shared" si="47"/>
        <v>2.2409821273706099</v>
      </c>
    </row>
    <row r="730" spans="1:8" x14ac:dyDescent="0.25">
      <c r="A730" s="2" t="s">
        <v>10</v>
      </c>
      <c r="B730" s="3">
        <v>42725</v>
      </c>
      <c r="C730" s="4">
        <v>-0.38540000000000002</v>
      </c>
      <c r="D730" s="4">
        <v>-0.41360000000000002</v>
      </c>
      <c r="E730" s="22">
        <f t="shared" si="44"/>
        <v>-0.41660000000000003</v>
      </c>
      <c r="F730">
        <f t="shared" si="45"/>
        <v>-0.26539819402124881</v>
      </c>
      <c r="G730">
        <f t="shared" si="46"/>
        <v>-0.12000180597875121</v>
      </c>
      <c r="H730">
        <f t="shared" si="47"/>
        <v>2.1209803213918588</v>
      </c>
    </row>
    <row r="731" spans="1:8" x14ac:dyDescent="0.25">
      <c r="A731" s="2" t="s">
        <v>10</v>
      </c>
      <c r="B731" s="3">
        <v>42726</v>
      </c>
      <c r="C731" s="4">
        <v>-1.6873</v>
      </c>
      <c r="D731" s="4">
        <v>-0.93340000000000001</v>
      </c>
      <c r="E731" s="22">
        <f t="shared" si="44"/>
        <v>-0.93640000000000001</v>
      </c>
      <c r="F731">
        <f t="shared" si="45"/>
        <v>-0.6127806309744811</v>
      </c>
      <c r="G731">
        <f t="shared" si="46"/>
        <v>-1.074519369025519</v>
      </c>
      <c r="H731">
        <f t="shared" si="47"/>
        <v>1.0464609523663397</v>
      </c>
    </row>
    <row r="732" spans="1:8" x14ac:dyDescent="0.25">
      <c r="A732" s="2" t="s">
        <v>10</v>
      </c>
      <c r="B732" s="3">
        <v>42727</v>
      </c>
      <c r="C732" s="4">
        <v>-0.52490000000000003</v>
      </c>
      <c r="D732" s="4">
        <v>-0.44080000000000003</v>
      </c>
      <c r="E732" s="22">
        <f t="shared" si="44"/>
        <v>-0.44380000000000003</v>
      </c>
      <c r="F732">
        <f t="shared" si="45"/>
        <v>-0.28357595909459993</v>
      </c>
      <c r="G732">
        <f t="shared" si="46"/>
        <v>-0.24132404090540011</v>
      </c>
      <c r="H732">
        <f t="shared" si="47"/>
        <v>0.80513691146093969</v>
      </c>
    </row>
    <row r="733" spans="1:8" x14ac:dyDescent="0.25">
      <c r="A733" s="2" t="s">
        <v>10</v>
      </c>
      <c r="B733" s="3">
        <v>42730</v>
      </c>
      <c r="C733" s="4">
        <v>-1.1913</v>
      </c>
      <c r="D733" s="4">
        <v>0.3508</v>
      </c>
      <c r="E733" s="22">
        <f t="shared" si="44"/>
        <v>0.3478</v>
      </c>
      <c r="F733">
        <f t="shared" si="45"/>
        <v>0.24545046855483968</v>
      </c>
      <c r="G733">
        <f t="shared" si="46"/>
        <v>-1.4367504685548398</v>
      </c>
      <c r="H733">
        <f t="shared" si="47"/>
        <v>-0.6316135570939001</v>
      </c>
    </row>
    <row r="734" spans="1:8" x14ac:dyDescent="0.25">
      <c r="A734" s="2" t="s">
        <v>10</v>
      </c>
      <c r="B734" s="3">
        <v>42731</v>
      </c>
      <c r="C734" s="4">
        <v>-0.66800000000000004</v>
      </c>
      <c r="D734" s="4">
        <v>-1.3899999999999999E-2</v>
      </c>
      <c r="E734" s="22">
        <f t="shared" si="44"/>
        <v>-1.6899999999999998E-2</v>
      </c>
      <c r="F734">
        <f t="shared" si="45"/>
        <v>1.7213905309000511E-3</v>
      </c>
      <c r="G734">
        <f t="shared" si="46"/>
        <v>-0.66972139053090007</v>
      </c>
      <c r="H734">
        <f t="shared" si="47"/>
        <v>-1.3013349476248002</v>
      </c>
    </row>
    <row r="735" spans="1:8" x14ac:dyDescent="0.25">
      <c r="A735" s="2" t="s">
        <v>10</v>
      </c>
      <c r="B735" s="3">
        <v>42732</v>
      </c>
      <c r="C735" s="4">
        <v>0.80110000000000003</v>
      </c>
      <c r="D735" s="4">
        <v>1.0063</v>
      </c>
      <c r="E735" s="22">
        <f t="shared" si="44"/>
        <v>1.0033000000000001</v>
      </c>
      <c r="F735">
        <f t="shared" si="45"/>
        <v>0.68352124081887167</v>
      </c>
      <c r="G735">
        <f t="shared" si="46"/>
        <v>0.11757875918112837</v>
      </c>
      <c r="H735">
        <f t="shared" si="47"/>
        <v>-1.1837561884436718</v>
      </c>
    </row>
    <row r="736" spans="1:8" x14ac:dyDescent="0.25">
      <c r="A736" s="2" t="s">
        <v>10</v>
      </c>
      <c r="B736" s="3">
        <v>42733</v>
      </c>
      <c r="C736" s="4">
        <v>0.79469999999999996</v>
      </c>
      <c r="D736" s="4">
        <v>-0.52639999999999998</v>
      </c>
      <c r="E736" s="22">
        <f t="shared" si="44"/>
        <v>-0.52939999999999998</v>
      </c>
      <c r="F736">
        <f t="shared" si="45"/>
        <v>-0.34078245506073435</v>
      </c>
      <c r="G736">
        <f t="shared" si="46"/>
        <v>1.1354824550607343</v>
      </c>
      <c r="H736">
        <f t="shared" si="47"/>
        <v>-4.82737333829375E-2</v>
      </c>
    </row>
    <row r="737" spans="1:8" ht="17.25" thickBot="1" x14ac:dyDescent="0.3">
      <c r="A737" s="5" t="s">
        <v>10</v>
      </c>
      <c r="B737" s="6">
        <v>42734</v>
      </c>
      <c r="C737" s="7">
        <v>0.78839999999999999</v>
      </c>
      <c r="D737" s="7">
        <v>1.091</v>
      </c>
      <c r="E737" s="22">
        <f t="shared" si="44"/>
        <v>1.0880000000000001</v>
      </c>
      <c r="F737">
        <f t="shared" si="45"/>
        <v>0.74012626661713787</v>
      </c>
      <c r="G737">
        <f t="shared" si="46"/>
        <v>4.8273733382862116E-2</v>
      </c>
      <c r="H737">
        <f t="shared" si="47"/>
        <v>-7.5384143372048129E-14</v>
      </c>
    </row>
  </sheetData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7</vt:i4>
      </vt:variant>
    </vt:vector>
  </HeadingPairs>
  <TitlesOfParts>
    <vt:vector size="11" baseType="lpstr">
      <vt:lpstr>期末考題目</vt:lpstr>
      <vt:lpstr>題目 (一) </vt:lpstr>
      <vt:lpstr>題目(二)</vt:lpstr>
      <vt:lpstr>工作表3</vt:lpstr>
      <vt:lpstr>XX_TEJ1</vt:lpstr>
      <vt:lpstr>XX_TEJ2</vt:lpstr>
      <vt:lpstr>XX_TEJ3</vt:lpstr>
      <vt:lpstr>XX_TEJ4</vt:lpstr>
      <vt:lpstr>XX_TEJ5</vt:lpstr>
      <vt:lpstr>XX_TEJ6</vt:lpstr>
      <vt:lpstr>XX_TEJ7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2017-06-11T16:21:20Z</dcterms:created>
  <dcterms:modified xsi:type="dcterms:W3CDTF">2017-06-15T04:49:33Z</dcterms:modified>
</cp:coreProperties>
</file>